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ollup" sheetId="2" state="visible" r:id="rId2"/>
    <sheet xmlns:r="http://schemas.openxmlformats.org/officeDocument/2006/relationships" name="eUtthan Admin" sheetId="3" state="visible" r:id="rId3"/>
    <sheet xmlns:r="http://schemas.openxmlformats.org/officeDocument/2006/relationships" name="Coverage – eUtthan" sheetId="4" state="visible" r:id="rId4"/>
  </sheets>
  <definedNames>
    <definedName name="_xlnm._FilterDatabase" localSheetId="2" hidden="1">'eUtthan Admin'!$A$1:$M$1</definedName>
    <definedName name="_xlnm._FilterDatabase" localSheetId="3" hidden="1">'Coverage – eUtthan'!$A$1:$H$1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Noto Sans"/>
      <b val="1"/>
      <color rgb="00003366"/>
      <sz val="20"/>
    </font>
    <font>
      <name val="Noto Sans"/>
      <color rgb="006B7280"/>
      <sz val="11"/>
    </font>
    <font>
      <name val="Noto Sans"/>
      <b val="1"/>
      <color rgb="00374151"/>
      <sz val="10"/>
    </font>
    <font>
      <name val="Noto Sans"/>
      <color rgb="00374151"/>
      <sz val="10"/>
    </font>
    <font>
      <name val="Noto Sans"/>
      <b val="1"/>
      <color rgb="00003366"/>
      <sz val="12"/>
    </font>
    <font>
      <name val="Noto Sans"/>
      <b val="1"/>
      <color rgb="00FFFFFF"/>
      <sz val="10"/>
    </font>
    <font>
      <name val="Noto Sans"/>
      <b val="1"/>
      <color rgb="00FFFFFF"/>
      <sz val="11"/>
    </font>
    <font>
      <name val="Noto Sans"/>
      <b val="1"/>
      <color rgb="00003366"/>
      <sz val="18"/>
    </font>
  </fonts>
  <fills count="9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EA580C"/>
      </patternFill>
    </fill>
    <fill>
      <patternFill patternType="solid">
        <fgColor rgb="00CA8A04"/>
      </patternFill>
    </fill>
    <fill>
      <patternFill patternType="solid">
        <fgColor rgb="006B7280"/>
      </patternFill>
    </fill>
    <fill>
      <patternFill patternType="solid">
        <fgColor rgb="00003366"/>
      </patternFill>
    </fill>
    <fill>
      <patternFill patternType="solid">
        <fgColor rgb="00F4F7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6DEE8"/>
      </left>
      <right style="thin">
        <color rgb="00D6DEE8"/>
      </right>
      <top style="thin">
        <color rgb="00D6DEE8"/>
      </top>
      <bottom style="thin">
        <color rgb="00D6DEE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8" fillId="0" borderId="0" pivotButton="0" quotePrefix="0" xfId="0"/>
    <xf numFmtId="0" fontId="7" fillId="6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name val="Noto Sans"/>
        <b val="1"/>
        <color rgb="00FFFFFF"/>
      </font>
      <fill>
        <patternFill patternType="solid">
          <fgColor rgb="00DC2626"/>
        </patternFill>
      </fill>
    </dxf>
    <dxf>
      <font>
        <name val="Noto Sans"/>
        <b val="1"/>
        <color rgb="00FFFFFF"/>
      </font>
      <fill>
        <patternFill patternType="solid">
          <fgColor rgb="00EA580C"/>
        </patternFill>
      </fill>
    </dxf>
    <dxf>
      <font>
        <name val="Noto Sans"/>
        <b val="1"/>
        <color rgb="00FFFFFF"/>
      </font>
      <fill>
        <patternFill patternType="solid">
          <fgColor rgb="00CA8A04"/>
        </patternFill>
      </fill>
    </dxf>
    <dxf>
      <font>
        <name val="Noto Sans"/>
        <b val="1"/>
        <color rgb="00FFFFFF"/>
      </font>
      <fill>
        <patternFill patternType="solid">
          <fgColor rgb="006B728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5" customWidth="1" min="2" max="2"/>
  </cols>
  <sheetData>
    <row r="1">
      <c r="A1" s="1" t="inlineStr">
        <is>
          <t>MoSJE Portal — Design QC Tracker</t>
        </is>
      </c>
    </row>
    <row r="2">
      <c r="A2" s="2" t="inlineStr">
        <is>
          <t>Status tracker for design-fidelity defects (dev-facing). Visual evidence lives in the annotated PDF report; design-improvement ideas live in the separate Design Suggestions doc.</t>
        </is>
      </c>
    </row>
    <row r="4">
      <c r="A4" s="3" t="inlineStr"/>
      <c r="B4" s="4" t="inlineStr"/>
    </row>
    <row r="5">
      <c r="A5" s="5" t="inlineStr">
        <is>
          <t>HOW TO USE</t>
        </is>
      </c>
      <c r="B5" s="4" t="inlineStr"/>
    </row>
    <row r="6">
      <c r="A6" s="3" t="inlineStr">
        <is>
          <t>1.</t>
        </is>
      </c>
      <c r="B6" s="4" t="inlineStr">
        <is>
          <t>Each fidelity defect = one row in its portal's findings sheet. The annotated PDF shows the same ID on the image.</t>
        </is>
      </c>
    </row>
    <row r="7">
      <c r="A7" s="3" t="inlineStr">
        <is>
          <t>2.</t>
        </is>
      </c>
      <c r="B7" s="4" t="inlineStr">
        <is>
          <t>Severity / Category / Status are dropdowns; Severity auto-colours; Rollup aggregates automatically.</t>
        </is>
      </c>
    </row>
    <row r="8">
      <c r="A8" s="3" t="inlineStr">
        <is>
          <t>3.</t>
        </is>
      </c>
      <c r="B8" s="4" t="inlineStr">
        <is>
          <t>Figma URL and Live URL are full clickable links. Coverage tracks every screen's QC state.</t>
        </is>
      </c>
    </row>
    <row r="9">
      <c r="A9" s="3" t="inlineStr">
        <is>
          <t>4.</t>
        </is>
      </c>
      <c r="B9" s="4" t="inlineStr">
        <is>
          <t>Dev: filter Status = Open, fix, set Fixed. QC verifies -&gt; Verified.</t>
        </is>
      </c>
    </row>
    <row r="10">
      <c r="A10" s="3" t="inlineStr">
        <is>
          <t>5.</t>
        </is>
      </c>
      <c r="B10" s="4" t="inlineStr">
        <is>
          <t>Design-side issues (design-bugs, redesigns, no-design screens) are NOT here — see Design Suggestions doc.</t>
        </is>
      </c>
    </row>
    <row r="11">
      <c r="A11" s="3" t="inlineStr"/>
      <c r="B11" s="4" t="inlineStr"/>
    </row>
    <row r="12">
      <c r="A12" s="5" t="inlineStr">
        <is>
          <t>SEVERITY</t>
        </is>
      </c>
      <c r="B12" s="4" t="inlineStr">
        <is>
          <t>Impact, not effort</t>
        </is>
      </c>
    </row>
    <row r="13">
      <c r="A13" s="6" t="inlineStr">
        <is>
          <t>Blocker</t>
        </is>
      </c>
      <c r="B13" s="4" t="inlineStr">
        <is>
          <t>Breaks experience / brand / compliance. Cannot ship.</t>
        </is>
      </c>
    </row>
    <row r="14">
      <c r="A14" s="7" t="inlineStr">
        <is>
          <t>Major</t>
        </is>
      </c>
      <c r="B14" s="4" t="inlineStr">
        <is>
          <t>Clearly wrong vs design; users notice.</t>
        </is>
      </c>
    </row>
    <row r="15">
      <c r="A15" s="8" t="inlineStr">
        <is>
          <t>Minor</t>
        </is>
      </c>
      <c r="B15" s="4" t="inlineStr">
        <is>
          <t>Visible to a trained eye (2-7px, token drift).</t>
        </is>
      </c>
    </row>
    <row r="16">
      <c r="A16" s="9" t="inlineStr">
        <is>
          <t>Nit</t>
        </is>
      </c>
      <c r="B16" s="4" t="inlineStr">
        <is>
          <t>Polish / sub-pixel.</t>
        </is>
      </c>
    </row>
    <row r="17">
      <c r="A17" s="3" t="inlineStr"/>
      <c r="B17" s="4" t="inlineStr"/>
    </row>
    <row r="18">
      <c r="A18" s="5" t="inlineStr">
        <is>
          <t>CATEGORIES</t>
        </is>
      </c>
      <c r="B18" s="4" t="inlineStr">
        <is>
          <t>Layout &amp; Spacing · Color &amp; Token · Typography · Components &amp; States · Content &amp; Iconography · Responsive &amp; A11y</t>
        </is>
      </c>
    </row>
    <row r="19">
      <c r="A19" s="5" t="inlineStr">
        <is>
          <t>DESIGN TRUTH</t>
        </is>
      </c>
      <c r="B19" s="4" t="inlineStr">
        <is>
          <t>Audited against DS Figma token values (see design-truth-tokens.md). DS brand primary = #003366.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10" t="inlineStr">
        <is>
          <t>Portal QC — Rollup</t>
        </is>
      </c>
    </row>
    <row r="4" ht="26" customHeight="1">
      <c r="A4" s="11" t="inlineStr">
        <is>
          <t>Portal</t>
        </is>
      </c>
      <c r="B4" s="11" t="inlineStr">
        <is>
          <t>Total</t>
        </is>
      </c>
      <c r="C4" s="12" t="inlineStr">
        <is>
          <t>Blocker</t>
        </is>
      </c>
      <c r="D4" s="13" t="inlineStr">
        <is>
          <t>Major</t>
        </is>
      </c>
      <c r="E4" s="14" t="inlineStr">
        <is>
          <t>Minor</t>
        </is>
      </c>
      <c r="F4" s="15" t="inlineStr">
        <is>
          <t>Nit</t>
        </is>
      </c>
      <c r="G4" s="11" t="inlineStr">
        <is>
          <t>Open</t>
        </is>
      </c>
      <c r="H4" s="11" t="inlineStr">
        <is>
          <t>Fixed</t>
        </is>
      </c>
      <c r="I4" s="11" t="inlineStr">
        <is>
          <t>Verified</t>
        </is>
      </c>
    </row>
    <row r="5">
      <c r="A5" s="16" t="inlineStr">
        <is>
          <t>eUtthan Admin</t>
        </is>
      </c>
      <c r="B5" s="16">
        <f>COUNTA('eUtthan Admin'!$A$2:$A$400)</f>
        <v/>
      </c>
      <c r="C5" s="16">
        <f>COUNTIF('eUtthan Admin'!$E:$E,"Blocker")</f>
        <v/>
      </c>
      <c r="D5" s="16">
        <f>COUNTIF('eUtthan Admin'!$E:$E,"Major")</f>
        <v/>
      </c>
      <c r="E5" s="16">
        <f>COUNTIF('eUtthan Admin'!$E:$E,"Minor")</f>
        <v/>
      </c>
      <c r="F5" s="16">
        <f>COUNTIF('eUtthan Admin'!$E:$E,"Nit")</f>
        <v/>
      </c>
      <c r="G5" s="16">
        <f>COUNTIF('eUtthan Admin'!$J:$J,"Open")</f>
        <v/>
      </c>
      <c r="H5" s="16">
        <f>COUNTIF('eUtthan Admin'!$J:$J,"Fixed")</f>
        <v/>
      </c>
      <c r="I5" s="16">
        <f>COUNTIF('eUtthan Admin'!$J:$J,"Verified")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9" customWidth="1" min="3" max="3"/>
    <col width="20" customWidth="1" min="4" max="4"/>
    <col width="11" customWidth="1" min="5" max="5"/>
    <col width="46" customWidth="1" min="6" max="6"/>
    <col width="42" customWidth="1" min="7" max="7"/>
    <col width="30" customWidth="1" min="8" max="8"/>
    <col width="30" customWidth="1" min="9" max="9"/>
    <col width="12" customWidth="1" min="10" max="10"/>
    <col width="13" customWidth="1" min="11" max="11"/>
    <col width="12" customWidth="1" min="12" max="12"/>
    <col width="30" customWidth="1" min="13" max="13"/>
  </cols>
  <sheetData>
    <row r="1" ht="26" customHeight="1">
      <c r="A1" s="11" t="inlineStr">
        <is>
          <t>ID</t>
        </is>
      </c>
      <c r="B1" s="11" t="inlineStr">
        <is>
          <t>Screen</t>
        </is>
      </c>
      <c r="C1" s="11" t="inlineStr">
        <is>
          <t>Viewport</t>
        </is>
      </c>
      <c r="D1" s="11" t="inlineStr">
        <is>
          <t>Category</t>
        </is>
      </c>
      <c r="E1" s="11" t="inlineStr">
        <is>
          <t>Severity</t>
        </is>
      </c>
      <c r="F1" s="11" t="inlineStr">
        <is>
          <t>Issue (Design → Built)</t>
        </is>
      </c>
      <c r="G1" s="11" t="inlineStr">
        <is>
          <t>Recommended Fix (Dev)</t>
        </is>
      </c>
      <c r="H1" s="11" t="inlineStr">
        <is>
          <t>Figma URL</t>
        </is>
      </c>
      <c r="I1" s="11" t="inlineStr">
        <is>
          <t>Live URL</t>
        </is>
      </c>
      <c r="J1" s="11" t="inlineStr">
        <is>
          <t>Status</t>
        </is>
      </c>
      <c r="K1" s="11" t="inlineStr">
        <is>
          <t>Assignee</t>
        </is>
      </c>
      <c r="L1" s="11" t="inlineStr">
        <is>
          <t>Date</t>
        </is>
      </c>
      <c r="M1" s="11" t="inlineStr">
        <is>
          <t>Notes</t>
        </is>
      </c>
    </row>
    <row r="2">
      <c r="A2" s="17" t="inlineStr">
        <is>
          <t>UTH-GLOBAL-001</t>
        </is>
      </c>
      <c r="B2" s="17" t="inlineStr">
        <is>
          <t>Global — Common Elements</t>
        </is>
      </c>
      <c r="C2" s="17" t="n">
        <v>1440</v>
      </c>
      <c r="D2" s="17" t="inlineStr">
        <is>
          <t>Layout &amp; Spacing</t>
        </is>
      </c>
      <c r="E2" s="17" t="inlineStr">
        <is>
          <t>Minor</t>
        </is>
      </c>
      <c r="F2" s="17" t="inlineStr">
        <is>
          <t>Figma: Height 40px, navy #003366 background.  →  Live: Height 38px (colour is correct).</t>
        </is>
      </c>
      <c r="G2" s="17" t="inlineStr">
        <is>
          <t>Increase the accessibility bar height from 38px to 40px.</t>
        </is>
      </c>
      <c r="H2" s="17" t="inlineStr">
        <is>
          <t>https://www.figma.com/design/gH2vQ62cfg4677YKWuOpLc/MoSJE-Portal--Handoff-?node-id=4226-39685</t>
        </is>
      </c>
      <c r="I2" s="17" t="n"/>
      <c r="J2" s="17" t="inlineStr">
        <is>
          <t>Open</t>
        </is>
      </c>
      <c r="K2" s="17" t="n"/>
      <c r="L2" s="17" t="n"/>
      <c r="M2" s="17" t="n"/>
    </row>
    <row r="3">
      <c r="A3" s="18" t="inlineStr">
        <is>
          <t>UTH-GLOBAL-002</t>
        </is>
      </c>
      <c r="B3" s="18" t="inlineStr">
        <is>
          <t>Global — Common Elements</t>
        </is>
      </c>
      <c r="C3" s="18" t="n">
        <v>1440</v>
      </c>
      <c r="D3" s="18" t="inlineStr">
        <is>
          <t>Content &amp; Iconography</t>
        </is>
      </c>
      <c r="E3" s="18" t="inlineStr">
        <is>
          <t>Major</t>
        </is>
      </c>
      <c r="F3" s="18" t="inlineStr">
        <is>
          <t>Figma: Two lines: 'Ministry of SJE' (14px/500/#1f2937) above the bold 'Department of SJE' headline (20px/700/#374151).  →  Live: Single line 'Ministry of SJE' at 20px/700/#374151 — the Department headline is absent.</t>
        </is>
      </c>
      <c r="G3" s="18" t="inlineStr">
        <is>
          <t>Add 'Department of Social Justice &amp; Empowerment' (20px/700/#374151) as the main masthead headline; show the Ministry line above it at 14px/500/#1f2937.</t>
        </is>
      </c>
      <c r="H3" s="18" t="inlineStr">
        <is>
          <t>https://www.figma.com/design/gH2vQ62cfg4677YKWuOpLc/MoSJE-Portal--Handoff-?node-id=4226-39685</t>
        </is>
      </c>
      <c r="I3" s="18" t="n"/>
      <c r="J3" s="18" t="inlineStr">
        <is>
          <t>Open</t>
        </is>
      </c>
      <c r="K3" s="18" t="n"/>
      <c r="L3" s="18" t="n"/>
      <c r="M3" s="18" t="n"/>
    </row>
    <row r="4">
      <c r="A4" s="17" t="inlineStr">
        <is>
          <t>UTH-GLOBAL-003</t>
        </is>
      </c>
      <c r="B4" s="17" t="inlineStr">
        <is>
          <t>Global — Common Elements</t>
        </is>
      </c>
      <c r="C4" s="17" t="n">
        <v>1440</v>
      </c>
      <c r="D4" s="17" t="inlineStr">
        <is>
          <t>Content &amp; Iconography</t>
        </is>
      </c>
      <c r="E4" s="17" t="inlineStr">
        <is>
          <t>Major</t>
        </is>
      </c>
      <c r="F4" s="17" t="inlineStr">
        <is>
          <t>Figma: Centre-right of the masthead: Digital India logo + SAMAVESH lockup, with a 24px gap between them.  →  Live: No co-branding — the centre of the header is empty.</t>
        </is>
      </c>
      <c r="G4" s="17" t="inlineStr">
        <is>
          <t>Add the Digital India logo and the SAMAVESH lockup to the header centre, before the user profile.</t>
        </is>
      </c>
      <c r="H4" s="17" t="inlineStr">
        <is>
          <t>https://www.figma.com/design/gH2vQ62cfg4677YKWuOpLc/MoSJE-Portal--Handoff-?node-id=4226-39685</t>
        </is>
      </c>
      <c r="I4" s="17" t="n"/>
      <c r="J4" s="17" t="inlineStr">
        <is>
          <t>Open</t>
        </is>
      </c>
      <c r="K4" s="17" t="n"/>
      <c r="L4" s="17" t="n"/>
      <c r="M4" s="17" t="n"/>
    </row>
    <row r="5">
      <c r="A5" s="18" t="inlineStr">
        <is>
          <t>UTH-GLOBAL-004</t>
        </is>
      </c>
      <c r="B5" s="18" t="inlineStr">
        <is>
          <t>Global — Common Elements</t>
        </is>
      </c>
      <c r="C5" s="18" t="n">
        <v>1440</v>
      </c>
      <c r="D5" s="18" t="inlineStr">
        <is>
          <t>Components &amp; States</t>
        </is>
      </c>
      <c r="E5" s="18" t="inlineStr">
        <is>
          <t>Minor</t>
        </is>
      </c>
      <c r="F5" s="18" t="inlineStr">
        <is>
          <t>Figma: A hamburger/collapse control sits at the top-left of the header.  →  Live: No collapse control is shown in the header.</t>
        </is>
      </c>
      <c r="G5" s="18" t="inlineStr">
        <is>
          <t>Add the sidebar collapse (hamburger) control at the header's left edge.</t>
        </is>
      </c>
      <c r="H5" s="18" t="inlineStr">
        <is>
          <t>https://www.figma.com/design/gH2vQ62cfg4677YKWuOpLc/MoSJE-Portal--Handoff-?node-id=4226-39685</t>
        </is>
      </c>
      <c r="I5" s="18" t="n"/>
      <c r="J5" s="18" t="inlineStr">
        <is>
          <t>Open</t>
        </is>
      </c>
      <c r="K5" s="18" t="n"/>
      <c r="L5" s="18" t="n"/>
      <c r="M5" s="18" t="n"/>
    </row>
    <row r="6">
      <c r="A6" s="17" t="inlineStr">
        <is>
          <t>UTH-GLOBAL-005</t>
        </is>
      </c>
      <c r="B6" s="17" t="inlineStr">
        <is>
          <t>Global — Common Elements</t>
        </is>
      </c>
      <c r="C6" s="17" t="n">
        <v>1440</v>
      </c>
      <c r="D6" s="17" t="inlineStr">
        <is>
          <t>Color &amp; Token</t>
        </is>
      </c>
      <c r="E6" s="17" t="inlineStr">
        <is>
          <t>Major</t>
        </is>
      </c>
      <c r="F6" s="17" t="inlineStr">
        <is>
          <t>Figma: Active item: text #003366 · weight 400 · corner radius 16px · background #e5eff9.  →  Live: Active item: text #374151 · weight 700 · radius 8px (background correct; three properties deviate).</t>
        </is>
      </c>
      <c r="G6" s="17" t="inlineStr">
        <is>
          <t>Active sidebar item: text colour → #003366 · weight → 400 · corner radius → 16px.</t>
        </is>
      </c>
      <c r="H6" s="17" t="inlineStr">
        <is>
          <t>https://www.figma.com/design/gH2vQ62cfg4677YKWuOpLc/MoSJE-Portal--Handoff-?node-id=4226-39685</t>
        </is>
      </c>
      <c r="I6" s="17" t="n"/>
      <c r="J6" s="17" t="inlineStr">
        <is>
          <t>Open</t>
        </is>
      </c>
      <c r="K6" s="17" t="n"/>
      <c r="L6" s="17" t="n"/>
      <c r="M6" s="17" t="n"/>
    </row>
    <row r="7">
      <c r="A7" s="18" t="inlineStr">
        <is>
          <t>UTH-GLOBAL-006</t>
        </is>
      </c>
      <c r="B7" s="18" t="inlineStr">
        <is>
          <t>Global — Common Elements</t>
        </is>
      </c>
      <c r="C7" s="18" t="n">
        <v>1440</v>
      </c>
      <c r="D7" s="18" t="inlineStr">
        <is>
          <t>Content &amp; Iconography</t>
        </is>
      </c>
      <c r="E7" s="18" t="inlineStr">
        <is>
          <t>Minor</t>
        </is>
      </c>
      <c r="F7" s="18" t="inlineStr">
        <is>
          <t>Figma: Name with the role below it as plain text ('Admin', no punctuation); the avatar sits AFTER the text, at the far right.  →  Live: Avatar comes first, then the name; the role is wrapped in parentheses — '(Super Admin)'.</t>
        </is>
      </c>
      <c r="G7" s="18" t="inlineStr">
        <is>
          <t>Put the name and role first with the avatar to their right, and show the role as plain text without parentheses.</t>
        </is>
      </c>
      <c r="H7" s="18" t="inlineStr">
        <is>
          <t>https://www.figma.com/design/gH2vQ62cfg4677YKWuOpLc/MoSJE-Portal--Handoff-?node-id=4226-39685</t>
        </is>
      </c>
      <c r="I7" s="18" t="n"/>
      <c r="J7" s="18" t="inlineStr">
        <is>
          <t>Open</t>
        </is>
      </c>
      <c r="K7" s="18" t="n"/>
      <c r="L7" s="18" t="n"/>
      <c r="M7" s="18" t="n"/>
    </row>
    <row r="8">
      <c r="A8" s="17" t="inlineStr">
        <is>
          <t>UTH-GLOBAL-007</t>
        </is>
      </c>
      <c r="B8" s="17" t="inlineStr">
        <is>
          <t>Global — Common Elements</t>
        </is>
      </c>
      <c r="C8" s="17" t="n">
        <v>1440</v>
      </c>
      <c r="D8" s="17" t="inlineStr">
        <is>
          <t>Typography</t>
        </is>
      </c>
      <c r="E8" s="17" t="inlineStr">
        <is>
          <t>Major</t>
        </is>
      </c>
      <c r="F8" s="17" t="inlineStr">
        <is>
          <t>Figma: All inputs and search fields use Noto Sans, like the rest of the portal.  →  Live: Search and text inputs render in Poppins on Login and across the Admin and Ministry screens.</t>
        </is>
      </c>
      <c r="G8" s="17" t="inlineStr">
        <is>
          <t>Set every input, select and search field to Noto Sans.</t>
        </is>
      </c>
      <c r="H8" s="17" t="inlineStr">
        <is>
          <t>https://www.figma.com/design/gH2vQ62cfg4677YKWuOpLc/MoSJE-Portal--Handoff-?node-id=4226-39685</t>
        </is>
      </c>
      <c r="I8" s="17" t="n"/>
      <c r="J8" s="17" t="inlineStr">
        <is>
          <t>Open</t>
        </is>
      </c>
      <c r="K8" s="17" t="n"/>
      <c r="L8" s="17" t="n"/>
      <c r="M8" s="17" t="n"/>
    </row>
    <row r="9">
      <c r="A9" s="18" t="inlineStr">
        <is>
          <t>UTH-GLOBAL-008</t>
        </is>
      </c>
      <c r="B9" s="18" t="inlineStr">
        <is>
          <t>Global — Common Elements</t>
        </is>
      </c>
      <c r="C9" s="18" t="n">
        <v>1440</v>
      </c>
      <c r="D9" s="18" t="inlineStr">
        <is>
          <t>Components &amp; States</t>
        </is>
      </c>
      <c r="E9" s="18" t="inlineStr">
        <is>
          <t>Minor</t>
        </is>
      </c>
      <c r="F9" s="18" t="inlineStr">
        <is>
          <t>Figma: Plus icon to the LEFT of the label; label 14px / 500 / line-height 20; padding 24-left / 16-right / 8 top &amp; bottom; the plus is a separate 16×16 icon.  →  Live: Plus icon to the RIGHT; label 14px / 600 with a tight line-height; padding 18 / 12 / 0; the '+' is baked into the label text.</t>
        </is>
      </c>
      <c r="G9" s="18" t="inlineStr">
        <is>
          <t>On every Add button: plus icon on the left, label weight 500 / line-height 20, padding 24/16/8, and a real plus-icon element.</t>
        </is>
      </c>
      <c r="H9" s="18" t="inlineStr">
        <is>
          <t>https://www.figma.com/design/gH2vQ62cfg4677YKWuOpLc/MoSJE-Portal--Handoff-?node-id=4226-39685</t>
        </is>
      </c>
      <c r="I9" s="18" t="n"/>
      <c r="J9" s="18" t="inlineStr">
        <is>
          <t>Open</t>
        </is>
      </c>
      <c r="K9" s="18" t="n"/>
      <c r="L9" s="18" t="n"/>
      <c r="M9" s="18" t="n"/>
    </row>
    <row r="10">
      <c r="A10" s="17" t="inlineStr">
        <is>
          <t>UTH-GLOBAL-009</t>
        </is>
      </c>
      <c r="B10" s="17" t="inlineStr">
        <is>
          <t>Global — Common Elements</t>
        </is>
      </c>
      <c r="C10" s="17" t="n">
        <v>1440</v>
      </c>
      <c r="D10" s="17" t="inlineStr">
        <is>
          <t>Typography</t>
        </is>
      </c>
      <c r="E10" s="17" t="inlineStr">
        <is>
          <t>Major</t>
        </is>
      </c>
      <c r="F10" s="17" t="inlineStr">
        <is>
          <t>Figma: 14px / 600 / colour #6b7280; cell padding 24px on the sides · 16px top &amp; bottom; header sits on a #f9fafb band.  →  Live: Header text renders in #4b5563 with only 14px top/bottom padding (colour and vertical padding deviate; font-size 14px is correct).</t>
        </is>
      </c>
      <c r="G10" s="17" t="inlineStr">
        <is>
          <t>On every table header: text colour → #6b7280; cell padding 24px sides · 16px top/bottom.</t>
        </is>
      </c>
      <c r="H10" s="17" t="inlineStr">
        <is>
          <t>https://www.figma.com/design/gH2vQ62cfg4677YKWuOpLc/MoSJE-Portal--Handoff-?node-id=4226-39685</t>
        </is>
      </c>
      <c r="I10" s="17" t="n"/>
      <c r="J10" s="17" t="inlineStr">
        <is>
          <t>Open</t>
        </is>
      </c>
      <c r="K10" s="17" t="n"/>
      <c r="L10" s="17" t="n"/>
      <c r="M10" s="17" t="n"/>
    </row>
    <row r="11">
      <c r="A11" s="18" t="inlineStr">
        <is>
          <t>UTH-GLOBAL-010</t>
        </is>
      </c>
      <c r="B11" s="18" t="inlineStr">
        <is>
          <t>Global — Common Elements</t>
        </is>
      </c>
      <c r="C11" s="18" t="n">
        <v>1440</v>
      </c>
      <c r="D11" s="18" t="inlineStr">
        <is>
          <t>Color &amp; Token</t>
        </is>
      </c>
      <c r="E11" s="18" t="inlineStr">
        <is>
          <t>Major</t>
        </is>
      </c>
      <c r="F11" s="18" t="inlineStr">
        <is>
          <t>Figma: 14px / 400 / colour #374151; cell padding 24px on the sides · 16px top &amp; bottom.  →  Live: Body cells render with a different colour (#4b5563, or pure #000 on some screens) and less top/bottom padding (16–20px).</t>
        </is>
      </c>
      <c r="G11" s="18" t="inlineStr">
        <is>
          <t>On every table body cell: text colour → #374151; cell padding 24px sides · 16px top/bottom.</t>
        </is>
      </c>
      <c r="H11" s="18" t="inlineStr">
        <is>
          <t>https://www.figma.com/design/gH2vQ62cfg4677YKWuOpLc/MoSJE-Portal--Handoff-?node-id=4226-39685</t>
        </is>
      </c>
      <c r="I11" s="18" t="n"/>
      <c r="J11" s="18" t="inlineStr">
        <is>
          <t>Open</t>
        </is>
      </c>
      <c r="K11" s="18" t="n"/>
      <c r="L11" s="18" t="n"/>
      <c r="M11" s="18" t="n"/>
    </row>
    <row r="12">
      <c r="A12" s="17" t="inlineStr">
        <is>
          <t>UTH-GLOBAL-011</t>
        </is>
      </c>
      <c r="B12" s="17" t="inlineStr">
        <is>
          <t>Global — Common Elements</t>
        </is>
      </c>
      <c r="C12" s="17" t="n">
        <v>1440</v>
      </c>
      <c r="D12" s="17" t="inlineStr">
        <is>
          <t>Color &amp; Token</t>
        </is>
      </c>
      <c r="E12" s="17" t="inlineStr">
        <is>
          <t>Minor</t>
        </is>
      </c>
      <c r="F12" s="17" t="inlineStr">
        <is>
          <t>Figma: The search bar and table sit directly on the page with a soft shadow — there is NO bordered card around them.  →  Live: The search and table are wrapped in a 1px hairline-bordered card.</t>
        </is>
      </c>
      <c r="G12" s="17" t="inlineStr">
        <is>
          <t>Remove the hairline card border around the search + table; use the soft shadow from the design.</t>
        </is>
      </c>
      <c r="H12" s="17" t="inlineStr">
        <is>
          <t>https://www.figma.com/design/gH2vQ62cfg4677YKWuOpLc/MoSJE-Portal--Handoff-?node-id=4226-39685</t>
        </is>
      </c>
      <c r="I12" s="17" t="n"/>
      <c r="J12" s="17" t="inlineStr">
        <is>
          <t>Open</t>
        </is>
      </c>
      <c r="K12" s="17" t="n"/>
      <c r="L12" s="17" t="n"/>
      <c r="M12" s="17" t="n"/>
    </row>
    <row r="13">
      <c r="A13" s="18" t="inlineStr">
        <is>
          <t>UTH-LOGIN-001</t>
        </is>
      </c>
      <c r="B13" s="18" t="inlineStr">
        <is>
          <t>Login</t>
        </is>
      </c>
      <c r="C13" s="18" t="n">
        <v>1440</v>
      </c>
      <c r="D13" s="18" t="inlineStr">
        <is>
          <t>Components &amp; States</t>
        </is>
      </c>
      <c r="E13" s="18" t="inlineStr">
        <is>
          <t>Blocker</t>
        </is>
      </c>
      <c r="F13" s="18" t="inlineStr">
        <is>
          <t>Figma: Navy government bar at the very top — flag + 'Government of India', 'Skip to Main Content', A−/A/A+ text resize, contrast toggle and language selector.  →  Live: The login page has no government bar at all (the signed-in pages do have it).</t>
        </is>
      </c>
      <c r="G13" s="18" t="inlineStr">
        <is>
          <t>Add the same government accessibility bar to the top of the login page.</t>
        </is>
      </c>
      <c r="H13" s="18" t="inlineStr">
        <is>
          <t>https://www.figma.com/design/gH2vQ62cfg4677YKWuOpLc/MoSJE-Portal--Handoff-?node-id=9018-36746</t>
        </is>
      </c>
      <c r="I13" s="18" t="inlineStr">
        <is>
          <t>https://eutthan-admin-uat.mosje.in/login</t>
        </is>
      </c>
      <c r="J13" s="18" t="inlineStr">
        <is>
          <t>Open</t>
        </is>
      </c>
      <c r="K13" s="18" t="n"/>
      <c r="L13" s="18" t="n"/>
      <c r="M13" s="18" t="n"/>
    </row>
    <row r="14">
      <c r="A14" s="17" t="inlineStr">
        <is>
          <t>UTH-LOGIN-002</t>
        </is>
      </c>
      <c r="B14" s="17" t="inlineStr">
        <is>
          <t>Login</t>
        </is>
      </c>
      <c r="C14" s="17" t="n">
        <v>1440</v>
      </c>
      <c r="D14" s="17" t="inlineStr">
        <is>
          <t>Content &amp; Iconography</t>
        </is>
      </c>
      <c r="E14" s="17" t="inlineStr">
        <is>
          <t>Major</t>
        </is>
      </c>
      <c r="F14" s="17" t="inlineStr">
        <is>
          <t>Figma: Emblem + BETA tag + the full three-line lockup ending in the bold 'Department of Social Justice &amp; Empowerment', plus the Digital India and SAMAVESH logos.  →  Live: Only the emblem with two lines; the BETA tag, Department line and both partner logos are missing.</t>
        </is>
      </c>
      <c r="G14" s="17" t="inlineStr">
        <is>
          <t>Show the complete masthead: BETA tag, full department lockup, and the Digital India + SAMAVESH logos.</t>
        </is>
      </c>
      <c r="H14" s="17" t="inlineStr">
        <is>
          <t>https://www.figma.com/design/gH2vQ62cfg4677YKWuOpLc/MoSJE-Portal--Handoff-?node-id=9018-36746</t>
        </is>
      </c>
      <c r="I14" s="17" t="inlineStr">
        <is>
          <t>https://eutthan-admin-uat.mosje.in/login</t>
        </is>
      </c>
      <c r="J14" s="17" t="inlineStr">
        <is>
          <t>Open</t>
        </is>
      </c>
      <c r="K14" s="17" t="n"/>
      <c r="L14" s="17" t="n"/>
      <c r="M14" s="17" t="n"/>
    </row>
    <row r="15">
      <c r="A15" s="18" t="inlineStr">
        <is>
          <t>UTH-LOGIN-003</t>
        </is>
      </c>
      <c r="B15" s="18" t="inlineStr">
        <is>
          <t>Login</t>
        </is>
      </c>
      <c r="C15" s="18" t="n">
        <v>1440</v>
      </c>
      <c r="D15" s="18" t="inlineStr">
        <is>
          <t>Color &amp; Token</t>
        </is>
      </c>
      <c r="E15" s="18" t="inlineStr">
        <is>
          <t>Blocker</t>
        </is>
      </c>
      <c r="F15" s="18" t="inlineStr">
        <is>
          <t>Figma: A solid navy #003366 brand panel (~60% of the page): SAMAVESH logo + समावेश wordmark, orange divider, 'Justice. Equality. Dignity.' headline, a short description, and a bottom 'SIGNING INTO E-Utthaan' strip with a Change button.  →  Live: A pale-blue illustration fills the left side (~44%) — no navy panel, no SAMAVESH branding, no tagline and no 'SIGNING INTO' strip.</t>
        </is>
      </c>
      <c r="G15" s="18" t="inlineStr">
        <is>
          <t>Replace the illustration with the navy SAMAVESH brand panel, restore the ~60/40 split and the 'SIGNING INTO E-Utthaan' strip.</t>
        </is>
      </c>
      <c r="H15" s="18" t="inlineStr">
        <is>
          <t>https://www.figma.com/design/gH2vQ62cfg4677YKWuOpLc/MoSJE-Portal--Handoff-?node-id=9018-36746</t>
        </is>
      </c>
      <c r="I15" s="18" t="inlineStr">
        <is>
          <t>https://eutthan-admin-uat.mosje.in/login</t>
        </is>
      </c>
      <c r="J15" s="18" t="inlineStr">
        <is>
          <t>Open</t>
        </is>
      </c>
      <c r="K15" s="18" t="n"/>
      <c r="L15" s="18" t="n"/>
      <c r="M15" s="18" t="n"/>
    </row>
    <row r="16">
      <c r="A16" s="17" t="inlineStr">
        <is>
          <t>UTH-LOGIN-004</t>
        </is>
      </c>
      <c r="B16" s="17" t="inlineStr">
        <is>
          <t>Login</t>
        </is>
      </c>
      <c r="C16" s="17" t="n">
        <v>1440</v>
      </c>
      <c r="D16" s="17" t="inlineStr">
        <is>
          <t>Content &amp; Iconography</t>
        </is>
      </c>
      <c r="E16" s="17" t="inlineStr">
        <is>
          <t>Major</t>
        </is>
      </c>
      <c r="F16" s="17" t="inlineStr">
        <is>
          <t>Figma: 'Log in to your account' — left-aligned at the top of the form.  →  Live: 'Log In' — centred, with the national emblem repeated above it.</t>
        </is>
      </c>
      <c r="G16" s="17" t="inlineStr">
        <is>
          <t>Use the heading 'Log in to your account', left-aligned, and remove the duplicate emblem above the form.</t>
        </is>
      </c>
      <c r="H16" s="17" t="inlineStr">
        <is>
          <t>https://www.figma.com/design/gH2vQ62cfg4677YKWuOpLc/MoSJE-Portal--Handoff-?node-id=9018-36746</t>
        </is>
      </c>
      <c r="I16" s="17" t="inlineStr">
        <is>
          <t>https://eutthan-admin-uat.mosje.in/login</t>
        </is>
      </c>
      <c r="J16" s="17" t="inlineStr">
        <is>
          <t>Open</t>
        </is>
      </c>
      <c r="K16" s="17" t="n"/>
      <c r="L16" s="17" t="n"/>
      <c r="M16" s="17" t="n"/>
    </row>
    <row r="17">
      <c r="A17" s="18" t="inlineStr">
        <is>
          <t>UTH-LOGIN-005</t>
        </is>
      </c>
      <c r="B17" s="18" t="inlineStr">
        <is>
          <t>Login</t>
        </is>
      </c>
      <c r="C17" s="18" t="n">
        <v>1440</v>
      </c>
      <c r="D17" s="18" t="inlineStr">
        <is>
          <t>Components &amp; States</t>
        </is>
      </c>
      <c r="E17" s="18" t="inlineStr">
        <is>
          <t>Major</t>
        </is>
      </c>
      <c r="F17" s="18" t="inlineStr">
        <is>
          <t>Figma: 'User ID or Email' and 'Password' labels sit above their fields; inputs are 48px tall with a navy #003366 focus outline.  →  Live: No labels — only placeholder text inside the fields; inputs are 46px tall with no visible focus style.</t>
        </is>
      </c>
      <c r="G17" s="18" t="inlineStr">
        <is>
          <t>Add the two field labels above the inputs; input height 48px with a 2px navy #003366 focus outline.</t>
        </is>
      </c>
      <c r="H17" s="18" t="inlineStr">
        <is>
          <t>https://www.figma.com/design/gH2vQ62cfg4677YKWuOpLc/MoSJE-Portal--Handoff-?node-id=9018-36746</t>
        </is>
      </c>
      <c r="I17" s="18" t="inlineStr">
        <is>
          <t>https://eutthan-admin-uat.mosje.in/login</t>
        </is>
      </c>
      <c r="J17" s="18" t="inlineStr">
        <is>
          <t>Open</t>
        </is>
      </c>
      <c r="K17" s="18" t="n"/>
      <c r="L17" s="18" t="n"/>
      <c r="M17" s="18" t="n"/>
    </row>
    <row r="18">
      <c r="A18" s="17" t="inlineStr">
        <is>
          <t>UTH-LOGIN-006</t>
        </is>
      </c>
      <c r="B18" s="17" t="inlineStr">
        <is>
          <t>Login</t>
        </is>
      </c>
      <c r="C18" s="17" t="n">
        <v>1440</v>
      </c>
      <c r="D18" s="17" t="inlineStr">
        <is>
          <t>Components &amp; States</t>
        </is>
      </c>
      <c r="E18" s="17" t="inlineStr">
        <is>
          <t>Minor</t>
        </is>
      </c>
      <c r="F18" s="17" t="inlineStr">
        <is>
          <t>Figma: Eye icon inside the password field — 24×24, grey #6b7280.  →  Live: The eye icon is smaller (~16px) and tight against the field edge with a small tap area.</t>
        </is>
      </c>
      <c r="G18" s="17" t="inlineStr">
        <is>
          <t>Use the 24px eye icon in grey #6b7280 with a comfortable tap area.</t>
        </is>
      </c>
      <c r="H18" s="17" t="inlineStr">
        <is>
          <t>https://www.figma.com/design/gH2vQ62cfg4677YKWuOpLc/MoSJE-Portal--Handoff-?node-id=9018-36746</t>
        </is>
      </c>
      <c r="I18" s="17" t="inlineStr">
        <is>
          <t>https://eutthan-admin-uat.mosje.in/login</t>
        </is>
      </c>
      <c r="J18" s="17" t="inlineStr">
        <is>
          <t>Open</t>
        </is>
      </c>
      <c r="K18" s="17" t="n"/>
      <c r="L18" s="17" t="n"/>
      <c r="M18" s="17" t="n"/>
    </row>
    <row r="19">
      <c r="A19" s="18" t="inlineStr">
        <is>
          <t>UTH-LOGIN-007</t>
        </is>
      </c>
      <c r="B19" s="18" t="inlineStr">
        <is>
          <t>Login</t>
        </is>
      </c>
      <c r="C19" s="18" t="n">
        <v>1440</v>
      </c>
      <c r="D19" s="18" t="inlineStr">
        <is>
          <t>Color &amp; Token</t>
        </is>
      </c>
      <c r="E19" s="18" t="inlineStr">
        <is>
          <t>Minor</t>
        </is>
      </c>
      <c r="F19" s="18" t="inlineStr">
        <is>
          <t>Figma: Label 'Log In' · 48px tall · 8px corner radius · full form width.  →  Live: Label 'Sign In' · ~41px tall · ~6px radius.</t>
        </is>
      </c>
      <c r="G19" s="18" t="inlineStr">
        <is>
          <t>Change the label to 'Log In'; set height 48px and corner radius 8px.</t>
        </is>
      </c>
      <c r="H19" s="18" t="inlineStr">
        <is>
          <t>https://www.figma.com/design/gH2vQ62cfg4677YKWuOpLc/MoSJE-Portal--Handoff-?node-id=9018-36746</t>
        </is>
      </c>
      <c r="I19" s="18" t="inlineStr">
        <is>
          <t>https://eutthan-admin-uat.mosje.in/login</t>
        </is>
      </c>
      <c r="J19" s="18" t="inlineStr">
        <is>
          <t>Open</t>
        </is>
      </c>
      <c r="K19" s="18" t="n"/>
      <c r="L19" s="18" t="n"/>
      <c r="M19" s="18" t="n"/>
    </row>
    <row r="20">
      <c r="A20" s="17" t="inlineStr">
        <is>
          <t>UTH-LOGIN-008</t>
        </is>
      </c>
      <c r="B20" s="17" t="inlineStr">
        <is>
          <t>Login</t>
        </is>
      </c>
      <c r="C20" s="17" t="n">
        <v>1440</v>
      </c>
      <c r="D20" s="17" t="inlineStr">
        <is>
          <t>Content &amp; Iconography</t>
        </is>
      </c>
      <c r="E20" s="17" t="inlineStr">
        <is>
          <t>Nit</t>
        </is>
      </c>
      <c r="F20" s="17" t="inlineStr">
        <is>
          <t>Figma: 'Forgot Password?' — with the question mark — right-aligned on the Password label row, in navy.  →  Live: 'Forgot Password' without the question mark.</t>
        </is>
      </c>
      <c r="G20" s="17" t="inlineStr">
        <is>
          <t>Add the question mark: 'Forgot Password?'.</t>
        </is>
      </c>
      <c r="H20" s="17" t="inlineStr">
        <is>
          <t>https://www.figma.com/design/gH2vQ62cfg4677YKWuOpLc/MoSJE-Portal--Handoff-?node-id=9018-36746</t>
        </is>
      </c>
      <c r="I20" s="17" t="inlineStr">
        <is>
          <t>https://eutthan-admin-uat.mosje.in/login</t>
        </is>
      </c>
      <c r="J20" s="17" t="inlineStr">
        <is>
          <t>Open</t>
        </is>
      </c>
      <c r="K20" s="17" t="n"/>
      <c r="L20" s="17" t="n"/>
      <c r="M20" s="17" t="n"/>
    </row>
    <row r="21">
      <c r="A21" s="18" t="inlineStr">
        <is>
          <t>UTH-DASHBOARD-001</t>
        </is>
      </c>
      <c r="B21" s="18" t="inlineStr">
        <is>
          <t>Admin / Dashboard</t>
        </is>
      </c>
      <c r="C21" s="18" t="n">
        <v>1440</v>
      </c>
      <c r="D21" s="18" t="inlineStr">
        <is>
          <t>Typography</t>
        </is>
      </c>
      <c r="E21" s="18" t="inlineStr">
        <is>
          <t>Minor</t>
        </is>
      </c>
      <c r="F21" s="18" t="inlineStr">
        <is>
          <t>Figma: Noto Sans 28px / 500 / line-height 36 / letter-spacing −0.28 / colour #374151.  →  Live: 30px / 600 / colour #1E3A5F (larger, bolder and a different colour).</t>
        </is>
      </c>
      <c r="G21" s="18" t="inlineStr">
        <is>
          <t>Set the page heading to 28px / 500 / #374151 / letter-spacing −0.28.</t>
        </is>
      </c>
      <c r="H21" s="18" t="inlineStr">
        <is>
          <t>https://www.figma.com/design/gH2vQ62cfg4677YKWuOpLc/MoSJE-Portal--Handoff-?node-id=4226-39685</t>
        </is>
      </c>
      <c r="I21" s="18" t="inlineStr">
        <is>
          <t>https://eutthan-admin-uat.mosje.in/dashboard</t>
        </is>
      </c>
      <c r="J21" s="18" t="inlineStr">
        <is>
          <t>Open</t>
        </is>
      </c>
      <c r="K21" s="18" t="n"/>
      <c r="L21" s="18" t="n"/>
      <c r="M21" s="18" t="n"/>
    </row>
    <row r="22">
      <c r="A22" s="17" t="inlineStr">
        <is>
          <t>UTH-DASHBOARD-002</t>
        </is>
      </c>
      <c r="B22" s="17" t="inlineStr">
        <is>
          <t>Admin / Dashboard</t>
        </is>
      </c>
      <c r="C22" s="17" t="n">
        <v>1440</v>
      </c>
      <c r="D22" s="17" t="inlineStr">
        <is>
          <t>Layout &amp; Spacing</t>
        </is>
      </c>
      <c r="E22" s="17" t="inlineStr">
        <is>
          <t>Major</t>
        </is>
      </c>
      <c r="F22" s="17" t="inlineStr">
        <is>
          <t>Figma: The State and Financial-Year filters sit at the top of the page, next to the 'Dashboard' heading — they control everything below.  →  Live: The Financial-Year filter sits inside the 'Progress Report' panel header, although changing it also updates the four KPI cards above it.</t>
        </is>
      </c>
      <c r="G22" s="17" t="inlineStr">
        <is>
          <t>Move the Financial-Year filter to the top of the page next to the heading, as it affects the whole page. Applies to the Ministry dashboard as well.</t>
        </is>
      </c>
      <c r="H22" s="17" t="inlineStr">
        <is>
          <t>https://www.figma.com/design/gH2vQ62cfg4677YKWuOpLc/MoSJE-Portal--Handoff-?node-id=4226-39685</t>
        </is>
      </c>
      <c r="I22" s="17" t="inlineStr">
        <is>
          <t>https://eutthan-admin-uat.mosje.in/dashboard</t>
        </is>
      </c>
      <c r="J22" s="17" t="inlineStr">
        <is>
          <t>Open</t>
        </is>
      </c>
      <c r="K22" s="17" t="n"/>
      <c r="L22" s="17" t="n"/>
      <c r="M22" s="17" t="n"/>
    </row>
    <row r="23">
      <c r="A23" s="18" t="inlineStr">
        <is>
          <t>UTH-DASHBOARD-003</t>
        </is>
      </c>
      <c r="B23" s="18" t="inlineStr">
        <is>
          <t>Admin / Dashboard</t>
        </is>
      </c>
      <c r="C23" s="18" t="n">
        <v>1440</v>
      </c>
      <c r="D23" s="18" t="inlineStr">
        <is>
          <t>Components &amp; States</t>
        </is>
      </c>
      <c r="E23" s="18" t="inlineStr">
        <is>
          <t>Minor</t>
        </is>
      </c>
      <c r="F23" s="18" t="inlineStr">
        <is>
          <t>Figma: Two filters at the top: a State dropdown ('All States') and the Financial-Year dropdown.  →  Live: Only the Financial-Year filter exists; there is no State filter.</t>
        </is>
      </c>
      <c r="G23" s="18" t="inlineStr">
        <is>
          <t>Show all the relevant filters.</t>
        </is>
      </c>
      <c r="H23" s="18" t="inlineStr">
        <is>
          <t>https://www.figma.com/design/gH2vQ62cfg4677YKWuOpLc/MoSJE-Portal--Handoff-?node-id=4226-39685</t>
        </is>
      </c>
      <c r="I23" s="18" t="inlineStr">
        <is>
          <t>https://eutthan-admin-uat.mosje.in/dashboard</t>
        </is>
      </c>
      <c r="J23" s="18" t="inlineStr">
        <is>
          <t>Open</t>
        </is>
      </c>
      <c r="K23" s="18" t="n"/>
      <c r="L23" s="18" t="n"/>
      <c r="M23" s="18" t="n"/>
    </row>
    <row r="24">
      <c r="A24" s="17" t="inlineStr">
        <is>
          <t>UTH-DASHBOARD-004</t>
        </is>
      </c>
      <c r="B24" s="17" t="inlineStr">
        <is>
          <t>Admin / Dashboard</t>
        </is>
      </c>
      <c r="C24" s="17" t="n">
        <v>1440</v>
      </c>
      <c r="D24" s="17" t="inlineStr">
        <is>
          <t>Typography</t>
        </is>
      </c>
      <c r="E24" s="17" t="inlineStr">
        <is>
          <t>Major</t>
        </is>
      </c>
      <c r="F24" s="17" t="inlineStr">
        <is>
          <t>Figma: Card label in regular weight (400) dark slate #374151; the value below in semibold dark slate #374151.  →  Live: Card labels render in bold, and all values render in bold navy (#003366 family) — heavier and bluer than the design.</t>
        </is>
      </c>
      <c r="G24" s="17" t="inlineStr">
        <is>
          <t>Card labels → regular 400 #374151; values → semibold #374151 (not navy, not extra bold). Applies to both dashboards.</t>
        </is>
      </c>
      <c r="H24" s="17" t="inlineStr">
        <is>
          <t>https://www.figma.com/design/gH2vQ62cfg4677YKWuOpLc/MoSJE-Portal--Handoff-?node-id=4226-39685</t>
        </is>
      </c>
      <c r="I24" s="17" t="inlineStr">
        <is>
          <t>https://eutthan-admin-uat.mosje.in/dashboard</t>
        </is>
      </c>
      <c r="J24" s="17" t="inlineStr">
        <is>
          <t>Open</t>
        </is>
      </c>
      <c r="K24" s="17" t="n"/>
      <c r="L24" s="17" t="n"/>
      <c r="M24" s="17" t="n"/>
    </row>
    <row r="25">
      <c r="A25" s="18" t="inlineStr">
        <is>
          <t>UTH-DASHBOARD-005</t>
        </is>
      </c>
      <c r="B25" s="18" t="inlineStr">
        <is>
          <t>Admin / Dashboard</t>
        </is>
      </c>
      <c r="C25" s="18" t="n">
        <v>1440</v>
      </c>
      <c r="D25" s="18" t="inlineStr">
        <is>
          <t>Layout &amp; Spacing</t>
        </is>
      </c>
      <c r="E25" s="18" t="inlineStr">
        <is>
          <t>Minor</t>
        </is>
      </c>
      <c r="F25" s="18" t="inlineStr">
        <is>
          <t>Figma: 'Progress Report of Financial Year …' is a plain section title on the page, with the white stat cards directly below it.  →  Live: The whole progress section is wrapped in a grey panel with a header strip, so the cards sit inside a box that isn't in the design.</t>
        </is>
      </c>
      <c r="G25" s="18" t="inlineStr">
        <is>
          <t>Remove the grey wrapper panel; show the section title directly on the page with the cards below.</t>
        </is>
      </c>
      <c r="H25" s="18" t="inlineStr">
        <is>
          <t>https://www.figma.com/design/gH2vQ62cfg4677YKWuOpLc/MoSJE-Portal--Handoff-?node-id=4226-39685</t>
        </is>
      </c>
      <c r="I25" s="18" t="inlineStr">
        <is>
          <t>https://eutthan-admin-uat.mosje.in/dashboard</t>
        </is>
      </c>
      <c r="J25" s="18" t="inlineStr">
        <is>
          <t>Open</t>
        </is>
      </c>
      <c r="K25" s="18" t="n"/>
      <c r="L25" s="18" t="n"/>
      <c r="M25" s="18" t="n"/>
    </row>
    <row r="26">
      <c r="A26" s="17" t="inlineStr">
        <is>
          <t>UTH-FINANCIAL-YEAR-001</t>
        </is>
      </c>
      <c r="B26" s="17" t="inlineStr">
        <is>
          <t>Admin / Financial Year</t>
        </is>
      </c>
      <c r="C26" s="17" t="n">
        <v>1440</v>
      </c>
      <c r="D26" s="17" t="inlineStr">
        <is>
          <t>Color &amp; Token</t>
        </is>
      </c>
      <c r="E26" s="17" t="inlineStr">
        <is>
          <t>Major</t>
        </is>
      </c>
      <c r="F26" s="17" t="inlineStr">
        <is>
          <t>Figma: Financial-year body cells use navy #003366 (this screen highlights the value in primary).  →  Live: Body cells render in #374151 — the navy treatment is missing.</t>
        </is>
      </c>
      <c r="G26" s="17" t="inlineStr">
        <is>
          <t>Set the body cell text to navy #003366 on this screen.</t>
        </is>
      </c>
      <c r="H26" s="17" t="inlineStr">
        <is>
          <t>https://www.figma.com/design/gH2vQ62cfg4677YKWuOpLc/MoSJE-Portal--Handoff-?node-id=4226-40009</t>
        </is>
      </c>
      <c r="I26" s="17" t="inlineStr">
        <is>
          <t>https://eutthan-admin-uat.mosje.in/admin/financial-year-management</t>
        </is>
      </c>
      <c r="J26" s="17" t="inlineStr">
        <is>
          <t>Open</t>
        </is>
      </c>
      <c r="K26" s="17" t="n"/>
      <c r="L26" s="17" t="n"/>
      <c r="M26" s="17" t="n"/>
    </row>
    <row r="27">
      <c r="A27" s="18" t="inlineStr">
        <is>
          <t>UTH-FINANCIAL-YEAR-002</t>
        </is>
      </c>
      <c r="B27" s="18" t="inlineStr">
        <is>
          <t>Admin / Financial Year</t>
        </is>
      </c>
      <c r="C27" s="18" t="n">
        <v>1440</v>
      </c>
      <c r="D27" s="18" t="inlineStr">
        <is>
          <t>Components &amp; States</t>
        </is>
      </c>
      <c r="E27" s="18" t="inlineStr">
        <is>
          <t>Major</t>
        </is>
      </c>
      <c r="F27" s="18" t="inlineStr">
        <is>
          <t>Figma: The right-most column has an 'Action' header above the row controls.  →  Live: No 'Action' header above the edit/delete controls.</t>
        </is>
      </c>
      <c r="G27" s="18" t="inlineStr">
        <is>
          <t>Add the 'Action' column header to the table header row.</t>
        </is>
      </c>
      <c r="H27" s="18" t="inlineStr">
        <is>
          <t>https://www.figma.com/design/gH2vQ62cfg4677YKWuOpLc/MoSJE-Portal--Handoff-?node-id=4226-40009</t>
        </is>
      </c>
      <c r="I27" s="18" t="inlineStr">
        <is>
          <t>https://eutthan-admin-uat.mosje.in/admin/financial-year-management</t>
        </is>
      </c>
      <c r="J27" s="18" t="inlineStr">
        <is>
          <t>Open</t>
        </is>
      </c>
      <c r="K27" s="18" t="n"/>
      <c r="L27" s="18" t="n"/>
      <c r="M27" s="18" t="n"/>
    </row>
    <row r="28">
      <c r="A28" s="17" t="inlineStr">
        <is>
          <t>UTH-FINANCIAL-YEAR-003</t>
        </is>
      </c>
      <c r="B28" s="17" t="inlineStr">
        <is>
          <t>Admin / Financial Year</t>
        </is>
      </c>
      <c r="C28" s="17" t="n">
        <v>1440</v>
      </c>
      <c r="D28" s="17" t="inlineStr">
        <is>
          <t>Components &amp; States</t>
        </is>
      </c>
      <c r="E28" s="17" t="inlineStr">
        <is>
          <t>Major</t>
        </is>
      </c>
      <c r="F28" s="17" t="inlineStr">
        <is>
          <t>Figma: Two icon-only buttons per row: a pencil (edit) in a light box and a red trash (delete) in a light-red box.  →  Live: An 'Edit' text link with a pencil, plus a bare trash icon — not the boxed icon-only buttons.</t>
        </is>
      </c>
      <c r="G28" s="17" t="inlineStr">
        <is>
          <t>Use the boxed icon-only pencil and red trash buttons from the design.</t>
        </is>
      </c>
      <c r="H28" s="17" t="inlineStr">
        <is>
          <t>https://www.figma.com/design/gH2vQ62cfg4677YKWuOpLc/MoSJE-Portal--Handoff-?node-id=4226-40009</t>
        </is>
      </c>
      <c r="I28" s="17" t="inlineStr">
        <is>
          <t>https://eutthan-admin-uat.mosje.in/admin/financial-year-management</t>
        </is>
      </c>
      <c r="J28" s="17" t="inlineStr">
        <is>
          <t>Open</t>
        </is>
      </c>
      <c r="K28" s="17" t="n"/>
      <c r="L28" s="17" t="n"/>
      <c r="M28" s="17" t="n"/>
    </row>
    <row r="29">
      <c r="A29" s="18" t="inlineStr">
        <is>
          <t>UTH-FINANCIAL-YEAR-004</t>
        </is>
      </c>
      <c r="B29" s="18" t="inlineStr">
        <is>
          <t>Admin / Financial Year</t>
        </is>
      </c>
      <c r="C29" s="18" t="n">
        <v>1440</v>
      </c>
      <c r="D29" s="18" t="inlineStr">
        <is>
          <t>Color &amp; Token</t>
        </is>
      </c>
      <c r="E29" s="18" t="inlineStr">
        <is>
          <t>Minor</t>
        </is>
      </c>
      <c r="F29" s="18" t="inlineStr">
        <is>
          <t>Figma: Highlighted/selected row background #e5eff9.  →  Live: Highlighted row background #eaf2fb — visually close but not the token.</t>
        </is>
      </c>
      <c r="G29" s="18" t="inlineStr">
        <is>
          <t>Use #e5eff9 for the highlighted row background.</t>
        </is>
      </c>
      <c r="H29" s="18" t="inlineStr">
        <is>
          <t>https://www.figma.com/design/gH2vQ62cfg4677YKWuOpLc/MoSJE-Portal--Handoff-?node-id=4226-40009</t>
        </is>
      </c>
      <c r="I29" s="18" t="inlineStr">
        <is>
          <t>https://eutthan-admin-uat.mosje.in/admin/financial-year-management</t>
        </is>
      </c>
      <c r="J29" s="18" t="inlineStr">
        <is>
          <t>Open</t>
        </is>
      </c>
      <c r="K29" s="18" t="n"/>
      <c r="L29" s="18" t="n"/>
      <c r="M29" s="18" t="n"/>
    </row>
    <row r="30">
      <c r="A30" s="17" t="inlineStr">
        <is>
          <t>UTH-FINANCIAL-YEAR-005</t>
        </is>
      </c>
      <c r="B30" s="17" t="inlineStr">
        <is>
          <t>Admin / Financial Year</t>
        </is>
      </c>
      <c r="C30" s="17" t="n">
        <v>1440</v>
      </c>
      <c r="D30" s="17" t="inlineStr">
        <is>
          <t>Color &amp; Token</t>
        </is>
      </c>
      <c r="E30" s="17" t="inlineStr">
        <is>
          <t>Minor</t>
        </is>
      </c>
      <c r="F30" s="17" t="inlineStr">
        <is>
          <t>Figma: Search field has a white background (border #e5e7eb).  →  Live: Search field background is grey #f9fafb (border #e5e7eb is the same in both).</t>
        </is>
      </c>
      <c r="G30" s="17" t="inlineStr">
        <is>
          <t>Set the search field background to white.</t>
        </is>
      </c>
      <c r="H30" s="17" t="inlineStr">
        <is>
          <t>https://www.figma.com/design/gH2vQ62cfg4677YKWuOpLc/MoSJE-Portal--Handoff-?node-id=4226-40009</t>
        </is>
      </c>
      <c r="I30" s="17" t="inlineStr">
        <is>
          <t>https://eutthan-admin-uat.mosje.in/admin/financial-year-management</t>
        </is>
      </c>
      <c r="J30" s="17" t="inlineStr">
        <is>
          <t>Open</t>
        </is>
      </c>
      <c r="K30" s="17" t="n"/>
      <c r="L30" s="17" t="n"/>
      <c r="M30" s="17" t="n"/>
    </row>
    <row r="31">
      <c r="A31" s="18" t="inlineStr">
        <is>
          <t>UTH-MANAGE-MINISTRY-001</t>
        </is>
      </c>
      <c r="B31" s="18" t="inlineStr">
        <is>
          <t>Admin / Manage Ministry</t>
        </is>
      </c>
      <c r="C31" s="18" t="n">
        <v>1440</v>
      </c>
      <c r="D31" s="18" t="inlineStr">
        <is>
          <t>Color &amp; Token</t>
        </is>
      </c>
      <c r="E31" s="18" t="inlineStr">
        <is>
          <t>Major</t>
        </is>
      </c>
      <c r="F31" s="18" t="inlineStr">
        <is>
          <t>Figma: Default rows in neutral dark #374151; a row turns primary navy #003366 (on the #e5eff9 highlight) only on hover/selection.  →  Live: Ministry names always render in a lighter blue link style, regardless of state.</t>
        </is>
      </c>
      <c r="G31" s="18" t="inlineStr">
        <is>
          <t>Default rows → #374151; apply the navy #003366 treatment only to the hovered/selected row.</t>
        </is>
      </c>
      <c r="H31" s="18" t="inlineStr">
        <is>
          <t>https://www.figma.com/design/gH2vQ62cfg4677YKWuOpLc/MoSJE-Portal--Handoff-?node-id=4226-40288</t>
        </is>
      </c>
      <c r="I31" s="18" t="inlineStr">
        <is>
          <t>https://eutthan-admin-uat.mosje.in/ministry-management</t>
        </is>
      </c>
      <c r="J31" s="18" t="inlineStr">
        <is>
          <t>Open</t>
        </is>
      </c>
      <c r="K31" s="18" t="n"/>
      <c r="L31" s="18" t="n"/>
      <c r="M31" s="18" t="n"/>
    </row>
    <row r="32">
      <c r="A32" s="17" t="inlineStr">
        <is>
          <t>UTH-MANAGE-MINISTRY-002</t>
        </is>
      </c>
      <c r="B32" s="17" t="inlineStr">
        <is>
          <t>Admin / Manage Ministry</t>
        </is>
      </c>
      <c r="C32" s="17" t="n">
        <v>1440</v>
      </c>
      <c r="D32" s="17" t="inlineStr">
        <is>
          <t>Components &amp; States</t>
        </is>
      </c>
      <c r="E32" s="17" t="inlineStr">
        <is>
          <t>Major</t>
        </is>
      </c>
      <c r="F32" s="17" t="inlineStr">
        <is>
          <t>Figma: On the hovered row: 'Edit' (navy on a light fill, 8px radius) and 'Delete' (red text + icon), comfortably sized with a 12px gap.  →  Live: Edit and Delete appear but are compressed by the tight row padding and can't render at their designed size.</t>
        </is>
      </c>
      <c r="G32" s="17" t="inlineStr">
        <is>
          <t>Match the Edit/Delete buttons' size, fill and spacing to the design.</t>
        </is>
      </c>
      <c r="H32" s="17" t="inlineStr">
        <is>
          <t>https://www.figma.com/design/gH2vQ62cfg4677YKWuOpLc/MoSJE-Portal--Handoff-?node-id=4226-40288</t>
        </is>
      </c>
      <c r="I32" s="17" t="inlineStr">
        <is>
          <t>https://eutthan-admin-uat.mosje.in/ministry-management</t>
        </is>
      </c>
      <c r="J32" s="17" t="inlineStr">
        <is>
          <t>Open</t>
        </is>
      </c>
      <c r="K32" s="17" t="n"/>
      <c r="L32" s="17" t="n"/>
      <c r="M32" s="17" t="n"/>
    </row>
    <row r="33">
      <c r="A33" s="18" t="inlineStr">
        <is>
          <t>UTH-MANAGE-OUTCOME-001</t>
        </is>
      </c>
      <c r="B33" s="18" t="inlineStr">
        <is>
          <t>Admin / Manage Outcome</t>
        </is>
      </c>
      <c r="C33" s="18" t="n">
        <v>1440</v>
      </c>
      <c r="D33" s="18" t="inlineStr">
        <is>
          <t>Components &amp; States</t>
        </is>
      </c>
      <c r="E33" s="18" t="inlineStr">
        <is>
          <t>Minor</t>
        </is>
      </c>
      <c r="F33" s="18" t="inlineStr">
        <is>
          <t>Figma: Three filter chips beside the search: Financial Year, 'All Schemes' and 'All Department'.  →  Live: Only the Financial-Year dropdown is present.</t>
        </is>
      </c>
      <c r="G33" s="18" t="inlineStr">
        <is>
          <t>Show all the relevant filters.</t>
        </is>
      </c>
      <c r="H33" s="18" t="inlineStr">
        <is>
          <t>https://www.figma.com/design/gH2vQ62cfg4677YKWuOpLc/MoSJE-Portal--Handoff-?node-id=4226-40657</t>
        </is>
      </c>
      <c r="I33" s="18" t="inlineStr">
        <is>
          <t>https://eutthan-admin-uat.mosje.in/manage-outcome</t>
        </is>
      </c>
      <c r="J33" s="18" t="inlineStr">
        <is>
          <t>Open</t>
        </is>
      </c>
      <c r="K33" s="18" t="n"/>
      <c r="L33" s="18" t="n"/>
      <c r="M33" s="18" t="n"/>
    </row>
    <row r="34">
      <c r="A34" s="17" t="inlineStr">
        <is>
          <t>UTH-DOCUMENTS-001</t>
        </is>
      </c>
      <c r="B34" s="17" t="inlineStr">
        <is>
          <t>Admin / Documents</t>
        </is>
      </c>
      <c r="C34" s="17" t="n">
        <v>1440</v>
      </c>
      <c r="D34" s="17" t="inlineStr">
        <is>
          <t>Components &amp; States</t>
        </is>
      </c>
      <c r="E34" s="17" t="inlineStr">
        <is>
          <t>Major</t>
        </is>
      </c>
      <c r="F34" s="17" t="inlineStr">
        <is>
          <t>Figma: A compact filter chip (about 99×36, 6px radius, 1px #e5e7eb border, leading arrow-down icon).  →  Live: A wide clearable select with a trailing × button and chevron — a different control style.</t>
        </is>
      </c>
      <c r="G34" s="17" t="inlineStr">
        <is>
          <t>Use the compact filter-chip style from the design; keep the × clear only for an applied-filter state.</t>
        </is>
      </c>
      <c r="H34" s="17" t="inlineStr">
        <is>
          <t>https://www.figma.com/design/gH2vQ62cfg4677YKWuOpLc/MoSJE-Portal--Handoff-?node-id=4226-42902</t>
        </is>
      </c>
      <c r="I34" s="17" t="inlineStr">
        <is>
          <t>https://eutthan-admin-uat.mosje.in/document-management</t>
        </is>
      </c>
      <c r="J34" s="17" t="inlineStr">
        <is>
          <t>Open</t>
        </is>
      </c>
      <c r="K34" s="17" t="n"/>
      <c r="L34" s="17" t="n"/>
      <c r="M34" s="17" t="n"/>
    </row>
    <row r="35">
      <c r="A35" s="18" t="inlineStr">
        <is>
          <t>UTH-MAP-MINISTRY-001</t>
        </is>
      </c>
      <c r="B35" s="18" t="inlineStr">
        <is>
          <t>Admin / Map Ministry / Mapped</t>
        </is>
      </c>
      <c r="C35" s="18" t="n">
        <v>1440</v>
      </c>
      <c r="D35" s="18" t="inlineStr">
        <is>
          <t>Components &amp; States</t>
        </is>
      </c>
      <c r="E35" s="18" t="inlineStr">
        <is>
          <t>Blocker</t>
        </is>
      </c>
      <c r="F35" s="18" t="inlineStr">
        <is>
          <t>Figma: A two-option segmented control sits beside the heading — active 'Ministry' in white on navy #003366, inactive 'Schemes' in grey.  →  Live: No tabs at all — the 'Mapped Ministry List' heading sits alone above the table.</t>
        </is>
      </c>
      <c r="G35" s="18" t="inlineStr">
        <is>
          <t>Add the Ministry/Schemes segmented tabs beside the heading, as shown in the design.</t>
        </is>
      </c>
      <c r="H35" s="18" t="inlineStr">
        <is>
          <t>https://www.figma.com/design/gH2vQ62cfg4677YKWuOpLc/MoSJE-Portal--Handoff-?node-id=4226-41073</t>
        </is>
      </c>
      <c r="I35" s="18" t="inlineStr">
        <is>
          <t>https://eutthan-admin-uat.mosje.in/map-ministry</t>
        </is>
      </c>
      <c r="J35" s="18" t="inlineStr">
        <is>
          <t>Open</t>
        </is>
      </c>
      <c r="K35" s="18" t="n"/>
      <c r="L35" s="18" t="n"/>
      <c r="M35" s="18" t="n"/>
    </row>
    <row r="36">
      <c r="A36" s="17" t="inlineStr">
        <is>
          <t>UTH-MAP-MINISTRY-002</t>
        </is>
      </c>
      <c r="B36" s="17" t="inlineStr">
        <is>
          <t>Admin / Map Ministry / Mapped</t>
        </is>
      </c>
      <c r="C36" s="17" t="n">
        <v>1440</v>
      </c>
      <c r="D36" s="17" t="inlineStr">
        <is>
          <t>Color &amp; Token</t>
        </is>
      </c>
      <c r="E36" s="17" t="inlineStr">
        <is>
          <t>Major</t>
        </is>
      </c>
      <c r="F36" s="17" t="inlineStr">
        <is>
          <t>Figma: Body cells use neutral dark #374151.  →  Live: Ministry-name cells render in navy #003366 with a link treatment that isn't in the design.</t>
        </is>
      </c>
      <c r="G36" s="17" t="inlineStr">
        <is>
          <t>Set the body cells to #374151; remove the navy link treatment.</t>
        </is>
      </c>
      <c r="H36" s="17" t="inlineStr">
        <is>
          <t>https://www.figma.com/design/gH2vQ62cfg4677YKWuOpLc/MoSJE-Portal--Handoff-?node-id=4226-41073</t>
        </is>
      </c>
      <c r="I36" s="17" t="inlineStr">
        <is>
          <t>https://eutthan-admin-uat.mosje.in/map-ministry</t>
        </is>
      </c>
      <c r="J36" s="17" t="inlineStr">
        <is>
          <t>Open</t>
        </is>
      </c>
      <c r="K36" s="17" t="n"/>
      <c r="L36" s="17" t="n"/>
      <c r="M36" s="17" t="n"/>
    </row>
    <row r="37">
      <c r="A37" s="18" t="inlineStr">
        <is>
          <t>UTH-MAP-MINISTRY-003</t>
        </is>
      </c>
      <c r="B37" s="18" t="inlineStr">
        <is>
          <t>Admin / Map Ministry / Mapped</t>
        </is>
      </c>
      <c r="C37" s="18" t="n">
        <v>1440</v>
      </c>
      <c r="D37" s="18" t="inlineStr">
        <is>
          <t>Color &amp; Token</t>
        </is>
      </c>
      <c r="E37" s="18" t="inlineStr">
        <is>
          <t>Major</t>
        </is>
      </c>
      <c r="F37" s="18" t="inlineStr">
        <is>
          <t>Figma: 'Unmap' is a quiet text button in navy #003366 (text + icon).  →  Live: 'Unmap' renders in red (~#ef4444) — a danger treatment the design doesn't use.</t>
        </is>
      </c>
      <c r="G37" s="18" t="inlineStr">
        <is>
          <t>Recolour the Unmap text and icon to navy #003366.</t>
        </is>
      </c>
      <c r="H37" s="18" t="inlineStr">
        <is>
          <t>https://www.figma.com/design/gH2vQ62cfg4677YKWuOpLc/MoSJE-Portal--Handoff-?node-id=4226-41073</t>
        </is>
      </c>
      <c r="I37" s="18" t="inlineStr">
        <is>
          <t>https://eutthan-admin-uat.mosje.in/map-ministry</t>
        </is>
      </c>
      <c r="J37" s="18" t="inlineStr">
        <is>
          <t>Open</t>
        </is>
      </c>
      <c r="K37" s="18" t="n"/>
      <c r="L37" s="18" t="n"/>
      <c r="M37" s="18" t="n"/>
    </row>
    <row r="38">
      <c r="A38" s="17" t="inlineStr">
        <is>
          <t>UTH-MANAGE-USER-001</t>
        </is>
      </c>
      <c r="B38" s="17" t="inlineStr">
        <is>
          <t>Admin / Manage User</t>
        </is>
      </c>
      <c r="C38" s="17" t="n">
        <v>1440</v>
      </c>
      <c r="D38" s="17" t="inlineStr">
        <is>
          <t>Components &amp; States</t>
        </is>
      </c>
      <c r="E38" s="17" t="inlineStr">
        <is>
          <t>Minor</t>
        </is>
      </c>
      <c r="F38" s="17" t="inlineStr">
        <is>
          <t>Figma: Three filter dropdowns beside the search field.  →  Live: A single 'All Years' select only.</t>
        </is>
      </c>
      <c r="G38" s="17" t="inlineStr">
        <is>
          <t>Show all the relevant filters.</t>
        </is>
      </c>
      <c r="H38" s="17" t="inlineStr">
        <is>
          <t>https://www.figma.com/design/gH2vQ62cfg4677YKWuOpLc/MoSJE-Portal--Handoff-?node-id=4226-40865</t>
        </is>
      </c>
      <c r="I38" s="17" t="inlineStr">
        <is>
          <t>https://eutthan-admin-uat.mosje.in/user-management</t>
        </is>
      </c>
      <c r="J38" s="17" t="inlineStr">
        <is>
          <t>Open</t>
        </is>
      </c>
      <c r="K38" s="17" t="n"/>
      <c r="L38" s="17" t="n"/>
      <c r="M38" s="17" t="n"/>
    </row>
    <row r="39">
      <c r="A39" s="18" t="inlineStr">
        <is>
          <t>UTH-MIN-DASHBOARD-001</t>
        </is>
      </c>
      <c r="B39" s="18" t="inlineStr">
        <is>
          <t>Ministry / Dashboard</t>
        </is>
      </c>
      <c r="C39" s="18" t="n">
        <v>1440</v>
      </c>
      <c r="D39" s="18" t="inlineStr">
        <is>
          <t>Components &amp; States</t>
        </is>
      </c>
      <c r="E39" s="18" t="inlineStr">
        <is>
          <t>Minor</t>
        </is>
      </c>
      <c r="F39" s="18" t="inlineStr">
        <is>
          <t>Figma: The filter control uses an 8px corner radius and sits at the top of the page.  →  Live: The Financial-Year selector uses a 6px radius and sits inside the progress panel header (placement covered under Admin · Dashboard).</t>
        </is>
      </c>
      <c r="G39" s="18" t="inlineStr">
        <is>
          <t>Set the filter control radius to 8px.</t>
        </is>
      </c>
      <c r="H39" s="18" t="inlineStr">
        <is>
          <t>https://www.figma.com/design/gH2vQ62cfg4677YKWuOpLc/MoSJE-Portal--Handoff-?node-id=4226-37114</t>
        </is>
      </c>
      <c r="I39" s="18" t="inlineStr">
        <is>
          <t>https://eutthan-admin-uat.mosje.in/dashboard</t>
        </is>
      </c>
      <c r="J39" s="18" t="inlineStr">
        <is>
          <t>Open</t>
        </is>
      </c>
      <c r="K39" s="18" t="n"/>
      <c r="L39" s="18" t="n"/>
      <c r="M39" s="18" t="n"/>
    </row>
    <row r="40">
      <c r="A40" s="17" t="inlineStr">
        <is>
          <t>UTH-MIN-DASHBOARD-002</t>
        </is>
      </c>
      <c r="B40" s="17" t="inlineStr">
        <is>
          <t>Ministry / Dashboard</t>
        </is>
      </c>
      <c r="C40" s="17" t="n">
        <v>1440</v>
      </c>
      <c r="D40" s="17" t="inlineStr">
        <is>
          <t>Typography</t>
        </is>
      </c>
      <c r="E40" s="17" t="inlineStr">
        <is>
          <t>Major</t>
        </is>
      </c>
      <c r="F40" s="17" t="inlineStr">
        <is>
          <t>Figma: Card label regular 400 #374151; value semibold #374151.  →  Live: Labels bold, values bold navy — same deviation as the Admin dashboard.</t>
        </is>
      </c>
      <c r="G40" s="17" t="inlineStr">
        <is>
          <t>Card labels → regular 400 #374151; values → semibold #374151.</t>
        </is>
      </c>
      <c r="H40" s="17" t="inlineStr">
        <is>
          <t>https://www.figma.com/design/gH2vQ62cfg4677YKWuOpLc/MoSJE-Portal--Handoff-?node-id=4226-37114</t>
        </is>
      </c>
      <c r="I40" s="17" t="inlineStr">
        <is>
          <t>https://eutthan-admin-uat.mosje.in/dashboard</t>
        </is>
      </c>
      <c r="J40" s="17" t="inlineStr">
        <is>
          <t>Open</t>
        </is>
      </c>
      <c r="K40" s="17" t="n"/>
      <c r="L40" s="17" t="n"/>
      <c r="M40" s="17" t="n"/>
    </row>
    <row r="41">
      <c r="A41" s="18" t="inlineStr">
        <is>
          <t>UTH-MIN-SCHEME-MANAGEMENT-001</t>
        </is>
      </c>
      <c r="B41" s="18" t="inlineStr">
        <is>
          <t>Ministry / Manage Scheme</t>
        </is>
      </c>
      <c r="C41" s="18" t="n">
        <v>1440</v>
      </c>
      <c r="D41" s="18" t="inlineStr">
        <is>
          <t>Components &amp; States</t>
        </is>
      </c>
      <c r="E41" s="18" t="inlineStr">
        <is>
          <t>Minor</t>
        </is>
      </c>
      <c r="F41" s="18" t="inlineStr">
        <is>
          <t>Figma: An 'All Department' dropdown sits beside the Financial-Year filter.  →  Live: Only the Financial-Year filter is present.</t>
        </is>
      </c>
      <c r="G41" s="18" t="inlineStr">
        <is>
          <t>Show all the relevant filters.</t>
        </is>
      </c>
      <c r="H41" s="18" t="inlineStr">
        <is>
          <t>https://www.figma.com/design/gH2vQ62cfg4677YKWuOpLc/MoSJE-Portal--Handoff-?node-id=4226-37360</t>
        </is>
      </c>
      <c r="I41" s="18" t="inlineStr">
        <is>
          <t>https://eutthan-admin-uat.mosje.in/scheme-management</t>
        </is>
      </c>
      <c r="J41" s="18" t="inlineStr">
        <is>
          <t>Open</t>
        </is>
      </c>
      <c r="K41" s="18" t="n"/>
      <c r="L41" s="18" t="n"/>
      <c r="M41" s="18" t="n"/>
    </row>
    <row r="42">
      <c r="A42" s="17" t="inlineStr">
        <is>
          <t>UTH-MIN-MANAGE-OUTCOME-001</t>
        </is>
      </c>
      <c r="B42" s="17" t="inlineStr">
        <is>
          <t>Ministry / Manage Outcome</t>
        </is>
      </c>
      <c r="C42" s="17" t="n">
        <v>1440</v>
      </c>
      <c r="D42" s="17" t="inlineStr">
        <is>
          <t>Components &amp; States</t>
        </is>
      </c>
      <c r="E42" s="17" t="inlineStr">
        <is>
          <t>Minor</t>
        </is>
      </c>
      <c r="F42" s="17" t="inlineStr">
        <is>
          <t>Figma: 'All Schemes' and 'All Department' dropdowns sit beside the Financial-Year filter.  →  Live: Only the Financial-Year dropdown is present.</t>
        </is>
      </c>
      <c r="G42" s="17" t="inlineStr">
        <is>
          <t>Show all the relevant filters.</t>
        </is>
      </c>
      <c r="H42" s="17" t="inlineStr">
        <is>
          <t>https://www.figma.com/design/gH2vQ62cfg4677YKWuOpLc/MoSJE-Portal--Handoff-?node-id=4226-38577</t>
        </is>
      </c>
      <c r="I42" s="17" t="inlineStr">
        <is>
          <t>https://eutthan-admin-uat.mosje.in/manage-outcome</t>
        </is>
      </c>
      <c r="J42" s="17" t="inlineStr">
        <is>
          <t>Open</t>
        </is>
      </c>
      <c r="K42" s="17" t="n"/>
      <c r="L42" s="17" t="n"/>
      <c r="M42" s="17" t="n"/>
    </row>
    <row r="43">
      <c r="A43" s="18" t="inlineStr">
        <is>
          <t>UTH-MIN-MINISTRY-PHYSICAL-PROGRESS-DATA-001</t>
        </is>
      </c>
      <c r="B43" s="18" t="inlineStr">
        <is>
          <t>Ministry / Physical Progress Data</t>
        </is>
      </c>
      <c r="C43" s="18" t="n">
        <v>1440</v>
      </c>
      <c r="D43" s="18" t="inlineStr">
        <is>
          <t>Components &amp; States</t>
        </is>
      </c>
      <c r="E43" s="18" t="inlineStr">
        <is>
          <t>Minor</t>
        </is>
      </c>
      <c r="F43" s="18" t="inlineStr">
        <is>
          <t>Figma: Two actions: 'Import Achievements Data' (outline) and 'Add Progress' (filled navy).  →  Live: A third button — 'Download Sample Template' — appears to the left of Import.</t>
        </is>
      </c>
      <c r="G43" s="18" t="inlineStr">
        <is>
          <t>Confirm whether the extra 'Download Sample Template' action is intended; the design shows two actions.</t>
        </is>
      </c>
      <c r="H43" s="18" t="inlineStr">
        <is>
          <t>https://www.figma.com/design/gH2vQ62cfg4677YKWuOpLc/MoSJE-Portal--Handoff-?node-id=4226-38368</t>
        </is>
      </c>
      <c r="I43" s="18" t="inlineStr">
        <is>
          <t>https://eutthan-admin-uat.mosje.in/ministry/physical-progress-data</t>
        </is>
      </c>
      <c r="J43" s="18" t="inlineStr">
        <is>
          <t>Open</t>
        </is>
      </c>
      <c r="K43" s="18" t="n"/>
      <c r="L43" s="18" t="n"/>
      <c r="M43" s="18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</row>
    <row r="47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</row>
    <row r="49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</row>
    <row r="51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</row>
    <row r="53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</row>
    <row r="55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</row>
    <row r="57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</row>
    <row r="59">
      <c r="A59" s="18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</row>
    <row r="61">
      <c r="A61" s="18" t="n"/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</row>
    <row r="63">
      <c r="A63" s="18" t="n"/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</row>
    <row r="65">
      <c r="A65" s="18" t="n"/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</row>
    <row r="67">
      <c r="A67" s="18" t="n"/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</row>
    <row r="69">
      <c r="A69" s="18" t="n"/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</row>
    <row r="71">
      <c r="A71" s="18" t="n"/>
      <c r="B71" s="18" t="n"/>
      <c r="C71" s="18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</row>
    <row r="73">
      <c r="A73" s="18" t="n"/>
      <c r="B73" s="18" t="n"/>
      <c r="C73" s="18" t="n"/>
      <c r="D73" s="18" t="n"/>
      <c r="E73" s="18" t="n"/>
      <c r="F73" s="18" t="n"/>
      <c r="G73" s="18" t="n"/>
      <c r="H73" s="18" t="n"/>
      <c r="I73" s="18" t="n"/>
      <c r="J73" s="18" t="n"/>
      <c r="K73" s="18" t="n"/>
      <c r="L73" s="18" t="n"/>
      <c r="M73" s="18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</row>
    <row r="75">
      <c r="A75" s="18" t="n"/>
      <c r="B75" s="18" t="n"/>
      <c r="C75" s="18" t="n"/>
      <c r="D75" s="18" t="n"/>
      <c r="E75" s="18" t="n"/>
      <c r="F75" s="18" t="n"/>
      <c r="G75" s="18" t="n"/>
      <c r="H75" s="18" t="n"/>
      <c r="I75" s="18" t="n"/>
      <c r="J75" s="18" t="n"/>
      <c r="K75" s="18" t="n"/>
      <c r="L75" s="18" t="n"/>
      <c r="M75" s="18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</row>
    <row r="77">
      <c r="A77" s="18" t="n"/>
      <c r="B77" s="18" t="n"/>
      <c r="C77" s="18" t="n"/>
      <c r="D77" s="18" t="n"/>
      <c r="E77" s="18" t="n"/>
      <c r="F77" s="18" t="n"/>
      <c r="G77" s="18" t="n"/>
      <c r="H77" s="18" t="n"/>
      <c r="I77" s="18" t="n"/>
      <c r="J77" s="18" t="n"/>
      <c r="K77" s="18" t="n"/>
      <c r="L77" s="18" t="n"/>
      <c r="M77" s="18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</row>
    <row r="79">
      <c r="A79" s="18" t="n"/>
      <c r="B79" s="18" t="n"/>
      <c r="C79" s="18" t="n"/>
      <c r="D79" s="18" t="n"/>
      <c r="E79" s="18" t="n"/>
      <c r="F79" s="18" t="n"/>
      <c r="G79" s="18" t="n"/>
      <c r="H79" s="18" t="n"/>
      <c r="I79" s="18" t="n"/>
      <c r="J79" s="18" t="n"/>
      <c r="K79" s="18" t="n"/>
      <c r="L79" s="18" t="n"/>
      <c r="M79" s="18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</row>
    <row r="81">
      <c r="A81" s="18" t="n"/>
      <c r="B81" s="18" t="n"/>
      <c r="C81" s="18" t="n"/>
      <c r="D81" s="18" t="n"/>
      <c r="E81" s="18" t="n"/>
      <c r="F81" s="18" t="n"/>
      <c r="G81" s="18" t="n"/>
      <c r="H81" s="18" t="n"/>
      <c r="I81" s="18" t="n"/>
      <c r="J81" s="18" t="n"/>
      <c r="K81" s="18" t="n"/>
      <c r="L81" s="18" t="n"/>
      <c r="M81" s="18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</row>
    <row r="83">
      <c r="A83" s="18" t="n"/>
      <c r="B83" s="18" t="n"/>
      <c r="C83" s="18" t="n"/>
      <c r="D83" s="18" t="n"/>
      <c r="E83" s="18" t="n"/>
      <c r="F83" s="18" t="n"/>
      <c r="G83" s="18" t="n"/>
      <c r="H83" s="18" t="n"/>
      <c r="I83" s="18" t="n"/>
      <c r="J83" s="18" t="n"/>
      <c r="K83" s="18" t="n"/>
      <c r="L83" s="18" t="n"/>
      <c r="M83" s="18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</row>
    <row r="85">
      <c r="A85" s="18" t="n"/>
      <c r="B85" s="18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8" t="n"/>
      <c r="L85" s="18" t="n"/>
      <c r="M85" s="18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</row>
    <row r="87">
      <c r="A87" s="18" t="n"/>
      <c r="B87" s="18" t="n"/>
      <c r="C87" s="18" t="n"/>
      <c r="D87" s="18" t="n"/>
      <c r="E87" s="18" t="n"/>
      <c r="F87" s="18" t="n"/>
      <c r="G87" s="18" t="n"/>
      <c r="H87" s="18" t="n"/>
      <c r="I87" s="18" t="n"/>
      <c r="J87" s="18" t="n"/>
      <c r="K87" s="18" t="n"/>
      <c r="L87" s="18" t="n"/>
      <c r="M87" s="18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</row>
    <row r="89">
      <c r="A89" s="18" t="n"/>
      <c r="B89" s="18" t="n"/>
      <c r="C89" s="18" t="n"/>
      <c r="D89" s="18" t="n"/>
      <c r="E89" s="18" t="n"/>
      <c r="F89" s="18" t="n"/>
      <c r="G89" s="18" t="n"/>
      <c r="H89" s="18" t="n"/>
      <c r="I89" s="18" t="n"/>
      <c r="J89" s="18" t="n"/>
      <c r="K89" s="18" t="n"/>
      <c r="L89" s="18" t="n"/>
      <c r="M89" s="18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</row>
    <row r="91">
      <c r="A91" s="18" t="n"/>
      <c r="B91" s="18" t="n"/>
      <c r="C91" s="18" t="n"/>
      <c r="D91" s="18" t="n"/>
      <c r="E91" s="18" t="n"/>
      <c r="F91" s="18" t="n"/>
      <c r="G91" s="18" t="n"/>
      <c r="H91" s="18" t="n"/>
      <c r="I91" s="18" t="n"/>
      <c r="J91" s="18" t="n"/>
      <c r="K91" s="18" t="n"/>
      <c r="L91" s="18" t="n"/>
      <c r="M91" s="18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</row>
    <row r="93">
      <c r="A93" s="18" t="n"/>
      <c r="B93" s="18" t="n"/>
      <c r="C93" s="18" t="n"/>
      <c r="D93" s="18" t="n"/>
      <c r="E93" s="18" t="n"/>
      <c r="F93" s="18" t="n"/>
      <c r="G93" s="18" t="n"/>
      <c r="H93" s="18" t="n"/>
      <c r="I93" s="18" t="n"/>
      <c r="J93" s="18" t="n"/>
      <c r="K93" s="18" t="n"/>
      <c r="L93" s="18" t="n"/>
      <c r="M93" s="18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</row>
    <row r="95">
      <c r="A95" s="18" t="n"/>
      <c r="B95" s="18" t="n"/>
      <c r="C95" s="18" t="n"/>
      <c r="D95" s="18" t="n"/>
      <c r="E95" s="18" t="n"/>
      <c r="F95" s="18" t="n"/>
      <c r="G95" s="18" t="n"/>
      <c r="H95" s="18" t="n"/>
      <c r="I95" s="18" t="n"/>
      <c r="J95" s="18" t="n"/>
      <c r="K95" s="18" t="n"/>
      <c r="L95" s="18" t="n"/>
      <c r="M95" s="18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</row>
    <row r="97">
      <c r="A97" s="18" t="n"/>
      <c r="B97" s="18" t="n"/>
      <c r="C97" s="18" t="n"/>
      <c r="D97" s="18" t="n"/>
      <c r="E97" s="18" t="n"/>
      <c r="F97" s="18" t="n"/>
      <c r="G97" s="18" t="n"/>
      <c r="H97" s="18" t="n"/>
      <c r="I97" s="18" t="n"/>
      <c r="J97" s="18" t="n"/>
      <c r="K97" s="18" t="n"/>
      <c r="L97" s="18" t="n"/>
      <c r="M97" s="18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</row>
    <row r="99">
      <c r="A99" s="18" t="n"/>
      <c r="B99" s="18" t="n"/>
      <c r="C99" s="18" t="n"/>
      <c r="D99" s="18" t="n"/>
      <c r="E99" s="18" t="n"/>
      <c r="F99" s="18" t="n"/>
      <c r="G99" s="18" t="n"/>
      <c r="H99" s="18" t="n"/>
      <c r="I99" s="18" t="n"/>
      <c r="J99" s="18" t="n"/>
      <c r="K99" s="18" t="n"/>
      <c r="L99" s="18" t="n"/>
      <c r="M99" s="18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</row>
    <row r="101">
      <c r="A101" s="18" t="n"/>
      <c r="B101" s="18" t="n"/>
      <c r="C101" s="18" t="n"/>
      <c r="D101" s="18" t="n"/>
      <c r="E101" s="18" t="n"/>
      <c r="F101" s="18" t="n"/>
      <c r="G101" s="18" t="n"/>
      <c r="H101" s="18" t="n"/>
      <c r="I101" s="18" t="n"/>
      <c r="J101" s="18" t="n"/>
      <c r="K101" s="18" t="n"/>
      <c r="L101" s="18" t="n"/>
      <c r="M101" s="18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</row>
    <row r="103">
      <c r="A103" s="18" t="n"/>
      <c r="B103" s="18" t="n"/>
      <c r="C103" s="18" t="n"/>
      <c r="D103" s="18" t="n"/>
      <c r="E103" s="18" t="n"/>
      <c r="F103" s="18" t="n"/>
      <c r="G103" s="18" t="n"/>
      <c r="H103" s="18" t="n"/>
      <c r="I103" s="18" t="n"/>
      <c r="J103" s="18" t="n"/>
      <c r="K103" s="18" t="n"/>
      <c r="L103" s="18" t="n"/>
      <c r="M103" s="18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</row>
    <row r="105">
      <c r="A105" s="18" t="n"/>
      <c r="B105" s="18" t="n"/>
      <c r="C105" s="18" t="n"/>
      <c r="D105" s="18" t="n"/>
      <c r="E105" s="18" t="n"/>
      <c r="F105" s="18" t="n"/>
      <c r="G105" s="18" t="n"/>
      <c r="H105" s="18" t="n"/>
      <c r="I105" s="18" t="n"/>
      <c r="J105" s="18" t="n"/>
      <c r="K105" s="18" t="n"/>
      <c r="L105" s="18" t="n"/>
      <c r="M105" s="18" t="n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</row>
    <row r="107">
      <c r="A107" s="18" t="n"/>
      <c r="B107" s="18" t="n"/>
      <c r="C107" s="18" t="n"/>
      <c r="D107" s="18" t="n"/>
      <c r="E107" s="18" t="n"/>
      <c r="F107" s="18" t="n"/>
      <c r="G107" s="18" t="n"/>
      <c r="H107" s="18" t="n"/>
      <c r="I107" s="18" t="n"/>
      <c r="J107" s="18" t="n"/>
      <c r="K107" s="18" t="n"/>
      <c r="L107" s="18" t="n"/>
      <c r="M107" s="18" t="n"/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</row>
    <row r="109">
      <c r="A109" s="18" t="n"/>
      <c r="B109" s="18" t="n"/>
      <c r="C109" s="18" t="n"/>
      <c r="D109" s="18" t="n"/>
      <c r="E109" s="18" t="n"/>
      <c r="F109" s="18" t="n"/>
      <c r="G109" s="18" t="n"/>
      <c r="H109" s="18" t="n"/>
      <c r="I109" s="18" t="n"/>
      <c r="J109" s="18" t="n"/>
      <c r="K109" s="18" t="n"/>
      <c r="L109" s="18" t="n"/>
      <c r="M109" s="18" t="n"/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</row>
    <row r="111">
      <c r="A111" s="18" t="n"/>
      <c r="B111" s="18" t="n"/>
      <c r="C111" s="18" t="n"/>
      <c r="D111" s="18" t="n"/>
      <c r="E111" s="18" t="n"/>
      <c r="F111" s="18" t="n"/>
      <c r="G111" s="18" t="n"/>
      <c r="H111" s="18" t="n"/>
      <c r="I111" s="18" t="n"/>
      <c r="J111" s="18" t="n"/>
      <c r="K111" s="18" t="n"/>
      <c r="L111" s="18" t="n"/>
      <c r="M111" s="18" t="n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</row>
    <row r="113">
      <c r="A113" s="18" t="n"/>
      <c r="B113" s="18" t="n"/>
      <c r="C113" s="18" t="n"/>
      <c r="D113" s="18" t="n"/>
      <c r="E113" s="18" t="n"/>
      <c r="F113" s="18" t="n"/>
      <c r="G113" s="18" t="n"/>
      <c r="H113" s="18" t="n"/>
      <c r="I113" s="18" t="n"/>
      <c r="J113" s="18" t="n"/>
      <c r="K113" s="18" t="n"/>
      <c r="L113" s="18" t="n"/>
      <c r="M113" s="18" t="n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</row>
    <row r="115">
      <c r="A115" s="18" t="n"/>
      <c r="B115" s="18" t="n"/>
      <c r="C115" s="18" t="n"/>
      <c r="D115" s="18" t="n"/>
      <c r="E115" s="18" t="n"/>
      <c r="F115" s="18" t="n"/>
      <c r="G115" s="18" t="n"/>
      <c r="H115" s="18" t="n"/>
      <c r="I115" s="18" t="n"/>
      <c r="J115" s="18" t="n"/>
      <c r="K115" s="18" t="n"/>
      <c r="L115" s="18" t="n"/>
      <c r="M115" s="18" t="n"/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</row>
    <row r="117">
      <c r="A117" s="18" t="n"/>
      <c r="B117" s="18" t="n"/>
      <c r="C117" s="18" t="n"/>
      <c r="D117" s="18" t="n"/>
      <c r="E117" s="18" t="n"/>
      <c r="F117" s="18" t="n"/>
      <c r="G117" s="18" t="n"/>
      <c r="H117" s="18" t="n"/>
      <c r="I117" s="18" t="n"/>
      <c r="J117" s="18" t="n"/>
      <c r="K117" s="18" t="n"/>
      <c r="L117" s="18" t="n"/>
      <c r="M117" s="18" t="n"/>
    </row>
    <row r="11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</row>
    <row r="119">
      <c r="A119" s="18" t="n"/>
      <c r="B119" s="18" t="n"/>
      <c r="C119" s="18" t="n"/>
      <c r="D119" s="18" t="n"/>
      <c r="E119" s="18" t="n"/>
      <c r="F119" s="18" t="n"/>
      <c r="G119" s="18" t="n"/>
      <c r="H119" s="18" t="n"/>
      <c r="I119" s="18" t="n"/>
      <c r="J119" s="18" t="n"/>
      <c r="K119" s="18" t="n"/>
      <c r="L119" s="18" t="n"/>
      <c r="M119" s="18" t="n"/>
    </row>
    <row r="120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</row>
    <row r="121">
      <c r="A121" s="18" t="n"/>
      <c r="B121" s="18" t="n"/>
      <c r="C121" s="18" t="n"/>
      <c r="D121" s="18" t="n"/>
      <c r="E121" s="18" t="n"/>
      <c r="F121" s="18" t="n"/>
      <c r="G121" s="18" t="n"/>
      <c r="H121" s="18" t="n"/>
      <c r="I121" s="18" t="n"/>
      <c r="J121" s="18" t="n"/>
      <c r="K121" s="18" t="n"/>
      <c r="L121" s="18" t="n"/>
      <c r="M121" s="18" t="n"/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</row>
    <row r="123">
      <c r="A123" s="18" t="n"/>
      <c r="B123" s="18" t="n"/>
      <c r="C123" s="18" t="n"/>
      <c r="D123" s="18" t="n"/>
      <c r="E123" s="18" t="n"/>
      <c r="F123" s="18" t="n"/>
      <c r="G123" s="18" t="n"/>
      <c r="H123" s="18" t="n"/>
      <c r="I123" s="18" t="n"/>
      <c r="J123" s="18" t="n"/>
      <c r="K123" s="18" t="n"/>
      <c r="L123" s="18" t="n"/>
      <c r="M123" s="18" t="n"/>
    </row>
    <row r="124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</row>
    <row r="125">
      <c r="A125" s="18" t="n"/>
      <c r="B125" s="18" t="n"/>
      <c r="C125" s="18" t="n"/>
      <c r="D125" s="18" t="n"/>
      <c r="E125" s="18" t="n"/>
      <c r="F125" s="18" t="n"/>
      <c r="G125" s="18" t="n"/>
      <c r="H125" s="18" t="n"/>
      <c r="I125" s="18" t="n"/>
      <c r="J125" s="18" t="n"/>
      <c r="K125" s="18" t="n"/>
      <c r="L125" s="18" t="n"/>
      <c r="M125" s="18" t="n"/>
    </row>
    <row r="126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</row>
    <row r="127">
      <c r="A127" s="18" t="n"/>
      <c r="B127" s="18" t="n"/>
      <c r="C127" s="18" t="n"/>
      <c r="D127" s="18" t="n"/>
      <c r="E127" s="18" t="n"/>
      <c r="F127" s="18" t="n"/>
      <c r="G127" s="18" t="n"/>
      <c r="H127" s="18" t="n"/>
      <c r="I127" s="18" t="n"/>
      <c r="J127" s="18" t="n"/>
      <c r="K127" s="18" t="n"/>
      <c r="L127" s="18" t="n"/>
      <c r="M127" s="18" t="n"/>
    </row>
    <row r="12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</row>
    <row r="129">
      <c r="A129" s="18" t="n"/>
      <c r="B129" s="18" t="n"/>
      <c r="C129" s="18" t="n"/>
      <c r="D129" s="18" t="n"/>
      <c r="E129" s="18" t="n"/>
      <c r="F129" s="18" t="n"/>
      <c r="G129" s="18" t="n"/>
      <c r="H129" s="18" t="n"/>
      <c r="I129" s="18" t="n"/>
      <c r="J129" s="18" t="n"/>
      <c r="K129" s="18" t="n"/>
      <c r="L129" s="18" t="n"/>
      <c r="M129" s="18" t="n"/>
    </row>
    <row r="130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</row>
    <row r="131">
      <c r="A131" s="18" t="n"/>
      <c r="B131" s="18" t="n"/>
      <c r="C131" s="18" t="n"/>
      <c r="D131" s="18" t="n"/>
      <c r="E131" s="18" t="n"/>
      <c r="F131" s="18" t="n"/>
      <c r="G131" s="18" t="n"/>
      <c r="H131" s="18" t="n"/>
      <c r="I131" s="18" t="n"/>
      <c r="J131" s="18" t="n"/>
      <c r="K131" s="18" t="n"/>
      <c r="L131" s="18" t="n"/>
      <c r="M131" s="18" t="n"/>
    </row>
    <row r="132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</row>
    <row r="133">
      <c r="A133" s="18" t="n"/>
      <c r="B133" s="18" t="n"/>
      <c r="C133" s="18" t="n"/>
      <c r="D133" s="18" t="n"/>
      <c r="E133" s="18" t="n"/>
      <c r="F133" s="18" t="n"/>
      <c r="G133" s="18" t="n"/>
      <c r="H133" s="18" t="n"/>
      <c r="I133" s="18" t="n"/>
      <c r="J133" s="18" t="n"/>
      <c r="K133" s="18" t="n"/>
      <c r="L133" s="18" t="n"/>
      <c r="M133" s="18" t="n"/>
    </row>
    <row r="134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</row>
    <row r="135">
      <c r="A135" s="18" t="n"/>
      <c r="B135" s="18" t="n"/>
      <c r="C135" s="18" t="n"/>
      <c r="D135" s="18" t="n"/>
      <c r="E135" s="18" t="n"/>
      <c r="F135" s="18" t="n"/>
      <c r="G135" s="18" t="n"/>
      <c r="H135" s="18" t="n"/>
      <c r="I135" s="18" t="n"/>
      <c r="J135" s="18" t="n"/>
      <c r="K135" s="18" t="n"/>
      <c r="L135" s="18" t="n"/>
      <c r="M135" s="18" t="n"/>
    </row>
    <row r="136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</row>
    <row r="137">
      <c r="A137" s="18" t="n"/>
      <c r="B137" s="18" t="n"/>
      <c r="C137" s="18" t="n"/>
      <c r="D137" s="18" t="n"/>
      <c r="E137" s="18" t="n"/>
      <c r="F137" s="18" t="n"/>
      <c r="G137" s="18" t="n"/>
      <c r="H137" s="18" t="n"/>
      <c r="I137" s="18" t="n"/>
      <c r="J137" s="18" t="n"/>
      <c r="K137" s="18" t="n"/>
      <c r="L137" s="18" t="n"/>
      <c r="M137" s="18" t="n"/>
    </row>
    <row r="13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</row>
    <row r="139">
      <c r="A139" s="18" t="n"/>
      <c r="B139" s="18" t="n"/>
      <c r="C139" s="18" t="n"/>
      <c r="D139" s="18" t="n"/>
      <c r="E139" s="18" t="n"/>
      <c r="F139" s="18" t="n"/>
      <c r="G139" s="18" t="n"/>
      <c r="H139" s="18" t="n"/>
      <c r="I139" s="18" t="n"/>
      <c r="J139" s="18" t="n"/>
      <c r="K139" s="18" t="n"/>
      <c r="L139" s="18" t="n"/>
      <c r="M139" s="18" t="n"/>
    </row>
    <row r="140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</row>
    <row r="141">
      <c r="A141" s="18" t="n"/>
      <c r="B141" s="18" t="n"/>
      <c r="C141" s="18" t="n"/>
      <c r="D141" s="18" t="n"/>
      <c r="E141" s="18" t="n"/>
      <c r="F141" s="18" t="n"/>
      <c r="G141" s="18" t="n"/>
      <c r="H141" s="18" t="n"/>
      <c r="I141" s="18" t="n"/>
      <c r="J141" s="18" t="n"/>
      <c r="K141" s="18" t="n"/>
      <c r="L141" s="18" t="n"/>
      <c r="M141" s="18" t="n"/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</row>
    <row r="143">
      <c r="A143" s="18" t="n"/>
      <c r="B143" s="18" t="n"/>
      <c r="C143" s="18" t="n"/>
      <c r="D143" s="18" t="n"/>
      <c r="E143" s="18" t="n"/>
      <c r="F143" s="18" t="n"/>
      <c r="G143" s="18" t="n"/>
      <c r="H143" s="18" t="n"/>
      <c r="I143" s="18" t="n"/>
      <c r="J143" s="18" t="n"/>
      <c r="K143" s="18" t="n"/>
      <c r="L143" s="18" t="n"/>
      <c r="M143" s="18" t="n"/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</row>
    <row r="145">
      <c r="A145" s="18" t="n"/>
      <c r="B145" s="18" t="n"/>
      <c r="C145" s="18" t="n"/>
      <c r="D145" s="18" t="n"/>
      <c r="E145" s="18" t="n"/>
      <c r="F145" s="18" t="n"/>
      <c r="G145" s="18" t="n"/>
      <c r="H145" s="18" t="n"/>
      <c r="I145" s="18" t="n"/>
      <c r="J145" s="18" t="n"/>
      <c r="K145" s="18" t="n"/>
      <c r="L145" s="18" t="n"/>
      <c r="M145" s="18" t="n"/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</row>
    <row r="147">
      <c r="A147" s="18" t="n"/>
      <c r="B147" s="18" t="n"/>
      <c r="C147" s="18" t="n"/>
      <c r="D147" s="18" t="n"/>
      <c r="E147" s="18" t="n"/>
      <c r="F147" s="18" t="n"/>
      <c r="G147" s="18" t="n"/>
      <c r="H147" s="18" t="n"/>
      <c r="I147" s="18" t="n"/>
      <c r="J147" s="18" t="n"/>
      <c r="K147" s="18" t="n"/>
      <c r="L147" s="18" t="n"/>
      <c r="M147" s="18" t="n"/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</row>
    <row r="149">
      <c r="A149" s="18" t="n"/>
      <c r="B149" s="18" t="n"/>
      <c r="C149" s="18" t="n"/>
      <c r="D149" s="18" t="n"/>
      <c r="E149" s="18" t="n"/>
      <c r="F149" s="18" t="n"/>
      <c r="G149" s="18" t="n"/>
      <c r="H149" s="18" t="n"/>
      <c r="I149" s="18" t="n"/>
      <c r="J149" s="18" t="n"/>
      <c r="K149" s="18" t="n"/>
      <c r="L149" s="18" t="n"/>
      <c r="M149" s="18" t="n"/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</row>
    <row r="151">
      <c r="A151" s="18" t="n"/>
      <c r="B151" s="18" t="n"/>
      <c r="C151" s="18" t="n"/>
      <c r="D151" s="18" t="n"/>
      <c r="E151" s="18" t="n"/>
      <c r="F151" s="18" t="n"/>
      <c r="G151" s="18" t="n"/>
      <c r="H151" s="18" t="n"/>
      <c r="I151" s="18" t="n"/>
      <c r="J151" s="18" t="n"/>
      <c r="K151" s="18" t="n"/>
      <c r="L151" s="18" t="n"/>
      <c r="M151" s="18" t="n"/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</row>
    <row r="153">
      <c r="A153" s="18" t="n"/>
      <c r="B153" s="18" t="n"/>
      <c r="C153" s="18" t="n"/>
      <c r="D153" s="18" t="n"/>
      <c r="E153" s="18" t="n"/>
      <c r="F153" s="18" t="n"/>
      <c r="G153" s="18" t="n"/>
      <c r="H153" s="18" t="n"/>
      <c r="I153" s="18" t="n"/>
      <c r="J153" s="18" t="n"/>
      <c r="K153" s="18" t="n"/>
      <c r="L153" s="18" t="n"/>
      <c r="M153" s="18" t="n"/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</row>
    <row r="155">
      <c r="A155" s="18" t="n"/>
      <c r="B155" s="18" t="n"/>
      <c r="C155" s="18" t="n"/>
      <c r="D155" s="18" t="n"/>
      <c r="E155" s="18" t="n"/>
      <c r="F155" s="18" t="n"/>
      <c r="G155" s="18" t="n"/>
      <c r="H155" s="18" t="n"/>
      <c r="I155" s="18" t="n"/>
      <c r="J155" s="18" t="n"/>
      <c r="K155" s="18" t="n"/>
      <c r="L155" s="18" t="n"/>
      <c r="M155" s="18" t="n"/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</row>
    <row r="157">
      <c r="A157" s="18" t="n"/>
      <c r="B157" s="18" t="n"/>
      <c r="C157" s="18" t="n"/>
      <c r="D157" s="18" t="n"/>
      <c r="E157" s="18" t="n"/>
      <c r="F157" s="18" t="n"/>
      <c r="G157" s="18" t="n"/>
      <c r="H157" s="18" t="n"/>
      <c r="I157" s="18" t="n"/>
      <c r="J157" s="18" t="n"/>
      <c r="K157" s="18" t="n"/>
      <c r="L157" s="18" t="n"/>
      <c r="M157" s="18" t="n"/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</row>
    <row r="159">
      <c r="A159" s="18" t="n"/>
      <c r="B159" s="18" t="n"/>
      <c r="C159" s="18" t="n"/>
      <c r="D159" s="18" t="n"/>
      <c r="E159" s="18" t="n"/>
      <c r="F159" s="18" t="n"/>
      <c r="G159" s="18" t="n"/>
      <c r="H159" s="18" t="n"/>
      <c r="I159" s="18" t="n"/>
      <c r="J159" s="18" t="n"/>
      <c r="K159" s="18" t="n"/>
      <c r="L159" s="18" t="n"/>
      <c r="M159" s="18" t="n"/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</row>
    <row r="161">
      <c r="A161" s="18" t="n"/>
      <c r="B161" s="18" t="n"/>
      <c r="C161" s="18" t="n"/>
      <c r="D161" s="18" t="n"/>
      <c r="E161" s="18" t="n"/>
      <c r="F161" s="18" t="n"/>
      <c r="G161" s="18" t="n"/>
      <c r="H161" s="18" t="n"/>
      <c r="I161" s="18" t="n"/>
      <c r="J161" s="18" t="n"/>
      <c r="K161" s="18" t="n"/>
      <c r="L161" s="18" t="n"/>
      <c r="M161" s="18" t="n"/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</row>
    <row r="163">
      <c r="A163" s="18" t="n"/>
      <c r="B163" s="18" t="n"/>
      <c r="C163" s="18" t="n"/>
      <c r="D163" s="18" t="n"/>
      <c r="E163" s="18" t="n"/>
      <c r="F163" s="18" t="n"/>
      <c r="G163" s="18" t="n"/>
      <c r="H163" s="18" t="n"/>
      <c r="I163" s="18" t="n"/>
      <c r="J163" s="18" t="n"/>
      <c r="K163" s="18" t="n"/>
      <c r="L163" s="18" t="n"/>
      <c r="M163" s="18" t="n"/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</row>
    <row r="165">
      <c r="A165" s="18" t="n"/>
      <c r="B165" s="18" t="n"/>
      <c r="C165" s="18" t="n"/>
      <c r="D165" s="18" t="n"/>
      <c r="E165" s="18" t="n"/>
      <c r="F165" s="18" t="n"/>
      <c r="G165" s="18" t="n"/>
      <c r="H165" s="18" t="n"/>
      <c r="I165" s="18" t="n"/>
      <c r="J165" s="18" t="n"/>
      <c r="K165" s="18" t="n"/>
      <c r="L165" s="18" t="n"/>
      <c r="M165" s="18" t="n"/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</row>
    <row r="167">
      <c r="A167" s="18" t="n"/>
      <c r="B167" s="18" t="n"/>
      <c r="C167" s="18" t="n"/>
      <c r="D167" s="18" t="n"/>
      <c r="E167" s="18" t="n"/>
      <c r="F167" s="18" t="n"/>
      <c r="G167" s="18" t="n"/>
      <c r="H167" s="18" t="n"/>
      <c r="I167" s="18" t="n"/>
      <c r="J167" s="18" t="n"/>
      <c r="K167" s="18" t="n"/>
      <c r="L167" s="18" t="n"/>
      <c r="M167" s="18" t="n"/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</row>
    <row r="169">
      <c r="A169" s="18" t="n"/>
      <c r="B169" s="18" t="n"/>
      <c r="C169" s="18" t="n"/>
      <c r="D169" s="18" t="n"/>
      <c r="E169" s="18" t="n"/>
      <c r="F169" s="18" t="n"/>
      <c r="G169" s="18" t="n"/>
      <c r="H169" s="18" t="n"/>
      <c r="I169" s="18" t="n"/>
      <c r="J169" s="18" t="n"/>
      <c r="K169" s="18" t="n"/>
      <c r="L169" s="18" t="n"/>
      <c r="M169" s="18" t="n"/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</row>
    <row r="171">
      <c r="A171" s="18" t="n"/>
      <c r="B171" s="18" t="n"/>
      <c r="C171" s="18" t="n"/>
      <c r="D171" s="18" t="n"/>
      <c r="E171" s="18" t="n"/>
      <c r="F171" s="18" t="n"/>
      <c r="G171" s="18" t="n"/>
      <c r="H171" s="18" t="n"/>
      <c r="I171" s="18" t="n"/>
      <c r="J171" s="18" t="n"/>
      <c r="K171" s="18" t="n"/>
      <c r="L171" s="18" t="n"/>
      <c r="M171" s="18" t="n"/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</row>
    <row r="173">
      <c r="A173" s="18" t="n"/>
      <c r="B173" s="18" t="n"/>
      <c r="C173" s="18" t="n"/>
      <c r="D173" s="18" t="n"/>
      <c r="E173" s="18" t="n"/>
      <c r="F173" s="18" t="n"/>
      <c r="G173" s="18" t="n"/>
      <c r="H173" s="18" t="n"/>
      <c r="I173" s="18" t="n"/>
      <c r="J173" s="18" t="n"/>
      <c r="K173" s="18" t="n"/>
      <c r="L173" s="18" t="n"/>
      <c r="M173" s="18" t="n"/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</row>
    <row r="175">
      <c r="A175" s="18" t="n"/>
      <c r="B175" s="18" t="n"/>
      <c r="C175" s="18" t="n"/>
      <c r="D175" s="18" t="n"/>
      <c r="E175" s="18" t="n"/>
      <c r="F175" s="18" t="n"/>
      <c r="G175" s="18" t="n"/>
      <c r="H175" s="18" t="n"/>
      <c r="I175" s="18" t="n"/>
      <c r="J175" s="18" t="n"/>
      <c r="K175" s="18" t="n"/>
      <c r="L175" s="18" t="n"/>
      <c r="M175" s="18" t="n"/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</row>
    <row r="177">
      <c r="A177" s="18" t="n"/>
      <c r="B177" s="18" t="n"/>
      <c r="C177" s="18" t="n"/>
      <c r="D177" s="18" t="n"/>
      <c r="E177" s="18" t="n"/>
      <c r="F177" s="18" t="n"/>
      <c r="G177" s="18" t="n"/>
      <c r="H177" s="18" t="n"/>
      <c r="I177" s="18" t="n"/>
      <c r="J177" s="18" t="n"/>
      <c r="K177" s="18" t="n"/>
      <c r="L177" s="18" t="n"/>
      <c r="M177" s="18" t="n"/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</row>
    <row r="179">
      <c r="A179" s="18" t="n"/>
      <c r="B179" s="18" t="n"/>
      <c r="C179" s="18" t="n"/>
      <c r="D179" s="18" t="n"/>
      <c r="E179" s="18" t="n"/>
      <c r="F179" s="18" t="n"/>
      <c r="G179" s="18" t="n"/>
      <c r="H179" s="18" t="n"/>
      <c r="I179" s="18" t="n"/>
      <c r="J179" s="18" t="n"/>
      <c r="K179" s="18" t="n"/>
      <c r="L179" s="18" t="n"/>
      <c r="M179" s="18" t="n"/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</row>
    <row r="181">
      <c r="A181" s="18" t="n"/>
      <c r="B181" s="18" t="n"/>
      <c r="C181" s="18" t="n"/>
      <c r="D181" s="18" t="n"/>
      <c r="E181" s="18" t="n"/>
      <c r="F181" s="18" t="n"/>
      <c r="G181" s="18" t="n"/>
      <c r="H181" s="18" t="n"/>
      <c r="I181" s="18" t="n"/>
      <c r="J181" s="18" t="n"/>
      <c r="K181" s="18" t="n"/>
      <c r="L181" s="18" t="n"/>
      <c r="M181" s="18" t="n"/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</row>
    <row r="183">
      <c r="A183" s="18" t="n"/>
      <c r="B183" s="18" t="n"/>
      <c r="C183" s="18" t="n"/>
      <c r="D183" s="18" t="n"/>
      <c r="E183" s="18" t="n"/>
      <c r="F183" s="18" t="n"/>
      <c r="G183" s="18" t="n"/>
      <c r="H183" s="18" t="n"/>
      <c r="I183" s="18" t="n"/>
      <c r="J183" s="18" t="n"/>
      <c r="K183" s="18" t="n"/>
      <c r="L183" s="18" t="n"/>
      <c r="M183" s="18" t="n"/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</row>
    <row r="185">
      <c r="A185" s="18" t="n"/>
      <c r="B185" s="18" t="n"/>
      <c r="C185" s="18" t="n"/>
      <c r="D185" s="18" t="n"/>
      <c r="E185" s="18" t="n"/>
      <c r="F185" s="18" t="n"/>
      <c r="G185" s="18" t="n"/>
      <c r="H185" s="18" t="n"/>
      <c r="I185" s="18" t="n"/>
      <c r="J185" s="18" t="n"/>
      <c r="K185" s="18" t="n"/>
      <c r="L185" s="18" t="n"/>
      <c r="M185" s="18" t="n"/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</row>
    <row r="187">
      <c r="A187" s="18" t="n"/>
      <c r="B187" s="18" t="n"/>
      <c r="C187" s="18" t="n"/>
      <c r="D187" s="18" t="n"/>
      <c r="E187" s="18" t="n"/>
      <c r="F187" s="18" t="n"/>
      <c r="G187" s="18" t="n"/>
      <c r="H187" s="18" t="n"/>
      <c r="I187" s="18" t="n"/>
      <c r="J187" s="18" t="n"/>
      <c r="K187" s="18" t="n"/>
      <c r="L187" s="18" t="n"/>
      <c r="M187" s="18" t="n"/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</row>
    <row r="189">
      <c r="A189" s="18" t="n"/>
      <c r="B189" s="18" t="n"/>
      <c r="C189" s="18" t="n"/>
      <c r="D189" s="18" t="n"/>
      <c r="E189" s="18" t="n"/>
      <c r="F189" s="18" t="n"/>
      <c r="G189" s="18" t="n"/>
      <c r="H189" s="18" t="n"/>
      <c r="I189" s="18" t="n"/>
      <c r="J189" s="18" t="n"/>
      <c r="K189" s="18" t="n"/>
      <c r="L189" s="18" t="n"/>
      <c r="M189" s="18" t="n"/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</row>
    <row r="191">
      <c r="A191" s="18" t="n"/>
      <c r="B191" s="18" t="n"/>
      <c r="C191" s="18" t="n"/>
      <c r="D191" s="18" t="n"/>
      <c r="E191" s="18" t="n"/>
      <c r="F191" s="18" t="n"/>
      <c r="G191" s="18" t="n"/>
      <c r="H191" s="18" t="n"/>
      <c r="I191" s="18" t="n"/>
      <c r="J191" s="18" t="n"/>
      <c r="K191" s="18" t="n"/>
      <c r="L191" s="18" t="n"/>
      <c r="M191" s="18" t="n"/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</row>
    <row r="193">
      <c r="A193" s="18" t="n"/>
      <c r="B193" s="18" t="n"/>
      <c r="C193" s="18" t="n"/>
      <c r="D193" s="18" t="n"/>
      <c r="E193" s="18" t="n"/>
      <c r="F193" s="18" t="n"/>
      <c r="G193" s="18" t="n"/>
      <c r="H193" s="18" t="n"/>
      <c r="I193" s="18" t="n"/>
      <c r="J193" s="18" t="n"/>
      <c r="K193" s="18" t="n"/>
      <c r="L193" s="18" t="n"/>
      <c r="M193" s="18" t="n"/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</row>
    <row r="195">
      <c r="A195" s="18" t="n"/>
      <c r="B195" s="18" t="n"/>
      <c r="C195" s="18" t="n"/>
      <c r="D195" s="18" t="n"/>
      <c r="E195" s="18" t="n"/>
      <c r="F195" s="18" t="n"/>
      <c r="G195" s="18" t="n"/>
      <c r="H195" s="18" t="n"/>
      <c r="I195" s="18" t="n"/>
      <c r="J195" s="18" t="n"/>
      <c r="K195" s="18" t="n"/>
      <c r="L195" s="18" t="n"/>
      <c r="M195" s="18" t="n"/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</row>
    <row r="197">
      <c r="A197" s="18" t="n"/>
      <c r="B197" s="18" t="n"/>
      <c r="C197" s="18" t="n"/>
      <c r="D197" s="18" t="n"/>
      <c r="E197" s="18" t="n"/>
      <c r="F197" s="18" t="n"/>
      <c r="G197" s="18" t="n"/>
      <c r="H197" s="18" t="n"/>
      <c r="I197" s="18" t="n"/>
      <c r="J197" s="18" t="n"/>
      <c r="K197" s="18" t="n"/>
      <c r="L197" s="18" t="n"/>
      <c r="M197" s="18" t="n"/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</row>
    <row r="199">
      <c r="A199" s="18" t="n"/>
      <c r="B199" s="18" t="n"/>
      <c r="C199" s="18" t="n"/>
      <c r="D199" s="18" t="n"/>
      <c r="E199" s="18" t="n"/>
      <c r="F199" s="18" t="n"/>
      <c r="G199" s="18" t="n"/>
      <c r="H199" s="18" t="n"/>
      <c r="I199" s="18" t="n"/>
      <c r="J199" s="18" t="n"/>
      <c r="K199" s="18" t="n"/>
      <c r="L199" s="18" t="n"/>
      <c r="M199" s="18" t="n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</row>
    <row r="201">
      <c r="A201" s="18" t="n"/>
      <c r="B201" s="18" t="n"/>
      <c r="C201" s="18" t="n"/>
      <c r="D201" s="18" t="n"/>
      <c r="E201" s="18" t="n"/>
      <c r="F201" s="18" t="n"/>
      <c r="G201" s="18" t="n"/>
      <c r="H201" s="18" t="n"/>
      <c r="I201" s="18" t="n"/>
      <c r="J201" s="18" t="n"/>
      <c r="K201" s="18" t="n"/>
      <c r="L201" s="18" t="n"/>
      <c r="M201" s="18" t="n"/>
    </row>
    <row r="202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</row>
    <row r="203">
      <c r="A203" s="18" t="n"/>
      <c r="B203" s="18" t="n"/>
      <c r="C203" s="18" t="n"/>
      <c r="D203" s="18" t="n"/>
      <c r="E203" s="18" t="n"/>
      <c r="F203" s="18" t="n"/>
      <c r="G203" s="18" t="n"/>
      <c r="H203" s="18" t="n"/>
      <c r="I203" s="18" t="n"/>
      <c r="J203" s="18" t="n"/>
      <c r="K203" s="18" t="n"/>
      <c r="L203" s="18" t="n"/>
      <c r="M203" s="18" t="n"/>
    </row>
    <row r="204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</row>
    <row r="205">
      <c r="A205" s="18" t="n"/>
      <c r="B205" s="18" t="n"/>
      <c r="C205" s="18" t="n"/>
      <c r="D205" s="18" t="n"/>
      <c r="E205" s="18" t="n"/>
      <c r="F205" s="18" t="n"/>
      <c r="G205" s="18" t="n"/>
      <c r="H205" s="18" t="n"/>
      <c r="I205" s="18" t="n"/>
      <c r="J205" s="18" t="n"/>
      <c r="K205" s="18" t="n"/>
      <c r="L205" s="18" t="n"/>
      <c r="M205" s="18" t="n"/>
    </row>
    <row r="206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</row>
    <row r="207">
      <c r="A207" s="18" t="n"/>
      <c r="B207" s="18" t="n"/>
      <c r="C207" s="18" t="n"/>
      <c r="D207" s="18" t="n"/>
      <c r="E207" s="18" t="n"/>
      <c r="F207" s="18" t="n"/>
      <c r="G207" s="18" t="n"/>
      <c r="H207" s="18" t="n"/>
      <c r="I207" s="18" t="n"/>
      <c r="J207" s="18" t="n"/>
      <c r="K207" s="18" t="n"/>
      <c r="L207" s="18" t="n"/>
      <c r="M207" s="18" t="n"/>
    </row>
    <row r="208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</row>
    <row r="209">
      <c r="A209" s="18" t="n"/>
      <c r="B209" s="18" t="n"/>
      <c r="C209" s="18" t="n"/>
      <c r="D209" s="18" t="n"/>
      <c r="E209" s="18" t="n"/>
      <c r="F209" s="18" t="n"/>
      <c r="G209" s="18" t="n"/>
      <c r="H209" s="18" t="n"/>
      <c r="I209" s="18" t="n"/>
      <c r="J209" s="18" t="n"/>
      <c r="K209" s="18" t="n"/>
      <c r="L209" s="18" t="n"/>
      <c r="M209" s="18" t="n"/>
    </row>
    <row r="210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</row>
    <row r="211">
      <c r="A211" s="18" t="n"/>
      <c r="B211" s="18" t="n"/>
      <c r="C211" s="18" t="n"/>
      <c r="D211" s="18" t="n"/>
      <c r="E211" s="18" t="n"/>
      <c r="F211" s="18" t="n"/>
      <c r="G211" s="18" t="n"/>
      <c r="H211" s="18" t="n"/>
      <c r="I211" s="18" t="n"/>
      <c r="J211" s="18" t="n"/>
      <c r="K211" s="18" t="n"/>
      <c r="L211" s="18" t="n"/>
      <c r="M211" s="18" t="n"/>
    </row>
    <row r="212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</row>
    <row r="213">
      <c r="A213" s="18" t="n"/>
      <c r="B213" s="18" t="n"/>
      <c r="C213" s="18" t="n"/>
      <c r="D213" s="18" t="n"/>
      <c r="E213" s="18" t="n"/>
      <c r="F213" s="18" t="n"/>
      <c r="G213" s="18" t="n"/>
      <c r="H213" s="18" t="n"/>
      <c r="I213" s="18" t="n"/>
      <c r="J213" s="18" t="n"/>
      <c r="K213" s="18" t="n"/>
      <c r="L213" s="18" t="n"/>
      <c r="M213" s="18" t="n"/>
    </row>
    <row r="214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</row>
    <row r="215">
      <c r="A215" s="18" t="n"/>
      <c r="B215" s="18" t="n"/>
      <c r="C215" s="18" t="n"/>
      <c r="D215" s="18" t="n"/>
      <c r="E215" s="18" t="n"/>
      <c r="F215" s="18" t="n"/>
      <c r="G215" s="18" t="n"/>
      <c r="H215" s="18" t="n"/>
      <c r="I215" s="18" t="n"/>
      <c r="J215" s="18" t="n"/>
      <c r="K215" s="18" t="n"/>
      <c r="L215" s="18" t="n"/>
      <c r="M215" s="18" t="n"/>
    </row>
    <row r="216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</row>
    <row r="217">
      <c r="A217" s="18" t="n"/>
      <c r="B217" s="18" t="n"/>
      <c r="C217" s="18" t="n"/>
      <c r="D217" s="18" t="n"/>
      <c r="E217" s="18" t="n"/>
      <c r="F217" s="18" t="n"/>
      <c r="G217" s="18" t="n"/>
      <c r="H217" s="18" t="n"/>
      <c r="I217" s="18" t="n"/>
      <c r="J217" s="18" t="n"/>
      <c r="K217" s="18" t="n"/>
      <c r="L217" s="18" t="n"/>
      <c r="M217" s="18" t="n"/>
    </row>
    <row r="218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</row>
    <row r="219">
      <c r="A219" s="18" t="n"/>
      <c r="B219" s="18" t="n"/>
      <c r="C219" s="18" t="n"/>
      <c r="D219" s="18" t="n"/>
      <c r="E219" s="18" t="n"/>
      <c r="F219" s="18" t="n"/>
      <c r="G219" s="18" t="n"/>
      <c r="H219" s="18" t="n"/>
      <c r="I219" s="18" t="n"/>
      <c r="J219" s="18" t="n"/>
      <c r="K219" s="18" t="n"/>
      <c r="L219" s="18" t="n"/>
      <c r="M219" s="18" t="n"/>
    </row>
    <row r="220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</row>
    <row r="221">
      <c r="A221" s="18" t="n"/>
      <c r="B221" s="18" t="n"/>
      <c r="C221" s="18" t="n"/>
      <c r="D221" s="18" t="n"/>
      <c r="E221" s="18" t="n"/>
      <c r="F221" s="18" t="n"/>
      <c r="G221" s="18" t="n"/>
      <c r="H221" s="18" t="n"/>
      <c r="I221" s="18" t="n"/>
      <c r="J221" s="18" t="n"/>
      <c r="K221" s="18" t="n"/>
      <c r="L221" s="18" t="n"/>
      <c r="M221" s="18" t="n"/>
    </row>
    <row r="222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</row>
    <row r="223">
      <c r="A223" s="18" t="n"/>
      <c r="B223" s="18" t="n"/>
      <c r="C223" s="18" t="n"/>
      <c r="D223" s="18" t="n"/>
      <c r="E223" s="18" t="n"/>
      <c r="F223" s="18" t="n"/>
      <c r="G223" s="18" t="n"/>
      <c r="H223" s="18" t="n"/>
      <c r="I223" s="18" t="n"/>
      <c r="J223" s="18" t="n"/>
      <c r="K223" s="18" t="n"/>
      <c r="L223" s="18" t="n"/>
      <c r="M223" s="18" t="n"/>
    </row>
    <row r="224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</row>
    <row r="225">
      <c r="A225" s="18" t="n"/>
      <c r="B225" s="18" t="n"/>
      <c r="C225" s="18" t="n"/>
      <c r="D225" s="18" t="n"/>
      <c r="E225" s="18" t="n"/>
      <c r="F225" s="18" t="n"/>
      <c r="G225" s="18" t="n"/>
      <c r="H225" s="18" t="n"/>
      <c r="I225" s="18" t="n"/>
      <c r="J225" s="18" t="n"/>
      <c r="K225" s="18" t="n"/>
      <c r="L225" s="18" t="n"/>
      <c r="M225" s="18" t="n"/>
    </row>
    <row r="226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</row>
    <row r="227">
      <c r="A227" s="18" t="n"/>
      <c r="B227" s="18" t="n"/>
      <c r="C227" s="18" t="n"/>
      <c r="D227" s="18" t="n"/>
      <c r="E227" s="18" t="n"/>
      <c r="F227" s="18" t="n"/>
      <c r="G227" s="18" t="n"/>
      <c r="H227" s="18" t="n"/>
      <c r="I227" s="18" t="n"/>
      <c r="J227" s="18" t="n"/>
      <c r="K227" s="18" t="n"/>
      <c r="L227" s="18" t="n"/>
      <c r="M227" s="18" t="n"/>
    </row>
    <row r="228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</row>
    <row r="229">
      <c r="A229" s="18" t="n"/>
      <c r="B229" s="18" t="n"/>
      <c r="C229" s="18" t="n"/>
      <c r="D229" s="18" t="n"/>
      <c r="E229" s="18" t="n"/>
      <c r="F229" s="18" t="n"/>
      <c r="G229" s="18" t="n"/>
      <c r="H229" s="18" t="n"/>
      <c r="I229" s="18" t="n"/>
      <c r="J229" s="18" t="n"/>
      <c r="K229" s="18" t="n"/>
      <c r="L229" s="18" t="n"/>
      <c r="M229" s="18" t="n"/>
    </row>
    <row r="230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</row>
    <row r="231">
      <c r="A231" s="18" t="n"/>
      <c r="B231" s="18" t="n"/>
      <c r="C231" s="18" t="n"/>
      <c r="D231" s="18" t="n"/>
      <c r="E231" s="18" t="n"/>
      <c r="F231" s="18" t="n"/>
      <c r="G231" s="18" t="n"/>
      <c r="H231" s="18" t="n"/>
      <c r="I231" s="18" t="n"/>
      <c r="J231" s="18" t="n"/>
      <c r="K231" s="18" t="n"/>
      <c r="L231" s="18" t="n"/>
      <c r="M231" s="18" t="n"/>
    </row>
    <row r="232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</row>
    <row r="233">
      <c r="A233" s="18" t="n"/>
      <c r="B233" s="18" t="n"/>
      <c r="C233" s="18" t="n"/>
      <c r="D233" s="18" t="n"/>
      <c r="E233" s="18" t="n"/>
      <c r="F233" s="18" t="n"/>
      <c r="G233" s="18" t="n"/>
      <c r="H233" s="18" t="n"/>
      <c r="I233" s="18" t="n"/>
      <c r="J233" s="18" t="n"/>
      <c r="K233" s="18" t="n"/>
      <c r="L233" s="18" t="n"/>
      <c r="M233" s="18" t="n"/>
    </row>
    <row r="234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</row>
    <row r="235">
      <c r="A235" s="18" t="n"/>
      <c r="B235" s="18" t="n"/>
      <c r="C235" s="18" t="n"/>
      <c r="D235" s="18" t="n"/>
      <c r="E235" s="18" t="n"/>
      <c r="F235" s="18" t="n"/>
      <c r="G235" s="18" t="n"/>
      <c r="H235" s="18" t="n"/>
      <c r="I235" s="18" t="n"/>
      <c r="J235" s="18" t="n"/>
      <c r="K235" s="18" t="n"/>
      <c r="L235" s="18" t="n"/>
      <c r="M235" s="18" t="n"/>
    </row>
    <row r="236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</row>
    <row r="237">
      <c r="A237" s="18" t="n"/>
      <c r="B237" s="18" t="n"/>
      <c r="C237" s="18" t="n"/>
      <c r="D237" s="18" t="n"/>
      <c r="E237" s="18" t="n"/>
      <c r="F237" s="18" t="n"/>
      <c r="G237" s="18" t="n"/>
      <c r="H237" s="18" t="n"/>
      <c r="I237" s="18" t="n"/>
      <c r="J237" s="18" t="n"/>
      <c r="K237" s="18" t="n"/>
      <c r="L237" s="18" t="n"/>
      <c r="M237" s="18" t="n"/>
    </row>
    <row r="238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</row>
    <row r="239">
      <c r="A239" s="18" t="n"/>
      <c r="B239" s="18" t="n"/>
      <c r="C239" s="18" t="n"/>
      <c r="D239" s="18" t="n"/>
      <c r="E239" s="18" t="n"/>
      <c r="F239" s="18" t="n"/>
      <c r="G239" s="18" t="n"/>
      <c r="H239" s="18" t="n"/>
      <c r="I239" s="18" t="n"/>
      <c r="J239" s="18" t="n"/>
      <c r="K239" s="18" t="n"/>
      <c r="L239" s="18" t="n"/>
      <c r="M239" s="18" t="n"/>
    </row>
    <row r="240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</row>
    <row r="241">
      <c r="A241" s="18" t="n"/>
      <c r="B241" s="18" t="n"/>
      <c r="C241" s="18" t="n"/>
      <c r="D241" s="18" t="n"/>
      <c r="E241" s="18" t="n"/>
      <c r="F241" s="18" t="n"/>
      <c r="G241" s="18" t="n"/>
      <c r="H241" s="18" t="n"/>
      <c r="I241" s="18" t="n"/>
      <c r="J241" s="18" t="n"/>
      <c r="K241" s="18" t="n"/>
      <c r="L241" s="18" t="n"/>
      <c r="M241" s="18" t="n"/>
    </row>
    <row r="242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</row>
    <row r="243">
      <c r="A243" s="18" t="n"/>
      <c r="B243" s="18" t="n"/>
      <c r="C243" s="18" t="n"/>
      <c r="D243" s="18" t="n"/>
      <c r="E243" s="18" t="n"/>
      <c r="F243" s="18" t="n"/>
      <c r="G243" s="18" t="n"/>
      <c r="H243" s="18" t="n"/>
      <c r="I243" s="18" t="n"/>
      <c r="J243" s="18" t="n"/>
      <c r="K243" s="18" t="n"/>
      <c r="L243" s="18" t="n"/>
      <c r="M243" s="18" t="n"/>
    </row>
    <row r="244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</row>
    <row r="245">
      <c r="A245" s="18" t="n"/>
      <c r="B245" s="18" t="n"/>
      <c r="C245" s="18" t="n"/>
      <c r="D245" s="18" t="n"/>
      <c r="E245" s="18" t="n"/>
      <c r="F245" s="18" t="n"/>
      <c r="G245" s="18" t="n"/>
      <c r="H245" s="18" t="n"/>
      <c r="I245" s="18" t="n"/>
      <c r="J245" s="18" t="n"/>
      <c r="K245" s="18" t="n"/>
      <c r="L245" s="18" t="n"/>
      <c r="M245" s="18" t="n"/>
    </row>
    <row r="246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</row>
    <row r="247">
      <c r="A247" s="18" t="n"/>
      <c r="B247" s="18" t="n"/>
      <c r="C247" s="18" t="n"/>
      <c r="D247" s="18" t="n"/>
      <c r="E247" s="18" t="n"/>
      <c r="F247" s="18" t="n"/>
      <c r="G247" s="18" t="n"/>
      <c r="H247" s="18" t="n"/>
      <c r="I247" s="18" t="n"/>
      <c r="J247" s="18" t="n"/>
      <c r="K247" s="18" t="n"/>
      <c r="L247" s="18" t="n"/>
      <c r="M247" s="18" t="n"/>
    </row>
    <row r="248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</row>
    <row r="249">
      <c r="A249" s="18" t="n"/>
      <c r="B249" s="18" t="n"/>
      <c r="C249" s="18" t="n"/>
      <c r="D249" s="18" t="n"/>
      <c r="E249" s="18" t="n"/>
      <c r="F249" s="18" t="n"/>
      <c r="G249" s="18" t="n"/>
      <c r="H249" s="18" t="n"/>
      <c r="I249" s="18" t="n"/>
      <c r="J249" s="18" t="n"/>
      <c r="K249" s="18" t="n"/>
      <c r="L249" s="18" t="n"/>
      <c r="M249" s="18" t="n"/>
    </row>
    <row r="250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</row>
    <row r="251">
      <c r="A251" s="18" t="n"/>
      <c r="B251" s="18" t="n"/>
      <c r="C251" s="18" t="n"/>
      <c r="D251" s="18" t="n"/>
      <c r="E251" s="18" t="n"/>
      <c r="F251" s="18" t="n"/>
      <c r="G251" s="18" t="n"/>
      <c r="H251" s="18" t="n"/>
      <c r="I251" s="18" t="n"/>
      <c r="J251" s="18" t="n"/>
      <c r="K251" s="18" t="n"/>
      <c r="L251" s="18" t="n"/>
      <c r="M251" s="18" t="n"/>
    </row>
    <row r="252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</row>
    <row r="253">
      <c r="A253" s="18" t="n"/>
      <c r="B253" s="18" t="n"/>
      <c r="C253" s="18" t="n"/>
      <c r="D253" s="18" t="n"/>
      <c r="E253" s="18" t="n"/>
      <c r="F253" s="18" t="n"/>
      <c r="G253" s="18" t="n"/>
      <c r="H253" s="18" t="n"/>
      <c r="I253" s="18" t="n"/>
      <c r="J253" s="18" t="n"/>
      <c r="K253" s="18" t="n"/>
      <c r="L253" s="18" t="n"/>
      <c r="M253" s="18" t="n"/>
    </row>
    <row r="254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</row>
    <row r="255">
      <c r="A255" s="18" t="n"/>
      <c r="B255" s="18" t="n"/>
      <c r="C255" s="18" t="n"/>
      <c r="D255" s="18" t="n"/>
      <c r="E255" s="18" t="n"/>
      <c r="F255" s="18" t="n"/>
      <c r="G255" s="18" t="n"/>
      <c r="H255" s="18" t="n"/>
      <c r="I255" s="18" t="n"/>
      <c r="J255" s="18" t="n"/>
      <c r="K255" s="18" t="n"/>
      <c r="L255" s="18" t="n"/>
      <c r="M255" s="18" t="n"/>
    </row>
    <row r="256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</row>
    <row r="257">
      <c r="A257" s="18" t="n"/>
      <c r="B257" s="18" t="n"/>
      <c r="C257" s="18" t="n"/>
      <c r="D257" s="18" t="n"/>
      <c r="E257" s="18" t="n"/>
      <c r="F257" s="18" t="n"/>
      <c r="G257" s="18" t="n"/>
      <c r="H257" s="18" t="n"/>
      <c r="I257" s="18" t="n"/>
      <c r="J257" s="18" t="n"/>
      <c r="K257" s="18" t="n"/>
      <c r="L257" s="18" t="n"/>
      <c r="M257" s="18" t="n"/>
    </row>
    <row r="258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</row>
    <row r="259">
      <c r="A259" s="18" t="n"/>
      <c r="B259" s="18" t="n"/>
      <c r="C259" s="18" t="n"/>
      <c r="D259" s="18" t="n"/>
      <c r="E259" s="18" t="n"/>
      <c r="F259" s="18" t="n"/>
      <c r="G259" s="18" t="n"/>
      <c r="H259" s="18" t="n"/>
      <c r="I259" s="18" t="n"/>
      <c r="J259" s="18" t="n"/>
      <c r="K259" s="18" t="n"/>
      <c r="L259" s="18" t="n"/>
      <c r="M259" s="18" t="n"/>
    </row>
    <row r="260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</row>
    <row r="261">
      <c r="A261" s="18" t="n"/>
      <c r="B261" s="18" t="n"/>
      <c r="C261" s="18" t="n"/>
      <c r="D261" s="18" t="n"/>
      <c r="E261" s="18" t="n"/>
      <c r="F261" s="18" t="n"/>
      <c r="G261" s="18" t="n"/>
      <c r="H261" s="18" t="n"/>
      <c r="I261" s="18" t="n"/>
      <c r="J261" s="18" t="n"/>
      <c r="K261" s="18" t="n"/>
      <c r="L261" s="18" t="n"/>
      <c r="M261" s="18" t="n"/>
    </row>
    <row r="262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</row>
    <row r="263">
      <c r="A263" s="18" t="n"/>
      <c r="B263" s="18" t="n"/>
      <c r="C263" s="18" t="n"/>
      <c r="D263" s="18" t="n"/>
      <c r="E263" s="18" t="n"/>
      <c r="F263" s="18" t="n"/>
      <c r="G263" s="18" t="n"/>
      <c r="H263" s="18" t="n"/>
      <c r="I263" s="18" t="n"/>
      <c r="J263" s="18" t="n"/>
      <c r="K263" s="18" t="n"/>
      <c r="L263" s="18" t="n"/>
      <c r="M263" s="18" t="n"/>
    </row>
    <row r="264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</row>
    <row r="265">
      <c r="A265" s="18" t="n"/>
      <c r="B265" s="18" t="n"/>
      <c r="C265" s="18" t="n"/>
      <c r="D265" s="18" t="n"/>
      <c r="E265" s="18" t="n"/>
      <c r="F265" s="18" t="n"/>
      <c r="G265" s="18" t="n"/>
      <c r="H265" s="18" t="n"/>
      <c r="I265" s="18" t="n"/>
      <c r="J265" s="18" t="n"/>
      <c r="K265" s="18" t="n"/>
      <c r="L265" s="18" t="n"/>
      <c r="M265" s="18" t="n"/>
    </row>
    <row r="266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</row>
    <row r="267">
      <c r="A267" s="18" t="n"/>
      <c r="B267" s="18" t="n"/>
      <c r="C267" s="18" t="n"/>
      <c r="D267" s="18" t="n"/>
      <c r="E267" s="18" t="n"/>
      <c r="F267" s="18" t="n"/>
      <c r="G267" s="18" t="n"/>
      <c r="H267" s="18" t="n"/>
      <c r="I267" s="18" t="n"/>
      <c r="J267" s="18" t="n"/>
      <c r="K267" s="18" t="n"/>
      <c r="L267" s="18" t="n"/>
      <c r="M267" s="18" t="n"/>
    </row>
    <row r="268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</row>
    <row r="269">
      <c r="A269" s="18" t="n"/>
      <c r="B269" s="18" t="n"/>
      <c r="C269" s="18" t="n"/>
      <c r="D269" s="18" t="n"/>
      <c r="E269" s="18" t="n"/>
      <c r="F269" s="18" t="n"/>
      <c r="G269" s="18" t="n"/>
      <c r="H269" s="18" t="n"/>
      <c r="I269" s="18" t="n"/>
      <c r="J269" s="18" t="n"/>
      <c r="K269" s="18" t="n"/>
      <c r="L269" s="18" t="n"/>
      <c r="M269" s="18" t="n"/>
    </row>
    <row r="270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</row>
    <row r="271">
      <c r="A271" s="18" t="n"/>
      <c r="B271" s="18" t="n"/>
      <c r="C271" s="18" t="n"/>
      <c r="D271" s="18" t="n"/>
      <c r="E271" s="18" t="n"/>
      <c r="F271" s="18" t="n"/>
      <c r="G271" s="18" t="n"/>
      <c r="H271" s="18" t="n"/>
      <c r="I271" s="18" t="n"/>
      <c r="J271" s="18" t="n"/>
      <c r="K271" s="18" t="n"/>
      <c r="L271" s="18" t="n"/>
      <c r="M271" s="18" t="n"/>
    </row>
    <row r="272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</row>
    <row r="273">
      <c r="A273" s="18" t="n"/>
      <c r="B273" s="18" t="n"/>
      <c r="C273" s="18" t="n"/>
      <c r="D273" s="18" t="n"/>
      <c r="E273" s="18" t="n"/>
      <c r="F273" s="18" t="n"/>
      <c r="G273" s="18" t="n"/>
      <c r="H273" s="18" t="n"/>
      <c r="I273" s="18" t="n"/>
      <c r="J273" s="18" t="n"/>
      <c r="K273" s="18" t="n"/>
      <c r="L273" s="18" t="n"/>
      <c r="M273" s="18" t="n"/>
    </row>
    <row r="274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</row>
    <row r="275">
      <c r="A275" s="18" t="n"/>
      <c r="B275" s="18" t="n"/>
      <c r="C275" s="18" t="n"/>
      <c r="D275" s="18" t="n"/>
      <c r="E275" s="18" t="n"/>
      <c r="F275" s="18" t="n"/>
      <c r="G275" s="18" t="n"/>
      <c r="H275" s="18" t="n"/>
      <c r="I275" s="18" t="n"/>
      <c r="J275" s="18" t="n"/>
      <c r="K275" s="18" t="n"/>
      <c r="L275" s="18" t="n"/>
      <c r="M275" s="18" t="n"/>
    </row>
    <row r="276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</row>
    <row r="277">
      <c r="A277" s="18" t="n"/>
      <c r="B277" s="18" t="n"/>
      <c r="C277" s="18" t="n"/>
      <c r="D277" s="18" t="n"/>
      <c r="E277" s="18" t="n"/>
      <c r="F277" s="18" t="n"/>
      <c r="G277" s="18" t="n"/>
      <c r="H277" s="18" t="n"/>
      <c r="I277" s="18" t="n"/>
      <c r="J277" s="18" t="n"/>
      <c r="K277" s="18" t="n"/>
      <c r="L277" s="18" t="n"/>
      <c r="M277" s="18" t="n"/>
    </row>
    <row r="278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</row>
    <row r="279">
      <c r="A279" s="18" t="n"/>
      <c r="B279" s="18" t="n"/>
      <c r="C279" s="18" t="n"/>
      <c r="D279" s="18" t="n"/>
      <c r="E279" s="18" t="n"/>
      <c r="F279" s="18" t="n"/>
      <c r="G279" s="18" t="n"/>
      <c r="H279" s="18" t="n"/>
      <c r="I279" s="18" t="n"/>
      <c r="J279" s="18" t="n"/>
      <c r="K279" s="18" t="n"/>
      <c r="L279" s="18" t="n"/>
      <c r="M279" s="18" t="n"/>
    </row>
    <row r="280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</row>
    <row r="281">
      <c r="A281" s="18" t="n"/>
      <c r="B281" s="18" t="n"/>
      <c r="C281" s="18" t="n"/>
      <c r="D281" s="18" t="n"/>
      <c r="E281" s="18" t="n"/>
      <c r="F281" s="18" t="n"/>
      <c r="G281" s="18" t="n"/>
      <c r="H281" s="18" t="n"/>
      <c r="I281" s="18" t="n"/>
      <c r="J281" s="18" t="n"/>
      <c r="K281" s="18" t="n"/>
      <c r="L281" s="18" t="n"/>
      <c r="M281" s="18" t="n"/>
    </row>
    <row r="282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</row>
    <row r="283">
      <c r="A283" s="18" t="n"/>
      <c r="B283" s="18" t="n"/>
      <c r="C283" s="18" t="n"/>
      <c r="D283" s="18" t="n"/>
      <c r="E283" s="18" t="n"/>
      <c r="F283" s="18" t="n"/>
      <c r="G283" s="18" t="n"/>
      <c r="H283" s="18" t="n"/>
      <c r="I283" s="18" t="n"/>
      <c r="J283" s="18" t="n"/>
      <c r="K283" s="18" t="n"/>
      <c r="L283" s="18" t="n"/>
      <c r="M283" s="18" t="n"/>
    </row>
    <row r="284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</row>
    <row r="285">
      <c r="A285" s="18" t="n"/>
      <c r="B285" s="18" t="n"/>
      <c r="C285" s="18" t="n"/>
      <c r="D285" s="18" t="n"/>
      <c r="E285" s="18" t="n"/>
      <c r="F285" s="18" t="n"/>
      <c r="G285" s="18" t="n"/>
      <c r="H285" s="18" t="n"/>
      <c r="I285" s="18" t="n"/>
      <c r="J285" s="18" t="n"/>
      <c r="K285" s="18" t="n"/>
      <c r="L285" s="18" t="n"/>
      <c r="M285" s="18" t="n"/>
    </row>
    <row r="286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</row>
    <row r="287">
      <c r="A287" s="18" t="n"/>
      <c r="B287" s="18" t="n"/>
      <c r="C287" s="18" t="n"/>
      <c r="D287" s="18" t="n"/>
      <c r="E287" s="18" t="n"/>
      <c r="F287" s="18" t="n"/>
      <c r="G287" s="18" t="n"/>
      <c r="H287" s="18" t="n"/>
      <c r="I287" s="18" t="n"/>
      <c r="J287" s="18" t="n"/>
      <c r="K287" s="18" t="n"/>
      <c r="L287" s="18" t="n"/>
      <c r="M287" s="18" t="n"/>
    </row>
    <row r="288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</row>
    <row r="289">
      <c r="A289" s="18" t="n"/>
      <c r="B289" s="18" t="n"/>
      <c r="C289" s="18" t="n"/>
      <c r="D289" s="18" t="n"/>
      <c r="E289" s="18" t="n"/>
      <c r="F289" s="18" t="n"/>
      <c r="G289" s="18" t="n"/>
      <c r="H289" s="18" t="n"/>
      <c r="I289" s="18" t="n"/>
      <c r="J289" s="18" t="n"/>
      <c r="K289" s="18" t="n"/>
      <c r="L289" s="18" t="n"/>
      <c r="M289" s="18" t="n"/>
    </row>
    <row r="290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</row>
    <row r="291">
      <c r="A291" s="18" t="n"/>
      <c r="B291" s="18" t="n"/>
      <c r="C291" s="18" t="n"/>
      <c r="D291" s="18" t="n"/>
      <c r="E291" s="18" t="n"/>
      <c r="F291" s="18" t="n"/>
      <c r="G291" s="18" t="n"/>
      <c r="H291" s="18" t="n"/>
      <c r="I291" s="18" t="n"/>
      <c r="J291" s="18" t="n"/>
      <c r="K291" s="18" t="n"/>
      <c r="L291" s="18" t="n"/>
      <c r="M291" s="18" t="n"/>
    </row>
    <row r="292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</row>
    <row r="293">
      <c r="A293" s="18" t="n"/>
      <c r="B293" s="18" t="n"/>
      <c r="C293" s="18" t="n"/>
      <c r="D293" s="18" t="n"/>
      <c r="E293" s="18" t="n"/>
      <c r="F293" s="18" t="n"/>
      <c r="G293" s="18" t="n"/>
      <c r="H293" s="18" t="n"/>
      <c r="I293" s="18" t="n"/>
      <c r="J293" s="18" t="n"/>
      <c r="K293" s="18" t="n"/>
      <c r="L293" s="18" t="n"/>
      <c r="M293" s="18" t="n"/>
    </row>
    <row r="294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</row>
    <row r="295">
      <c r="A295" s="18" t="n"/>
      <c r="B295" s="18" t="n"/>
      <c r="C295" s="18" t="n"/>
      <c r="D295" s="18" t="n"/>
      <c r="E295" s="18" t="n"/>
      <c r="F295" s="18" t="n"/>
      <c r="G295" s="18" t="n"/>
      <c r="H295" s="18" t="n"/>
      <c r="I295" s="18" t="n"/>
      <c r="J295" s="18" t="n"/>
      <c r="K295" s="18" t="n"/>
      <c r="L295" s="18" t="n"/>
      <c r="M295" s="18" t="n"/>
    </row>
    <row r="296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</row>
    <row r="297">
      <c r="A297" s="18" t="n"/>
      <c r="B297" s="18" t="n"/>
      <c r="C297" s="18" t="n"/>
      <c r="D297" s="18" t="n"/>
      <c r="E297" s="18" t="n"/>
      <c r="F297" s="18" t="n"/>
      <c r="G297" s="18" t="n"/>
      <c r="H297" s="18" t="n"/>
      <c r="I297" s="18" t="n"/>
      <c r="J297" s="18" t="n"/>
      <c r="K297" s="18" t="n"/>
      <c r="L297" s="18" t="n"/>
      <c r="M297" s="18" t="n"/>
    </row>
    <row r="298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</row>
    <row r="299">
      <c r="A299" s="18" t="n"/>
      <c r="B299" s="18" t="n"/>
      <c r="C299" s="18" t="n"/>
      <c r="D299" s="18" t="n"/>
      <c r="E299" s="18" t="n"/>
      <c r="F299" s="18" t="n"/>
      <c r="G299" s="18" t="n"/>
      <c r="H299" s="18" t="n"/>
      <c r="I299" s="18" t="n"/>
      <c r="J299" s="18" t="n"/>
      <c r="K299" s="18" t="n"/>
      <c r="L299" s="18" t="n"/>
      <c r="M299" s="18" t="n"/>
    </row>
    <row r="300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</row>
    <row r="301">
      <c r="A301" s="18" t="n"/>
      <c r="B301" s="18" t="n"/>
      <c r="C301" s="18" t="n"/>
      <c r="D301" s="18" t="n"/>
      <c r="E301" s="18" t="n"/>
      <c r="F301" s="18" t="n"/>
      <c r="G301" s="18" t="n"/>
      <c r="H301" s="18" t="n"/>
      <c r="I301" s="18" t="n"/>
      <c r="J301" s="18" t="n"/>
      <c r="K301" s="18" t="n"/>
      <c r="L301" s="18" t="n"/>
      <c r="M301" s="18" t="n"/>
    </row>
    <row r="302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</row>
    <row r="303">
      <c r="A303" s="18" t="n"/>
      <c r="B303" s="18" t="n"/>
      <c r="C303" s="18" t="n"/>
      <c r="D303" s="18" t="n"/>
      <c r="E303" s="18" t="n"/>
      <c r="F303" s="18" t="n"/>
      <c r="G303" s="18" t="n"/>
      <c r="H303" s="18" t="n"/>
      <c r="I303" s="18" t="n"/>
      <c r="J303" s="18" t="n"/>
      <c r="K303" s="18" t="n"/>
      <c r="L303" s="18" t="n"/>
      <c r="M303" s="18" t="n"/>
    </row>
    <row r="304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</row>
    <row r="305">
      <c r="A305" s="18" t="n"/>
      <c r="B305" s="18" t="n"/>
      <c r="C305" s="18" t="n"/>
      <c r="D305" s="18" t="n"/>
      <c r="E305" s="18" t="n"/>
      <c r="F305" s="18" t="n"/>
      <c r="G305" s="18" t="n"/>
      <c r="H305" s="18" t="n"/>
      <c r="I305" s="18" t="n"/>
      <c r="J305" s="18" t="n"/>
      <c r="K305" s="18" t="n"/>
      <c r="L305" s="18" t="n"/>
      <c r="M305" s="18" t="n"/>
    </row>
    <row r="306">
      <c r="A306" s="17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</row>
    <row r="307">
      <c r="A307" s="18" t="n"/>
      <c r="B307" s="18" t="n"/>
      <c r="C307" s="18" t="n"/>
      <c r="D307" s="18" t="n"/>
      <c r="E307" s="18" t="n"/>
      <c r="F307" s="18" t="n"/>
      <c r="G307" s="18" t="n"/>
      <c r="H307" s="18" t="n"/>
      <c r="I307" s="18" t="n"/>
      <c r="J307" s="18" t="n"/>
      <c r="K307" s="18" t="n"/>
      <c r="L307" s="18" t="n"/>
      <c r="M307" s="18" t="n"/>
    </row>
    <row r="308">
      <c r="A308" s="17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</row>
    <row r="309">
      <c r="A309" s="18" t="n"/>
      <c r="B309" s="18" t="n"/>
      <c r="C309" s="18" t="n"/>
      <c r="D309" s="18" t="n"/>
      <c r="E309" s="18" t="n"/>
      <c r="F309" s="18" t="n"/>
      <c r="G309" s="18" t="n"/>
      <c r="H309" s="18" t="n"/>
      <c r="I309" s="18" t="n"/>
      <c r="J309" s="18" t="n"/>
      <c r="K309" s="18" t="n"/>
      <c r="L309" s="18" t="n"/>
      <c r="M309" s="18" t="n"/>
    </row>
    <row r="310">
      <c r="A310" s="17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</row>
    <row r="311">
      <c r="A311" s="18" t="n"/>
      <c r="B311" s="18" t="n"/>
      <c r="C311" s="18" t="n"/>
      <c r="D311" s="18" t="n"/>
      <c r="E311" s="18" t="n"/>
      <c r="F311" s="18" t="n"/>
      <c r="G311" s="18" t="n"/>
      <c r="H311" s="18" t="n"/>
      <c r="I311" s="18" t="n"/>
      <c r="J311" s="18" t="n"/>
      <c r="K311" s="18" t="n"/>
      <c r="L311" s="18" t="n"/>
      <c r="M311" s="18" t="n"/>
    </row>
    <row r="312">
      <c r="A312" s="17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</row>
    <row r="313">
      <c r="A313" s="18" t="n"/>
      <c r="B313" s="18" t="n"/>
      <c r="C313" s="18" t="n"/>
      <c r="D313" s="18" t="n"/>
      <c r="E313" s="18" t="n"/>
      <c r="F313" s="18" t="n"/>
      <c r="G313" s="18" t="n"/>
      <c r="H313" s="18" t="n"/>
      <c r="I313" s="18" t="n"/>
      <c r="J313" s="18" t="n"/>
      <c r="K313" s="18" t="n"/>
      <c r="L313" s="18" t="n"/>
      <c r="M313" s="18" t="n"/>
    </row>
    <row r="314">
      <c r="A314" s="17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</row>
    <row r="315">
      <c r="A315" s="18" t="n"/>
      <c r="B315" s="18" t="n"/>
      <c r="C315" s="18" t="n"/>
      <c r="D315" s="18" t="n"/>
      <c r="E315" s="18" t="n"/>
      <c r="F315" s="18" t="n"/>
      <c r="G315" s="18" t="n"/>
      <c r="H315" s="18" t="n"/>
      <c r="I315" s="18" t="n"/>
      <c r="J315" s="18" t="n"/>
      <c r="K315" s="18" t="n"/>
      <c r="L315" s="18" t="n"/>
      <c r="M315" s="18" t="n"/>
    </row>
    <row r="316">
      <c r="A316" s="17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</row>
    <row r="317">
      <c r="A317" s="18" t="n"/>
      <c r="B317" s="18" t="n"/>
      <c r="C317" s="18" t="n"/>
      <c r="D317" s="18" t="n"/>
      <c r="E317" s="18" t="n"/>
      <c r="F317" s="18" t="n"/>
      <c r="G317" s="18" t="n"/>
      <c r="H317" s="18" t="n"/>
      <c r="I317" s="18" t="n"/>
      <c r="J317" s="18" t="n"/>
      <c r="K317" s="18" t="n"/>
      <c r="L317" s="18" t="n"/>
      <c r="M317" s="18" t="n"/>
    </row>
    <row r="318">
      <c r="A318" s="17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</row>
    <row r="319">
      <c r="A319" s="18" t="n"/>
      <c r="B319" s="18" t="n"/>
      <c r="C319" s="18" t="n"/>
      <c r="D319" s="18" t="n"/>
      <c r="E319" s="18" t="n"/>
      <c r="F319" s="18" t="n"/>
      <c r="G319" s="18" t="n"/>
      <c r="H319" s="18" t="n"/>
      <c r="I319" s="18" t="n"/>
      <c r="J319" s="18" t="n"/>
      <c r="K319" s="18" t="n"/>
      <c r="L319" s="18" t="n"/>
      <c r="M319" s="18" t="n"/>
    </row>
    <row r="320">
      <c r="A320" s="17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</row>
    <row r="321">
      <c r="A321" s="18" t="n"/>
      <c r="B321" s="18" t="n"/>
      <c r="C321" s="18" t="n"/>
      <c r="D321" s="18" t="n"/>
      <c r="E321" s="18" t="n"/>
      <c r="F321" s="18" t="n"/>
      <c r="G321" s="18" t="n"/>
      <c r="H321" s="18" t="n"/>
      <c r="I321" s="18" t="n"/>
      <c r="J321" s="18" t="n"/>
      <c r="K321" s="18" t="n"/>
      <c r="L321" s="18" t="n"/>
      <c r="M321" s="18" t="n"/>
    </row>
    <row r="322">
      <c r="A322" s="17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</row>
    <row r="323">
      <c r="A323" s="18" t="n"/>
      <c r="B323" s="18" t="n"/>
      <c r="C323" s="18" t="n"/>
      <c r="D323" s="18" t="n"/>
      <c r="E323" s="18" t="n"/>
      <c r="F323" s="18" t="n"/>
      <c r="G323" s="18" t="n"/>
      <c r="H323" s="18" t="n"/>
      <c r="I323" s="18" t="n"/>
      <c r="J323" s="18" t="n"/>
      <c r="K323" s="18" t="n"/>
      <c r="L323" s="18" t="n"/>
      <c r="M323" s="18" t="n"/>
    </row>
    <row r="324">
      <c r="A324" s="17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</row>
    <row r="325">
      <c r="A325" s="18" t="n"/>
      <c r="B325" s="18" t="n"/>
      <c r="C325" s="18" t="n"/>
      <c r="D325" s="18" t="n"/>
      <c r="E325" s="18" t="n"/>
      <c r="F325" s="18" t="n"/>
      <c r="G325" s="18" t="n"/>
      <c r="H325" s="18" t="n"/>
      <c r="I325" s="18" t="n"/>
      <c r="J325" s="18" t="n"/>
      <c r="K325" s="18" t="n"/>
      <c r="L325" s="18" t="n"/>
      <c r="M325" s="18" t="n"/>
    </row>
    <row r="326">
      <c r="A326" s="17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</row>
    <row r="327">
      <c r="A327" s="18" t="n"/>
      <c r="B327" s="18" t="n"/>
      <c r="C327" s="18" t="n"/>
      <c r="D327" s="18" t="n"/>
      <c r="E327" s="18" t="n"/>
      <c r="F327" s="18" t="n"/>
      <c r="G327" s="18" t="n"/>
      <c r="H327" s="18" t="n"/>
      <c r="I327" s="18" t="n"/>
      <c r="J327" s="18" t="n"/>
      <c r="K327" s="18" t="n"/>
      <c r="L327" s="18" t="n"/>
      <c r="M327" s="18" t="n"/>
    </row>
    <row r="328">
      <c r="A328" s="17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</row>
    <row r="329">
      <c r="A329" s="18" t="n"/>
      <c r="B329" s="18" t="n"/>
      <c r="C329" s="18" t="n"/>
      <c r="D329" s="18" t="n"/>
      <c r="E329" s="18" t="n"/>
      <c r="F329" s="18" t="n"/>
      <c r="G329" s="18" t="n"/>
      <c r="H329" s="18" t="n"/>
      <c r="I329" s="18" t="n"/>
      <c r="J329" s="18" t="n"/>
      <c r="K329" s="18" t="n"/>
      <c r="L329" s="18" t="n"/>
      <c r="M329" s="18" t="n"/>
    </row>
    <row r="330">
      <c r="A330" s="17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</row>
    <row r="331">
      <c r="A331" s="18" t="n"/>
      <c r="B331" s="18" t="n"/>
      <c r="C331" s="18" t="n"/>
      <c r="D331" s="18" t="n"/>
      <c r="E331" s="18" t="n"/>
      <c r="F331" s="18" t="n"/>
      <c r="G331" s="18" t="n"/>
      <c r="H331" s="18" t="n"/>
      <c r="I331" s="18" t="n"/>
      <c r="J331" s="18" t="n"/>
      <c r="K331" s="18" t="n"/>
      <c r="L331" s="18" t="n"/>
      <c r="M331" s="18" t="n"/>
    </row>
    <row r="332">
      <c r="A332" s="17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</row>
    <row r="333">
      <c r="A333" s="18" t="n"/>
      <c r="B333" s="18" t="n"/>
      <c r="C333" s="18" t="n"/>
      <c r="D333" s="18" t="n"/>
      <c r="E333" s="18" t="n"/>
      <c r="F333" s="18" t="n"/>
      <c r="G333" s="18" t="n"/>
      <c r="H333" s="18" t="n"/>
      <c r="I333" s="18" t="n"/>
      <c r="J333" s="18" t="n"/>
      <c r="K333" s="18" t="n"/>
      <c r="L333" s="18" t="n"/>
      <c r="M333" s="18" t="n"/>
    </row>
    <row r="334">
      <c r="A334" s="17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</row>
    <row r="335">
      <c r="A335" s="18" t="n"/>
      <c r="B335" s="18" t="n"/>
      <c r="C335" s="18" t="n"/>
      <c r="D335" s="18" t="n"/>
      <c r="E335" s="18" t="n"/>
      <c r="F335" s="18" t="n"/>
      <c r="G335" s="18" t="n"/>
      <c r="H335" s="18" t="n"/>
      <c r="I335" s="18" t="n"/>
      <c r="J335" s="18" t="n"/>
      <c r="K335" s="18" t="n"/>
      <c r="L335" s="18" t="n"/>
      <c r="M335" s="18" t="n"/>
    </row>
    <row r="336">
      <c r="A336" s="17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</row>
    <row r="337">
      <c r="A337" s="18" t="n"/>
      <c r="B337" s="18" t="n"/>
      <c r="C337" s="18" t="n"/>
      <c r="D337" s="18" t="n"/>
      <c r="E337" s="18" t="n"/>
      <c r="F337" s="18" t="n"/>
      <c r="G337" s="18" t="n"/>
      <c r="H337" s="18" t="n"/>
      <c r="I337" s="18" t="n"/>
      <c r="J337" s="18" t="n"/>
      <c r="K337" s="18" t="n"/>
      <c r="L337" s="18" t="n"/>
      <c r="M337" s="18" t="n"/>
    </row>
    <row r="338">
      <c r="A338" s="17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</row>
    <row r="339">
      <c r="A339" s="18" t="n"/>
      <c r="B339" s="18" t="n"/>
      <c r="C339" s="18" t="n"/>
      <c r="D339" s="18" t="n"/>
      <c r="E339" s="18" t="n"/>
      <c r="F339" s="18" t="n"/>
      <c r="G339" s="18" t="n"/>
      <c r="H339" s="18" t="n"/>
      <c r="I339" s="18" t="n"/>
      <c r="J339" s="18" t="n"/>
      <c r="K339" s="18" t="n"/>
      <c r="L339" s="18" t="n"/>
      <c r="M339" s="18" t="n"/>
    </row>
    <row r="340">
      <c r="A340" s="17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</row>
    <row r="341">
      <c r="A341" s="18" t="n"/>
      <c r="B341" s="18" t="n"/>
      <c r="C341" s="18" t="n"/>
      <c r="D341" s="18" t="n"/>
      <c r="E341" s="18" t="n"/>
      <c r="F341" s="18" t="n"/>
      <c r="G341" s="18" t="n"/>
      <c r="H341" s="18" t="n"/>
      <c r="I341" s="18" t="n"/>
      <c r="J341" s="18" t="n"/>
      <c r="K341" s="18" t="n"/>
      <c r="L341" s="18" t="n"/>
      <c r="M341" s="18" t="n"/>
    </row>
    <row r="342">
      <c r="A342" s="17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</row>
    <row r="343">
      <c r="A343" s="18" t="n"/>
      <c r="B343" s="18" t="n"/>
      <c r="C343" s="18" t="n"/>
      <c r="D343" s="18" t="n"/>
      <c r="E343" s="18" t="n"/>
      <c r="F343" s="18" t="n"/>
      <c r="G343" s="18" t="n"/>
      <c r="H343" s="18" t="n"/>
      <c r="I343" s="18" t="n"/>
      <c r="J343" s="18" t="n"/>
      <c r="K343" s="18" t="n"/>
      <c r="L343" s="18" t="n"/>
      <c r="M343" s="18" t="n"/>
    </row>
    <row r="344">
      <c r="A344" s="17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</row>
    <row r="345">
      <c r="A345" s="18" t="n"/>
      <c r="B345" s="18" t="n"/>
      <c r="C345" s="18" t="n"/>
      <c r="D345" s="18" t="n"/>
      <c r="E345" s="18" t="n"/>
      <c r="F345" s="18" t="n"/>
      <c r="G345" s="18" t="n"/>
      <c r="H345" s="18" t="n"/>
      <c r="I345" s="18" t="n"/>
      <c r="J345" s="18" t="n"/>
      <c r="K345" s="18" t="n"/>
      <c r="L345" s="18" t="n"/>
      <c r="M345" s="18" t="n"/>
    </row>
    <row r="346">
      <c r="A346" s="17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</row>
    <row r="347">
      <c r="A347" s="18" t="n"/>
      <c r="B347" s="18" t="n"/>
      <c r="C347" s="18" t="n"/>
      <c r="D347" s="18" t="n"/>
      <c r="E347" s="18" t="n"/>
      <c r="F347" s="18" t="n"/>
      <c r="G347" s="18" t="n"/>
      <c r="H347" s="18" t="n"/>
      <c r="I347" s="18" t="n"/>
      <c r="J347" s="18" t="n"/>
      <c r="K347" s="18" t="n"/>
      <c r="L347" s="18" t="n"/>
      <c r="M347" s="18" t="n"/>
    </row>
    <row r="348">
      <c r="A348" s="17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</row>
    <row r="349">
      <c r="A349" s="18" t="n"/>
      <c r="B349" s="18" t="n"/>
      <c r="C349" s="18" t="n"/>
      <c r="D349" s="18" t="n"/>
      <c r="E349" s="18" t="n"/>
      <c r="F349" s="18" t="n"/>
      <c r="G349" s="18" t="n"/>
      <c r="H349" s="18" t="n"/>
      <c r="I349" s="18" t="n"/>
      <c r="J349" s="18" t="n"/>
      <c r="K349" s="18" t="n"/>
      <c r="L349" s="18" t="n"/>
      <c r="M349" s="18" t="n"/>
    </row>
    <row r="350">
      <c r="A350" s="17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</row>
    <row r="351">
      <c r="A351" s="18" t="n"/>
      <c r="B351" s="18" t="n"/>
      <c r="C351" s="18" t="n"/>
      <c r="D351" s="18" t="n"/>
      <c r="E351" s="18" t="n"/>
      <c r="F351" s="18" t="n"/>
      <c r="G351" s="18" t="n"/>
      <c r="H351" s="18" t="n"/>
      <c r="I351" s="18" t="n"/>
      <c r="J351" s="18" t="n"/>
      <c r="K351" s="18" t="n"/>
      <c r="L351" s="18" t="n"/>
      <c r="M351" s="18" t="n"/>
    </row>
    <row r="352">
      <c r="A352" s="17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</row>
    <row r="353">
      <c r="A353" s="18" t="n"/>
      <c r="B353" s="18" t="n"/>
      <c r="C353" s="18" t="n"/>
      <c r="D353" s="18" t="n"/>
      <c r="E353" s="18" t="n"/>
      <c r="F353" s="18" t="n"/>
      <c r="G353" s="18" t="n"/>
      <c r="H353" s="18" t="n"/>
      <c r="I353" s="18" t="n"/>
      <c r="J353" s="18" t="n"/>
      <c r="K353" s="18" t="n"/>
      <c r="L353" s="18" t="n"/>
      <c r="M353" s="18" t="n"/>
    </row>
    <row r="354">
      <c r="A354" s="17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</row>
    <row r="355">
      <c r="A355" s="18" t="n"/>
      <c r="B355" s="18" t="n"/>
      <c r="C355" s="18" t="n"/>
      <c r="D355" s="18" t="n"/>
      <c r="E355" s="18" t="n"/>
      <c r="F355" s="18" t="n"/>
      <c r="G355" s="18" t="n"/>
      <c r="H355" s="18" t="n"/>
      <c r="I355" s="18" t="n"/>
      <c r="J355" s="18" t="n"/>
      <c r="K355" s="18" t="n"/>
      <c r="L355" s="18" t="n"/>
      <c r="M355" s="18" t="n"/>
    </row>
    <row r="356">
      <c r="A356" s="17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</row>
    <row r="357">
      <c r="A357" s="18" t="n"/>
      <c r="B357" s="18" t="n"/>
      <c r="C357" s="18" t="n"/>
      <c r="D357" s="18" t="n"/>
      <c r="E357" s="18" t="n"/>
      <c r="F357" s="18" t="n"/>
      <c r="G357" s="18" t="n"/>
      <c r="H357" s="18" t="n"/>
      <c r="I357" s="18" t="n"/>
      <c r="J357" s="18" t="n"/>
      <c r="K357" s="18" t="n"/>
      <c r="L357" s="18" t="n"/>
      <c r="M357" s="18" t="n"/>
    </row>
    <row r="358">
      <c r="A358" s="17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</row>
    <row r="359">
      <c r="A359" s="18" t="n"/>
      <c r="B359" s="18" t="n"/>
      <c r="C359" s="18" t="n"/>
      <c r="D359" s="18" t="n"/>
      <c r="E359" s="18" t="n"/>
      <c r="F359" s="18" t="n"/>
      <c r="G359" s="18" t="n"/>
      <c r="H359" s="18" t="n"/>
      <c r="I359" s="18" t="n"/>
      <c r="J359" s="18" t="n"/>
      <c r="K359" s="18" t="n"/>
      <c r="L359" s="18" t="n"/>
      <c r="M359" s="18" t="n"/>
    </row>
    <row r="360">
      <c r="A360" s="17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</row>
    <row r="361">
      <c r="A361" s="18" t="n"/>
      <c r="B361" s="18" t="n"/>
      <c r="C361" s="18" t="n"/>
      <c r="D361" s="18" t="n"/>
      <c r="E361" s="18" t="n"/>
      <c r="F361" s="18" t="n"/>
      <c r="G361" s="18" t="n"/>
      <c r="H361" s="18" t="n"/>
      <c r="I361" s="18" t="n"/>
      <c r="J361" s="18" t="n"/>
      <c r="K361" s="18" t="n"/>
      <c r="L361" s="18" t="n"/>
      <c r="M361" s="18" t="n"/>
    </row>
    <row r="362">
      <c r="A362" s="17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</row>
    <row r="363">
      <c r="A363" s="18" t="n"/>
      <c r="B363" s="18" t="n"/>
      <c r="C363" s="18" t="n"/>
      <c r="D363" s="18" t="n"/>
      <c r="E363" s="18" t="n"/>
      <c r="F363" s="18" t="n"/>
      <c r="G363" s="18" t="n"/>
      <c r="H363" s="18" t="n"/>
      <c r="I363" s="18" t="n"/>
      <c r="J363" s="18" t="n"/>
      <c r="K363" s="18" t="n"/>
      <c r="L363" s="18" t="n"/>
      <c r="M363" s="18" t="n"/>
    </row>
    <row r="364">
      <c r="A364" s="17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</row>
    <row r="365">
      <c r="A365" s="18" t="n"/>
      <c r="B365" s="18" t="n"/>
      <c r="C365" s="18" t="n"/>
      <c r="D365" s="18" t="n"/>
      <c r="E365" s="18" t="n"/>
      <c r="F365" s="18" t="n"/>
      <c r="G365" s="18" t="n"/>
      <c r="H365" s="18" t="n"/>
      <c r="I365" s="18" t="n"/>
      <c r="J365" s="18" t="n"/>
      <c r="K365" s="18" t="n"/>
      <c r="L365" s="18" t="n"/>
      <c r="M365" s="18" t="n"/>
    </row>
    <row r="366">
      <c r="A366" s="17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</row>
    <row r="367">
      <c r="A367" s="18" t="n"/>
      <c r="B367" s="18" t="n"/>
      <c r="C367" s="18" t="n"/>
      <c r="D367" s="18" t="n"/>
      <c r="E367" s="18" t="n"/>
      <c r="F367" s="18" t="n"/>
      <c r="G367" s="18" t="n"/>
      <c r="H367" s="18" t="n"/>
      <c r="I367" s="18" t="n"/>
      <c r="J367" s="18" t="n"/>
      <c r="K367" s="18" t="n"/>
      <c r="L367" s="18" t="n"/>
      <c r="M367" s="18" t="n"/>
    </row>
    <row r="368">
      <c r="A368" s="17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</row>
    <row r="369">
      <c r="A369" s="18" t="n"/>
      <c r="B369" s="18" t="n"/>
      <c r="C369" s="18" t="n"/>
      <c r="D369" s="18" t="n"/>
      <c r="E369" s="18" t="n"/>
      <c r="F369" s="18" t="n"/>
      <c r="G369" s="18" t="n"/>
      <c r="H369" s="18" t="n"/>
      <c r="I369" s="18" t="n"/>
      <c r="J369" s="18" t="n"/>
      <c r="K369" s="18" t="n"/>
      <c r="L369" s="18" t="n"/>
      <c r="M369" s="18" t="n"/>
    </row>
    <row r="370">
      <c r="A370" s="17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</row>
    <row r="371">
      <c r="A371" s="18" t="n"/>
      <c r="B371" s="18" t="n"/>
      <c r="C371" s="18" t="n"/>
      <c r="D371" s="18" t="n"/>
      <c r="E371" s="18" t="n"/>
      <c r="F371" s="18" t="n"/>
      <c r="G371" s="18" t="n"/>
      <c r="H371" s="18" t="n"/>
      <c r="I371" s="18" t="n"/>
      <c r="J371" s="18" t="n"/>
      <c r="K371" s="18" t="n"/>
      <c r="L371" s="18" t="n"/>
      <c r="M371" s="18" t="n"/>
    </row>
    <row r="372">
      <c r="A372" s="17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</row>
    <row r="373">
      <c r="A373" s="18" t="n"/>
      <c r="B373" s="18" t="n"/>
      <c r="C373" s="18" t="n"/>
      <c r="D373" s="18" t="n"/>
      <c r="E373" s="18" t="n"/>
      <c r="F373" s="18" t="n"/>
      <c r="G373" s="18" t="n"/>
      <c r="H373" s="18" t="n"/>
      <c r="I373" s="18" t="n"/>
      <c r="J373" s="18" t="n"/>
      <c r="K373" s="18" t="n"/>
      <c r="L373" s="18" t="n"/>
      <c r="M373" s="18" t="n"/>
    </row>
    <row r="374">
      <c r="A374" s="17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</row>
    <row r="375">
      <c r="A375" s="18" t="n"/>
      <c r="B375" s="18" t="n"/>
      <c r="C375" s="18" t="n"/>
      <c r="D375" s="18" t="n"/>
      <c r="E375" s="18" t="n"/>
      <c r="F375" s="18" t="n"/>
      <c r="G375" s="18" t="n"/>
      <c r="H375" s="18" t="n"/>
      <c r="I375" s="18" t="n"/>
      <c r="J375" s="18" t="n"/>
      <c r="K375" s="18" t="n"/>
      <c r="L375" s="18" t="n"/>
      <c r="M375" s="18" t="n"/>
    </row>
    <row r="376">
      <c r="A376" s="17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</row>
    <row r="377">
      <c r="A377" s="18" t="n"/>
      <c r="B377" s="18" t="n"/>
      <c r="C377" s="18" t="n"/>
      <c r="D377" s="18" t="n"/>
      <c r="E377" s="18" t="n"/>
      <c r="F377" s="18" t="n"/>
      <c r="G377" s="18" t="n"/>
      <c r="H377" s="18" t="n"/>
      <c r="I377" s="18" t="n"/>
      <c r="J377" s="18" t="n"/>
      <c r="K377" s="18" t="n"/>
      <c r="L377" s="18" t="n"/>
      <c r="M377" s="18" t="n"/>
    </row>
    <row r="378">
      <c r="A378" s="17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</row>
    <row r="379">
      <c r="A379" s="18" t="n"/>
      <c r="B379" s="18" t="n"/>
      <c r="C379" s="18" t="n"/>
      <c r="D379" s="18" t="n"/>
      <c r="E379" s="18" t="n"/>
      <c r="F379" s="18" t="n"/>
      <c r="G379" s="18" t="n"/>
      <c r="H379" s="18" t="n"/>
      <c r="I379" s="18" t="n"/>
      <c r="J379" s="18" t="n"/>
      <c r="K379" s="18" t="n"/>
      <c r="L379" s="18" t="n"/>
      <c r="M379" s="18" t="n"/>
    </row>
    <row r="380">
      <c r="A380" s="17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</row>
    <row r="381">
      <c r="A381" s="18" t="n"/>
      <c r="B381" s="18" t="n"/>
      <c r="C381" s="18" t="n"/>
      <c r="D381" s="18" t="n"/>
      <c r="E381" s="18" t="n"/>
      <c r="F381" s="18" t="n"/>
      <c r="G381" s="18" t="n"/>
      <c r="H381" s="18" t="n"/>
      <c r="I381" s="18" t="n"/>
      <c r="J381" s="18" t="n"/>
      <c r="K381" s="18" t="n"/>
      <c r="L381" s="18" t="n"/>
      <c r="M381" s="18" t="n"/>
    </row>
    <row r="382">
      <c r="A382" s="17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</row>
    <row r="383">
      <c r="A383" s="18" t="n"/>
      <c r="B383" s="18" t="n"/>
      <c r="C383" s="18" t="n"/>
      <c r="D383" s="18" t="n"/>
      <c r="E383" s="18" t="n"/>
      <c r="F383" s="18" t="n"/>
      <c r="G383" s="18" t="n"/>
      <c r="H383" s="18" t="n"/>
      <c r="I383" s="18" t="n"/>
      <c r="J383" s="18" t="n"/>
      <c r="K383" s="18" t="n"/>
      <c r="L383" s="18" t="n"/>
      <c r="M383" s="18" t="n"/>
    </row>
    <row r="384">
      <c r="A384" s="17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</row>
    <row r="385">
      <c r="A385" s="18" t="n"/>
      <c r="B385" s="18" t="n"/>
      <c r="C385" s="18" t="n"/>
      <c r="D385" s="18" t="n"/>
      <c r="E385" s="18" t="n"/>
      <c r="F385" s="18" t="n"/>
      <c r="G385" s="18" t="n"/>
      <c r="H385" s="18" t="n"/>
      <c r="I385" s="18" t="n"/>
      <c r="J385" s="18" t="n"/>
      <c r="K385" s="18" t="n"/>
      <c r="L385" s="18" t="n"/>
      <c r="M385" s="18" t="n"/>
    </row>
    <row r="386">
      <c r="A386" s="17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</row>
    <row r="387">
      <c r="A387" s="18" t="n"/>
      <c r="B387" s="18" t="n"/>
      <c r="C387" s="18" t="n"/>
      <c r="D387" s="18" t="n"/>
      <c r="E387" s="18" t="n"/>
      <c r="F387" s="18" t="n"/>
      <c r="G387" s="18" t="n"/>
      <c r="H387" s="18" t="n"/>
      <c r="I387" s="18" t="n"/>
      <c r="J387" s="18" t="n"/>
      <c r="K387" s="18" t="n"/>
      <c r="L387" s="18" t="n"/>
      <c r="M387" s="18" t="n"/>
    </row>
    <row r="388">
      <c r="A388" s="17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</row>
    <row r="389">
      <c r="A389" s="18" t="n"/>
      <c r="B389" s="18" t="n"/>
      <c r="C389" s="18" t="n"/>
      <c r="D389" s="18" t="n"/>
      <c r="E389" s="18" t="n"/>
      <c r="F389" s="18" t="n"/>
      <c r="G389" s="18" t="n"/>
      <c r="H389" s="18" t="n"/>
      <c r="I389" s="18" t="n"/>
      <c r="J389" s="18" t="n"/>
      <c r="K389" s="18" t="n"/>
      <c r="L389" s="18" t="n"/>
      <c r="M389" s="18" t="n"/>
    </row>
    <row r="390">
      <c r="A390" s="17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</row>
    <row r="391">
      <c r="A391" s="18" t="n"/>
      <c r="B391" s="18" t="n"/>
      <c r="C391" s="18" t="n"/>
      <c r="D391" s="18" t="n"/>
      <c r="E391" s="18" t="n"/>
      <c r="F391" s="18" t="n"/>
      <c r="G391" s="18" t="n"/>
      <c r="H391" s="18" t="n"/>
      <c r="I391" s="18" t="n"/>
      <c r="J391" s="18" t="n"/>
      <c r="K391" s="18" t="n"/>
      <c r="L391" s="18" t="n"/>
      <c r="M391" s="18" t="n"/>
    </row>
    <row r="392">
      <c r="A392" s="17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</row>
    <row r="393">
      <c r="A393" s="18" t="n"/>
      <c r="B393" s="18" t="n"/>
      <c r="C393" s="18" t="n"/>
      <c r="D393" s="18" t="n"/>
      <c r="E393" s="18" t="n"/>
      <c r="F393" s="18" t="n"/>
      <c r="G393" s="18" t="n"/>
      <c r="H393" s="18" t="n"/>
      <c r="I393" s="18" t="n"/>
      <c r="J393" s="18" t="n"/>
      <c r="K393" s="18" t="n"/>
      <c r="L393" s="18" t="n"/>
      <c r="M393" s="18" t="n"/>
    </row>
    <row r="394">
      <c r="A394" s="17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</row>
    <row r="395">
      <c r="A395" s="18" t="n"/>
      <c r="B395" s="18" t="n"/>
      <c r="C395" s="18" t="n"/>
      <c r="D395" s="18" t="n"/>
      <c r="E395" s="18" t="n"/>
      <c r="F395" s="18" t="n"/>
      <c r="G395" s="18" t="n"/>
      <c r="H395" s="18" t="n"/>
      <c r="I395" s="18" t="n"/>
      <c r="J395" s="18" t="n"/>
      <c r="K395" s="18" t="n"/>
      <c r="L395" s="18" t="n"/>
      <c r="M395" s="18" t="n"/>
    </row>
    <row r="396">
      <c r="A396" s="17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</row>
    <row r="397">
      <c r="A397" s="18" t="n"/>
      <c r="B397" s="18" t="n"/>
      <c r="C397" s="18" t="n"/>
      <c r="D397" s="18" t="n"/>
      <c r="E397" s="18" t="n"/>
      <c r="F397" s="18" t="n"/>
      <c r="G397" s="18" t="n"/>
      <c r="H397" s="18" t="n"/>
      <c r="I397" s="18" t="n"/>
      <c r="J397" s="18" t="n"/>
      <c r="K397" s="18" t="n"/>
      <c r="L397" s="18" t="n"/>
      <c r="M397" s="18" t="n"/>
    </row>
    <row r="398">
      <c r="A398" s="17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</row>
    <row r="399">
      <c r="A399" s="18" t="n"/>
      <c r="B399" s="18" t="n"/>
      <c r="C399" s="18" t="n"/>
      <c r="D399" s="18" t="n"/>
      <c r="E399" s="18" t="n"/>
      <c r="F399" s="18" t="n"/>
      <c r="G399" s="18" t="n"/>
      <c r="H399" s="18" t="n"/>
      <c r="I399" s="18" t="n"/>
      <c r="J399" s="18" t="n"/>
      <c r="K399" s="18" t="n"/>
      <c r="L399" s="18" t="n"/>
      <c r="M399" s="18" t="n"/>
    </row>
    <row r="400">
      <c r="A400" s="17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</row>
  </sheetData>
  <autoFilter ref="A1:M1"/>
  <conditionalFormatting sqref="E2:E400">
    <cfRule type="cellIs" priority="1" operator="equal" dxfId="0">
      <formula>"Blocker"</formula>
    </cfRule>
    <cfRule type="cellIs" priority="2" operator="equal" dxfId="1">
      <formula>"Major"</formula>
    </cfRule>
    <cfRule type="cellIs" priority="3" operator="equal" dxfId="2">
      <formula>"Minor"</formula>
    </cfRule>
    <cfRule type="cellIs" priority="4" operator="equal" dxfId="3">
      <formula>"Nit"</formula>
    </cfRule>
  </conditionalFormatting>
  <dataValidations count="3">
    <dataValidation sqref="E2:E400" showDropDown="0" showInputMessage="0" showErrorMessage="0" allowBlank="1" type="list">
      <formula1>"Blocker,Major,Minor,Nit"</formula1>
    </dataValidation>
    <dataValidation sqref="D2:D400" showDropDown="0" showInputMessage="0" showErrorMessage="0" allowBlank="1" type="list">
      <formula1>"Layout &amp; Spacing,Color &amp; Token,Typography,Components &amp; States,Content &amp; Iconography,Responsive &amp; A11y"</formula1>
    </dataValidation>
    <dataValidation sqref="J2:J400" showDropDown="0" showInputMessage="0" showErrorMessage="0" allowBlank="1" type="list">
      <formula1>"Open,In Progress,Fixed,Won't Fix,Verified"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6" customWidth="1" min="3" max="3"/>
    <col width="12" customWidth="1" min="4" max="4"/>
    <col width="10" customWidth="1" min="5" max="5"/>
    <col width="14" customWidth="1" min="6" max="6"/>
    <col width="11" customWidth="1" min="7" max="7"/>
    <col width="34" customWidth="1" min="8" max="8"/>
  </cols>
  <sheetData>
    <row r="1" ht="26" customHeight="1">
      <c r="A1" s="11" t="inlineStr">
        <is>
          <t>Screen</t>
        </is>
      </c>
      <c r="B1" s="11" t="inlineStr">
        <is>
          <t>Section</t>
        </is>
      </c>
      <c r="C1" s="11" t="inlineStr">
        <is>
          <t>Figma URL</t>
        </is>
      </c>
      <c r="D1" s="11" t="inlineStr">
        <is>
          <t>Has Design?</t>
        </is>
      </c>
      <c r="E1" s="11" t="inlineStr">
        <is>
          <t>Built?</t>
        </is>
      </c>
      <c r="F1" s="11" t="inlineStr">
        <is>
          <t>QC Status</t>
        </is>
      </c>
      <c r="G1" s="11" t="inlineStr">
        <is>
          <t># Findings</t>
        </is>
      </c>
      <c r="H1" s="11" t="inlineStr">
        <is>
          <t>Notes</t>
        </is>
      </c>
    </row>
    <row r="2">
      <c r="A2" s="16" t="inlineStr">
        <is>
          <t>Ministry / Dashboard</t>
        </is>
      </c>
      <c r="B2" s="16" t="inlineStr">
        <is>
          <t>Ministry</t>
        </is>
      </c>
      <c r="C2" s="16" t="inlineStr">
        <is>
          <t>https://www.figma.com/design/gH2vQ62cfg4677YKWuOpLc/MoSJE-Portal--Handoff-?node-id=4226-37114</t>
        </is>
      </c>
      <c r="D2" s="16" t="inlineStr">
        <is>
          <t>Yes</t>
        </is>
      </c>
      <c r="E2" s="16" t="inlineStr">
        <is>
          <t>Yes</t>
        </is>
      </c>
      <c r="F2" s="16" t="inlineStr">
        <is>
          <t>Done</t>
        </is>
      </c>
      <c r="G2" s="16">
        <f>COUNTIF('eUtthan Admin'!$B:$B,$A2)</f>
        <v/>
      </c>
      <c r="H2" s="16" t="n"/>
    </row>
    <row r="3">
      <c r="A3" s="16" t="inlineStr">
        <is>
          <t>Ministry / Manage Scheme</t>
        </is>
      </c>
      <c r="B3" s="16" t="inlineStr">
        <is>
          <t>Ministry</t>
        </is>
      </c>
      <c r="C3" s="16" t="inlineStr">
        <is>
          <t>https://www.figma.com/design/gH2vQ62cfg4677YKWuOpLc/MoSJE-Portal--Handoff-?node-id=4226-37360</t>
        </is>
      </c>
      <c r="D3" s="16" t="inlineStr">
        <is>
          <t>Yes</t>
        </is>
      </c>
      <c r="E3" s="16" t="inlineStr">
        <is>
          <t>Yes</t>
        </is>
      </c>
      <c r="F3" s="16" t="inlineStr">
        <is>
          <t>Done</t>
        </is>
      </c>
      <c r="G3" s="16">
        <f>COUNTIF('eUtthan Admin'!$B:$B,$A3)</f>
        <v/>
      </c>
      <c r="H3" s="16" t="n"/>
    </row>
    <row r="4">
      <c r="A4" s="16" t="inlineStr">
        <is>
          <t>Ministry / Manage Scheme (scrolled)</t>
        </is>
      </c>
      <c r="B4" s="16" t="inlineStr">
        <is>
          <t>Ministry</t>
        </is>
      </c>
      <c r="C4" s="16" t="inlineStr">
        <is>
          <t>https://www.figma.com/design/gH2vQ62cfg4677YKWuOpLc/MoSJE-Portal--Handoff-?node-id=4226-37568</t>
        </is>
      </c>
      <c r="D4" s="16" t="inlineStr">
        <is>
          <t>Yes</t>
        </is>
      </c>
      <c r="E4" s="16" t="n"/>
      <c r="F4" s="16" t="inlineStr">
        <is>
          <t>Not Started</t>
        </is>
      </c>
      <c r="G4" s="16">
        <f>COUNTIF('eUtthan Admin'!$B:$B,$A4)</f>
        <v/>
      </c>
      <c r="H4" s="16" t="n"/>
    </row>
    <row r="5">
      <c r="A5" s="16" t="inlineStr">
        <is>
          <t>Ministry / Add</t>
        </is>
      </c>
      <c r="B5" s="16" t="inlineStr">
        <is>
          <t>Ministry</t>
        </is>
      </c>
      <c r="C5" s="16" t="inlineStr">
        <is>
          <t>https://www.figma.com/design/gH2vQ62cfg4677YKWuOpLc/MoSJE-Portal--Handoff-?node-id=4226-38254</t>
        </is>
      </c>
      <c r="D5" s="16" t="inlineStr">
        <is>
          <t>Yes</t>
        </is>
      </c>
      <c r="E5" s="16" t="n"/>
      <c r="F5" s="16" t="inlineStr">
        <is>
          <t>Not Started</t>
        </is>
      </c>
      <c r="G5" s="16">
        <f>COUNTIF('eUtthan Admin'!$B:$B,$A5)</f>
        <v/>
      </c>
      <c r="H5" s="16" t="n"/>
    </row>
    <row r="6">
      <c r="A6" s="16" t="inlineStr">
        <is>
          <t>Ministry / Physical Progress Data</t>
        </is>
      </c>
      <c r="B6" s="16" t="inlineStr">
        <is>
          <t>Ministry</t>
        </is>
      </c>
      <c r="C6" s="16" t="inlineStr">
        <is>
          <t>https://www.figma.com/design/gH2vQ62cfg4677YKWuOpLc/MoSJE-Portal--Handoff-?node-id=4226-38368</t>
        </is>
      </c>
      <c r="D6" s="16" t="inlineStr">
        <is>
          <t>Yes</t>
        </is>
      </c>
      <c r="E6" s="16" t="inlineStr">
        <is>
          <t>Yes</t>
        </is>
      </c>
      <c r="F6" s="16" t="inlineStr">
        <is>
          <t>Done</t>
        </is>
      </c>
      <c r="G6" s="16">
        <f>COUNTIF('eUtthan Admin'!$B:$B,$A6)</f>
        <v/>
      </c>
      <c r="H6" s="16" t="n"/>
    </row>
    <row r="7">
      <c r="A7" s="16" t="inlineStr">
        <is>
          <t>Ministry / Manage Scheme (scrolled)</t>
        </is>
      </c>
      <c r="B7" s="16" t="inlineStr">
        <is>
          <t>Ministry</t>
        </is>
      </c>
      <c r="C7" s="16" t="inlineStr">
        <is>
          <t>https://www.figma.com/design/gH2vQ62cfg4677YKWuOpLc/MoSJE-Portal--Handoff-?node-id=4226-37796</t>
        </is>
      </c>
      <c r="D7" s="16" t="inlineStr">
        <is>
          <t>Yes</t>
        </is>
      </c>
      <c r="E7" s="16" t="n"/>
      <c r="F7" s="16" t="inlineStr">
        <is>
          <t>Not Started</t>
        </is>
      </c>
      <c r="G7" s="16">
        <f>COUNTIF('eUtthan Admin'!$B:$B,$A7)</f>
        <v/>
      </c>
      <c r="H7" s="16" t="n"/>
    </row>
    <row r="8">
      <c r="A8" s="16" t="inlineStr">
        <is>
          <t>Ministry / Manage Scheme (scrolled)</t>
        </is>
      </c>
      <c r="B8" s="16" t="inlineStr">
        <is>
          <t>Ministry</t>
        </is>
      </c>
      <c r="C8" s="16" t="inlineStr">
        <is>
          <t>https://www.figma.com/design/gH2vQ62cfg4677YKWuOpLc/MoSJE-Portal--Handoff-?node-id=4226-38041</t>
        </is>
      </c>
      <c r="D8" s="16" t="inlineStr">
        <is>
          <t>Yes</t>
        </is>
      </c>
      <c r="E8" s="16" t="n"/>
      <c r="F8" s="16" t="inlineStr">
        <is>
          <t>Not Started</t>
        </is>
      </c>
      <c r="G8" s="16">
        <f>COUNTIF('eUtthan Admin'!$B:$B,$A8)</f>
        <v/>
      </c>
      <c r="H8" s="16" t="n"/>
    </row>
    <row r="9">
      <c r="A9" s="16" t="inlineStr">
        <is>
          <t>Ministry / Physical Progress Data / Add</t>
        </is>
      </c>
      <c r="B9" s="16" t="inlineStr">
        <is>
          <t>Ministry</t>
        </is>
      </c>
      <c r="C9" s="16" t="inlineStr">
        <is>
          <t>https://www.figma.com/design/gH2vQ62cfg4677YKWuOpLc/MoSJE-Portal--Handoff-?node-id=4226-39568</t>
        </is>
      </c>
      <c r="D9" s="16" t="inlineStr">
        <is>
          <t>Yes</t>
        </is>
      </c>
      <c r="E9" s="16" t="n"/>
      <c r="F9" s="16" t="inlineStr">
        <is>
          <t>Not Started</t>
        </is>
      </c>
      <c r="G9" s="16">
        <f>COUNTIF('eUtthan Admin'!$B:$B,$A9)</f>
        <v/>
      </c>
      <c r="H9" s="16" t="n"/>
    </row>
    <row r="10">
      <c r="A10" s="16" t="inlineStr">
        <is>
          <t>Ministry / Physical Progress Data / Import Excel</t>
        </is>
      </c>
      <c r="B10" s="16" t="inlineStr">
        <is>
          <t>Ministry</t>
        </is>
      </c>
      <c r="C10" s="16" t="inlineStr">
        <is>
          <t>https://www.figma.com/design/gH2vQ62cfg4677YKWuOpLc/MoSJE-Portal--Handoff-?node-id=4226-39128</t>
        </is>
      </c>
      <c r="D10" s="16" t="inlineStr">
        <is>
          <t>Yes</t>
        </is>
      </c>
      <c r="E10" s="16" t="n"/>
      <c r="F10" s="16" t="inlineStr">
        <is>
          <t>Not Started</t>
        </is>
      </c>
      <c r="G10" s="16">
        <f>COUNTIF('eUtthan Admin'!$B:$B,$A10)</f>
        <v/>
      </c>
      <c r="H10" s="16" t="n"/>
    </row>
    <row r="11">
      <c r="A11" s="16" t="inlineStr">
        <is>
          <t>Ministry / Physical Progress Data / Import Excel (uploaded)</t>
        </is>
      </c>
      <c r="B11" s="16" t="inlineStr">
        <is>
          <t>Ministry</t>
        </is>
      </c>
      <c r="C11" s="16" t="inlineStr">
        <is>
          <t>https://www.figma.com/design/gH2vQ62cfg4677YKWuOpLc/MoSJE-Portal--Handoff-?node-id=4226-39348</t>
        </is>
      </c>
      <c r="D11" s="16" t="inlineStr">
        <is>
          <t>Yes</t>
        </is>
      </c>
      <c r="E11" s="16" t="n"/>
      <c r="F11" s="16" t="inlineStr">
        <is>
          <t>Not Started</t>
        </is>
      </c>
      <c r="G11" s="16">
        <f>COUNTIF('eUtthan Admin'!$B:$B,$A11)</f>
        <v/>
      </c>
      <c r="H11" s="16" t="n"/>
    </row>
    <row r="12">
      <c r="A12" s="16" t="inlineStr">
        <is>
          <t>Ministry / Manage Outcome</t>
        </is>
      </c>
      <c r="B12" s="16" t="inlineStr">
        <is>
          <t>Ministry</t>
        </is>
      </c>
      <c r="C12" s="16" t="inlineStr">
        <is>
          <t>https://www.figma.com/design/gH2vQ62cfg4677YKWuOpLc/MoSJE-Portal--Handoff-?node-id=4226-38577</t>
        </is>
      </c>
      <c r="D12" s="16" t="inlineStr">
        <is>
          <t>Yes</t>
        </is>
      </c>
      <c r="E12" s="16" t="inlineStr">
        <is>
          <t>Yes</t>
        </is>
      </c>
      <c r="F12" s="16" t="inlineStr">
        <is>
          <t>Done</t>
        </is>
      </c>
      <c r="G12" s="16">
        <f>COUNTIF('eUtthan Admin'!$B:$B,$A12)</f>
        <v/>
      </c>
      <c r="H12" s="16" t="n"/>
    </row>
    <row r="13">
      <c r="A13" s="16" t="inlineStr">
        <is>
          <t>Ministry / Manage Outcome</t>
        </is>
      </c>
      <c r="B13" s="16" t="inlineStr">
        <is>
          <t>Ministry</t>
        </is>
      </c>
      <c r="C13" s="16" t="inlineStr">
        <is>
          <t>https://www.figma.com/design/gH2vQ62cfg4677YKWuOpLc/MoSJE-Portal--Handoff-?node-id=4226-38785</t>
        </is>
      </c>
      <c r="D13" s="16" t="inlineStr">
        <is>
          <t>Yes</t>
        </is>
      </c>
      <c r="E13" s="16" t="inlineStr">
        <is>
          <t>Yes</t>
        </is>
      </c>
      <c r="F13" s="16" t="inlineStr">
        <is>
          <t>Done</t>
        </is>
      </c>
      <c r="G13" s="16">
        <f>COUNTIF('eUtthan Admin'!$B:$B,$A13)</f>
        <v/>
      </c>
      <c r="H13" s="16" t="n"/>
    </row>
    <row r="14">
      <c r="A14" s="16" t="inlineStr">
        <is>
          <t>Ministry / Manage Outcome / Add</t>
        </is>
      </c>
      <c r="B14" s="16" t="inlineStr">
        <is>
          <t>Ministry</t>
        </is>
      </c>
      <c r="C14" s="16" t="inlineStr">
        <is>
          <t>https://www.figma.com/design/gH2vQ62cfg4677YKWuOpLc/MoSJE-Portal--Handoff-?node-id=4226-39013</t>
        </is>
      </c>
      <c r="D14" s="16" t="inlineStr">
        <is>
          <t>Yes</t>
        </is>
      </c>
      <c r="E14" s="16" t="n"/>
      <c r="F14" s="16" t="inlineStr">
        <is>
          <t>Not Started</t>
        </is>
      </c>
      <c r="G14" s="16">
        <f>COUNTIF('eUtthan Admin'!$B:$B,$A14)</f>
        <v/>
      </c>
      <c r="H14" s="16" t="n"/>
    </row>
    <row r="15">
      <c r="A15" s="16" t="inlineStr">
        <is>
          <t>Admin / Dashboard</t>
        </is>
      </c>
      <c r="B15" s="16" t="inlineStr">
        <is>
          <t>Admin</t>
        </is>
      </c>
      <c r="C15" s="16" t="inlineStr">
        <is>
          <t>https://www.figma.com/design/gH2vQ62cfg4677YKWuOpLc/MoSJE-Portal--Handoff-?node-id=4226-39685</t>
        </is>
      </c>
      <c r="D15" s="16" t="inlineStr">
        <is>
          <t>Yes</t>
        </is>
      </c>
      <c r="E15" s="16" t="inlineStr">
        <is>
          <t>Yes</t>
        </is>
      </c>
      <c r="F15" s="16" t="inlineStr">
        <is>
          <t>Done</t>
        </is>
      </c>
      <c r="G15" s="16">
        <f>COUNTIF('eUtthan Admin'!$B:$B,$A15)</f>
        <v/>
      </c>
      <c r="H15" s="16" t="n"/>
    </row>
    <row r="16">
      <c r="A16" s="16" t="inlineStr">
        <is>
          <t>Admin / Financial Year</t>
        </is>
      </c>
      <c r="B16" s="16" t="inlineStr">
        <is>
          <t>Admin</t>
        </is>
      </c>
      <c r="C16" s="16" t="inlineStr">
        <is>
          <t>https://www.figma.com/design/gH2vQ62cfg4677YKWuOpLc/MoSJE-Portal--Handoff-?node-id=4226-40009</t>
        </is>
      </c>
      <c r="D16" s="16" t="inlineStr">
        <is>
          <t>Yes</t>
        </is>
      </c>
      <c r="E16" s="16" t="inlineStr">
        <is>
          <t>Yes</t>
        </is>
      </c>
      <c r="F16" s="16" t="inlineStr">
        <is>
          <t>Done</t>
        </is>
      </c>
      <c r="G16" s="16">
        <f>COUNTIF('eUtthan Admin'!$B:$B,$A16)</f>
        <v/>
      </c>
      <c r="H16" s="16" t="n"/>
    </row>
    <row r="17">
      <c r="A17" s="16" t="inlineStr">
        <is>
          <t>Admin / Financial Year / Add</t>
        </is>
      </c>
      <c r="B17" s="16" t="inlineStr">
        <is>
          <t>Admin</t>
        </is>
      </c>
      <c r="C17" s="16" t="inlineStr">
        <is>
          <t>https://www.figma.com/design/gH2vQ62cfg4677YKWuOpLc/MoSJE-Portal--Handoff-?node-id=4226-43777</t>
        </is>
      </c>
      <c r="D17" s="16" t="inlineStr">
        <is>
          <t>Yes</t>
        </is>
      </c>
      <c r="E17" s="16" t="n"/>
      <c r="F17" s="16" t="inlineStr">
        <is>
          <t>Not Started</t>
        </is>
      </c>
      <c r="G17" s="16">
        <f>COUNTIF('eUtthan Admin'!$B:$B,$A17)</f>
        <v/>
      </c>
      <c r="H17" s="16" t="n"/>
    </row>
    <row r="18">
      <c r="A18" s="16" t="inlineStr">
        <is>
          <t>Admin / Financial Year</t>
        </is>
      </c>
      <c r="B18" s="16" t="inlineStr">
        <is>
          <t>Admin</t>
        </is>
      </c>
      <c r="C18" s="16" t="inlineStr">
        <is>
          <t>https://www.figma.com/design/gH2vQ62cfg4677YKWuOpLc/MoSJE-Portal--Handoff-?node-id=4226-40148</t>
        </is>
      </c>
      <c r="D18" s="16" t="inlineStr">
        <is>
          <t>Yes</t>
        </is>
      </c>
      <c r="E18" s="16" t="inlineStr">
        <is>
          <t>Yes</t>
        </is>
      </c>
      <c r="F18" s="16" t="inlineStr">
        <is>
          <t>Done</t>
        </is>
      </c>
      <c r="G18" s="16">
        <f>COUNTIF('eUtthan Admin'!$B:$B,$A18)</f>
        <v/>
      </c>
      <c r="H18" s="16" t="n"/>
    </row>
    <row r="19">
      <c r="A19" s="16" t="inlineStr">
        <is>
          <t>Admin / Financial Year / Edit</t>
        </is>
      </c>
      <c r="B19" s="16" t="inlineStr">
        <is>
          <t>Admin</t>
        </is>
      </c>
      <c r="C19" s="16" t="inlineStr">
        <is>
          <t>https://www.figma.com/design/gH2vQ62cfg4677YKWuOpLc/MoSJE-Portal--Handoff-?node-id=4226-44550</t>
        </is>
      </c>
      <c r="D19" s="16" t="inlineStr">
        <is>
          <t>Yes</t>
        </is>
      </c>
      <c r="E19" s="16" t="n"/>
      <c r="F19" s="16" t="inlineStr">
        <is>
          <t>Not Started</t>
        </is>
      </c>
      <c r="G19" s="16">
        <f>COUNTIF('eUtthan Admin'!$B:$B,$A19)</f>
        <v/>
      </c>
      <c r="H19" s="16" t="n"/>
    </row>
    <row r="20">
      <c r="A20" s="16" t="inlineStr">
        <is>
          <t>Admin / Manage Ministry</t>
        </is>
      </c>
      <c r="B20" s="16" t="inlineStr">
        <is>
          <t>Admin</t>
        </is>
      </c>
      <c r="C20" s="16" t="inlineStr">
        <is>
          <t>https://www.figma.com/design/gH2vQ62cfg4677YKWuOpLc/MoSJE-Portal--Handoff-?node-id=4226-40288</t>
        </is>
      </c>
      <c r="D20" s="16" t="inlineStr">
        <is>
          <t>Yes</t>
        </is>
      </c>
      <c r="E20" s="16" t="inlineStr">
        <is>
          <t>Yes</t>
        </is>
      </c>
      <c r="F20" s="16" t="inlineStr">
        <is>
          <t>Done</t>
        </is>
      </c>
      <c r="G20" s="16">
        <f>COUNTIF('eUtthan Admin'!$B:$B,$A20)</f>
        <v/>
      </c>
      <c r="H20" s="16" t="n"/>
    </row>
    <row r="21">
      <c r="A21" s="16" t="inlineStr">
        <is>
          <t>Admin / Manage Ministry / Add</t>
        </is>
      </c>
      <c r="B21" s="16" t="inlineStr">
        <is>
          <t>Admin</t>
        </is>
      </c>
      <c r="C21" s="16" t="inlineStr">
        <is>
          <t>https://www.figma.com/design/gH2vQ62cfg4677YKWuOpLc/MoSJE-Portal--Handoff-?node-id=4226-43881</t>
        </is>
      </c>
      <c r="D21" s="16" t="inlineStr">
        <is>
          <t>Yes</t>
        </is>
      </c>
      <c r="E21" s="16" t="n"/>
      <c r="F21" s="16" t="inlineStr">
        <is>
          <t>Not Started</t>
        </is>
      </c>
      <c r="G21" s="16">
        <f>COUNTIF('eUtthan Admin'!$B:$B,$A21)</f>
        <v/>
      </c>
      <c r="H21" s="16" t="n"/>
    </row>
    <row r="22">
      <c r="A22" s="16" t="inlineStr">
        <is>
          <t>Admin / Manage Scheme</t>
        </is>
      </c>
      <c r="B22" s="16" t="inlineStr">
        <is>
          <t>Admin</t>
        </is>
      </c>
      <c r="C22" s="16" t="inlineStr">
        <is>
          <t>https://www.figma.com/design/gH2vQ62cfg4677YKWuOpLc/MoSJE-Portal--Handoff-?node-id=4226-40449</t>
        </is>
      </c>
      <c r="D22" s="16" t="inlineStr">
        <is>
          <t>Yes</t>
        </is>
      </c>
      <c r="E22" s="16" t="inlineStr">
        <is>
          <t>Yes</t>
        </is>
      </c>
      <c r="F22" s="16" t="inlineStr">
        <is>
          <t>Done</t>
        </is>
      </c>
      <c r="G22" s="16">
        <f>COUNTIF('eUtthan Admin'!$B:$B,$A22)</f>
        <v/>
      </c>
      <c r="H22" s="16" t="n"/>
    </row>
    <row r="23">
      <c r="A23" s="16" t="inlineStr">
        <is>
          <t>Admin / Manage Scheme (scrolled)</t>
        </is>
      </c>
      <c r="B23" s="16" t="inlineStr">
        <is>
          <t>Admin</t>
        </is>
      </c>
      <c r="C23" s="16" t="inlineStr">
        <is>
          <t>https://www.figma.com/design/gH2vQ62cfg4677YKWuOpLc/MoSJE-Portal--Handoff-?node-id=4226-43077</t>
        </is>
      </c>
      <c r="D23" s="16" t="inlineStr">
        <is>
          <t>Yes</t>
        </is>
      </c>
      <c r="E23" s="16" t="n"/>
      <c r="F23" s="16" t="inlineStr">
        <is>
          <t>Not Started</t>
        </is>
      </c>
      <c r="G23" s="16">
        <f>COUNTIF('eUtthan Admin'!$B:$B,$A23)</f>
        <v/>
      </c>
      <c r="H23" s="16" t="n"/>
    </row>
    <row r="24">
      <c r="A24" s="16" t="inlineStr">
        <is>
          <t>Admin / Manage Scheme / Add</t>
        </is>
      </c>
      <c r="B24" s="16" t="inlineStr">
        <is>
          <t>Admin</t>
        </is>
      </c>
      <c r="C24" s="16" t="inlineStr">
        <is>
          <t>https://www.figma.com/design/gH2vQ62cfg4677YKWuOpLc/MoSJE-Portal--Handoff-?node-id=4226-43990</t>
        </is>
      </c>
      <c r="D24" s="16" t="inlineStr">
        <is>
          <t>Yes</t>
        </is>
      </c>
      <c r="E24" s="16" t="n"/>
      <c r="F24" s="16" t="inlineStr">
        <is>
          <t>Not Started</t>
        </is>
      </c>
      <c r="G24" s="16">
        <f>COUNTIF('eUtthan Admin'!$B:$B,$A24)</f>
        <v/>
      </c>
      <c r="H24" s="16" t="n"/>
    </row>
    <row r="25">
      <c r="A25" s="16" t="inlineStr">
        <is>
          <t>Admin / Manage Outcome</t>
        </is>
      </c>
      <c r="B25" s="16" t="inlineStr">
        <is>
          <t>Admin</t>
        </is>
      </c>
      <c r="C25" s="16" t="inlineStr">
        <is>
          <t>https://www.figma.com/design/gH2vQ62cfg4677YKWuOpLc/MoSJE-Portal--Handoff-?node-id=4226-40657</t>
        </is>
      </c>
      <c r="D25" s="16" t="inlineStr">
        <is>
          <t>Yes</t>
        </is>
      </c>
      <c r="E25" s="16" t="inlineStr">
        <is>
          <t>Yes</t>
        </is>
      </c>
      <c r="F25" s="16" t="inlineStr">
        <is>
          <t>Done</t>
        </is>
      </c>
      <c r="G25" s="16">
        <f>COUNTIF('eUtthan Admin'!$B:$B,$A25)</f>
        <v/>
      </c>
      <c r="H25" s="16" t="n"/>
    </row>
    <row r="26">
      <c r="A26" s="16" t="inlineStr">
        <is>
          <t>Admin / Manage Outcome (scrolled)</t>
        </is>
      </c>
      <c r="B26" s="16" t="inlineStr">
        <is>
          <t>Admin</t>
        </is>
      </c>
      <c r="C26" s="16" t="inlineStr">
        <is>
          <t>https://www.figma.com/design/gH2vQ62cfg4677YKWuOpLc/MoSJE-Portal--Handoff-?node-id=4226-43305</t>
        </is>
      </c>
      <c r="D26" s="16" t="inlineStr">
        <is>
          <t>Yes</t>
        </is>
      </c>
      <c r="E26" s="16" t="n"/>
      <c r="F26" s="16" t="inlineStr">
        <is>
          <t>Not Started</t>
        </is>
      </c>
      <c r="G26" s="16">
        <f>COUNTIF('eUtthan Admin'!$B:$B,$A26)</f>
        <v/>
      </c>
      <c r="H26" s="16" t="n"/>
    </row>
    <row r="27">
      <c r="A27" s="16" t="inlineStr">
        <is>
          <t>Admin / Manage Outcome / Add</t>
        </is>
      </c>
      <c r="B27" s="16" t="inlineStr">
        <is>
          <t>Admin</t>
        </is>
      </c>
      <c r="C27" s="16" t="inlineStr">
        <is>
          <t>https://www.figma.com/design/gH2vQ62cfg4677YKWuOpLc/MoSJE-Portal--Handoff-?node-id=4226-44105</t>
        </is>
      </c>
      <c r="D27" s="16" t="inlineStr">
        <is>
          <t>Yes</t>
        </is>
      </c>
      <c r="E27" s="16" t="n"/>
      <c r="F27" s="16" t="inlineStr">
        <is>
          <t>Not Started</t>
        </is>
      </c>
      <c r="G27" s="16">
        <f>COUNTIF('eUtthan Admin'!$B:$B,$A27)</f>
        <v/>
      </c>
      <c r="H27" s="16" t="n"/>
    </row>
    <row r="28">
      <c r="A28" s="16" t="inlineStr">
        <is>
          <t>Admin / Documents</t>
        </is>
      </c>
      <c r="B28" s="16" t="inlineStr">
        <is>
          <t>Admin</t>
        </is>
      </c>
      <c r="C28" s="16" t="inlineStr">
        <is>
          <t>https://www.figma.com/design/gH2vQ62cfg4677YKWuOpLc/MoSJE-Portal--Handoff-?node-id=4226-42902</t>
        </is>
      </c>
      <c r="D28" s="16" t="inlineStr">
        <is>
          <t>Yes</t>
        </is>
      </c>
      <c r="E28" s="16" t="inlineStr">
        <is>
          <t>Yes</t>
        </is>
      </c>
      <c r="F28" s="16" t="inlineStr">
        <is>
          <t>Done</t>
        </is>
      </c>
      <c r="G28" s="16">
        <f>COUNTIF('eUtthan Admin'!$B:$B,$A28)</f>
        <v/>
      </c>
      <c r="H28" s="16" t="n"/>
    </row>
    <row r="29">
      <c r="A29" s="16" t="inlineStr">
        <is>
          <t>Admin / Documents / Add</t>
        </is>
      </c>
      <c r="B29" s="16" t="inlineStr">
        <is>
          <t>Admin</t>
        </is>
      </c>
      <c r="C29" s="16" t="inlineStr">
        <is>
          <t>https://www.figma.com/design/gH2vQ62cfg4677YKWuOpLc/MoSJE-Portal--Handoff-?node-id=4226-44221</t>
        </is>
      </c>
      <c r="D29" s="16" t="inlineStr">
        <is>
          <t>Yes</t>
        </is>
      </c>
      <c r="E29" s="16" t="n"/>
      <c r="F29" s="16" t="inlineStr">
        <is>
          <t>Not Started</t>
        </is>
      </c>
      <c r="G29" s="16">
        <f>COUNTIF('eUtthan Admin'!$B:$B,$A29)</f>
        <v/>
      </c>
      <c r="H29" s="16" t="n"/>
    </row>
    <row r="30">
      <c r="A30" s="16" t="inlineStr">
        <is>
          <t>Admin / Documents / Add</t>
        </is>
      </c>
      <c r="B30" s="16" t="inlineStr">
        <is>
          <t>Admin</t>
        </is>
      </c>
      <c r="C30" s="16" t="inlineStr">
        <is>
          <t>https://www.figma.com/design/gH2vQ62cfg4677YKWuOpLc/MoSJE-Portal--Handoff-?node-id=4226-44329</t>
        </is>
      </c>
      <c r="D30" s="16" t="inlineStr">
        <is>
          <t>Yes</t>
        </is>
      </c>
      <c r="E30" s="16" t="n"/>
      <c r="F30" s="16" t="inlineStr">
        <is>
          <t>Not Started</t>
        </is>
      </c>
      <c r="G30" s="16">
        <f>COUNTIF('eUtthan Admin'!$B:$B,$A30)</f>
        <v/>
      </c>
      <c r="H30" s="16" t="n"/>
    </row>
    <row r="31">
      <c r="A31" s="16" t="inlineStr">
        <is>
          <t>Admin / Map Ministry / Mapped</t>
        </is>
      </c>
      <c r="B31" s="16" t="inlineStr">
        <is>
          <t>Admin</t>
        </is>
      </c>
      <c r="C31" s="16" t="inlineStr">
        <is>
          <t>https://www.figma.com/design/gH2vQ62cfg4677YKWuOpLc/MoSJE-Portal--Handoff-?node-id=4226-41073</t>
        </is>
      </c>
      <c r="D31" s="16" t="inlineStr">
        <is>
          <t>Yes</t>
        </is>
      </c>
      <c r="E31" s="16" t="inlineStr">
        <is>
          <t>Yes</t>
        </is>
      </c>
      <c r="F31" s="16" t="inlineStr">
        <is>
          <t>Done</t>
        </is>
      </c>
      <c r="G31" s="16">
        <f>COUNTIF('eUtthan Admin'!$B:$B,$A31)</f>
        <v/>
      </c>
      <c r="H31" s="16" t="n"/>
    </row>
    <row r="32">
      <c r="A32" s="16" t="inlineStr">
        <is>
          <t>Admin / Map Ministry / Unmapped</t>
        </is>
      </c>
      <c r="B32" s="16" t="inlineStr">
        <is>
          <t>Admin</t>
        </is>
      </c>
      <c r="C32" s="16" t="inlineStr">
        <is>
          <t>https://www.figma.com/design/gH2vQ62cfg4677YKWuOpLc/MoSJE-Portal--Handoff-?node-id=4226-41283</t>
        </is>
      </c>
      <c r="D32" s="16" t="inlineStr">
        <is>
          <t>Yes</t>
        </is>
      </c>
      <c r="E32" s="16" t="n"/>
      <c r="F32" s="16" t="inlineStr">
        <is>
          <t>Not Started</t>
        </is>
      </c>
      <c r="G32" s="16">
        <f>COUNTIF('eUtthan Admin'!$B:$B,$A32)</f>
        <v/>
      </c>
      <c r="H32" s="16" t="n"/>
    </row>
    <row r="33">
      <c r="A33" s="16" t="inlineStr">
        <is>
          <t>Admin / Map Schemes / Map</t>
        </is>
      </c>
      <c r="B33" s="16" t="inlineStr">
        <is>
          <t>Admin</t>
        </is>
      </c>
      <c r="C33" s="16" t="inlineStr">
        <is>
          <t>https://www.figma.com/design/gH2vQ62cfg4677YKWuOpLc/MoSJE-Portal--Handoff-?node-id=4226-42430</t>
        </is>
      </c>
      <c r="D33" s="16" t="inlineStr">
        <is>
          <t>Yes</t>
        </is>
      </c>
      <c r="E33" s="16" t="n"/>
      <c r="F33" s="16" t="inlineStr">
        <is>
          <t>Not Started</t>
        </is>
      </c>
      <c r="G33" s="16">
        <f>COUNTIF('eUtthan Admin'!$B:$B,$A33)</f>
        <v/>
      </c>
      <c r="H33" s="16" t="n"/>
    </row>
    <row r="34">
      <c r="A34" s="16" t="inlineStr">
        <is>
          <t>Admin / Map Schemes / Mapped</t>
        </is>
      </c>
      <c r="B34" s="16" t="inlineStr">
        <is>
          <t>Admin</t>
        </is>
      </c>
      <c r="C34" s="16" t="inlineStr">
        <is>
          <t>https://www.figma.com/design/gH2vQ62cfg4677YKWuOpLc/MoSJE-Portal--Handoff-?node-id=4226-41490</t>
        </is>
      </c>
      <c r="D34" s="16" t="inlineStr">
        <is>
          <t>Yes</t>
        </is>
      </c>
      <c r="E34" s="16" t="n"/>
      <c r="F34" s="16" t="inlineStr">
        <is>
          <t>Not Started</t>
        </is>
      </c>
      <c r="G34" s="16">
        <f>COUNTIF('eUtthan Admin'!$B:$B,$A34)</f>
        <v/>
      </c>
      <c r="H34" s="16" t="n"/>
    </row>
    <row r="35">
      <c r="A35" s="16" t="inlineStr">
        <is>
          <t>Admin / Map Schemes / Mapped</t>
        </is>
      </c>
      <c r="B35" s="16" t="inlineStr">
        <is>
          <t>Admin</t>
        </is>
      </c>
      <c r="C35" s="16" t="inlineStr">
        <is>
          <t>https://www.figma.com/design/gH2vQ62cfg4677YKWuOpLc/MoSJE-Portal--Handoff-?node-id=4226-41730</t>
        </is>
      </c>
      <c r="D35" s="16" t="inlineStr">
        <is>
          <t>Yes</t>
        </is>
      </c>
      <c r="E35" s="16" t="n"/>
      <c r="F35" s="16" t="inlineStr">
        <is>
          <t>Not Started</t>
        </is>
      </c>
      <c r="G35" s="16">
        <f>COUNTIF('eUtthan Admin'!$B:$B,$A35)</f>
        <v/>
      </c>
      <c r="H35" s="16" t="n"/>
    </row>
    <row r="36">
      <c r="A36" s="16" t="inlineStr">
        <is>
          <t>Admin / Map Schemes / Map</t>
        </is>
      </c>
      <c r="B36" s="16" t="inlineStr">
        <is>
          <t>Admin</t>
        </is>
      </c>
      <c r="C36" s="16" t="inlineStr">
        <is>
          <t>https://www.figma.com/design/gH2vQ62cfg4677YKWuOpLc/MoSJE-Portal--Handoff-?node-id=4226-42650</t>
        </is>
      </c>
      <c r="D36" s="16" t="inlineStr">
        <is>
          <t>Yes</t>
        </is>
      </c>
      <c r="E36" s="16" t="n"/>
      <c r="F36" s="16" t="inlineStr">
        <is>
          <t>Not Started</t>
        </is>
      </c>
      <c r="G36" s="16">
        <f>COUNTIF('eUtthan Admin'!$B:$B,$A36)</f>
        <v/>
      </c>
      <c r="H36" s="16" t="n"/>
    </row>
    <row r="37">
      <c r="A37" s="16" t="inlineStr">
        <is>
          <t>Admin / Map Schemes / Mapped</t>
        </is>
      </c>
      <c r="B37" s="16" t="inlineStr">
        <is>
          <t>Admin</t>
        </is>
      </c>
      <c r="C37" s="16" t="inlineStr">
        <is>
          <t>https://www.figma.com/design/gH2vQ62cfg4677YKWuOpLc/MoSJE-Portal--Handoff-?node-id=4226-41970</t>
        </is>
      </c>
      <c r="D37" s="16" t="inlineStr">
        <is>
          <t>Yes</t>
        </is>
      </c>
      <c r="E37" s="16" t="n"/>
      <c r="F37" s="16" t="inlineStr">
        <is>
          <t>Not Started</t>
        </is>
      </c>
      <c r="G37" s="16">
        <f>COUNTIF('eUtthan Admin'!$B:$B,$A37)</f>
        <v/>
      </c>
      <c r="H37" s="16" t="n"/>
    </row>
    <row r="38">
      <c r="A38" s="16" t="inlineStr">
        <is>
          <t>Admin / Map Schemes / Unmap</t>
        </is>
      </c>
      <c r="B38" s="16" t="inlineStr">
        <is>
          <t>Admin</t>
        </is>
      </c>
      <c r="C38" s="16" t="inlineStr">
        <is>
          <t>https://www.figma.com/design/gH2vQ62cfg4677YKWuOpLc/MoSJE-Portal--Handoff-?node-id=4226-42210</t>
        </is>
      </c>
      <c r="D38" s="16" t="inlineStr">
        <is>
          <t>Yes</t>
        </is>
      </c>
      <c r="E38" s="16" t="n"/>
      <c r="F38" s="16" t="inlineStr">
        <is>
          <t>Not Started</t>
        </is>
      </c>
      <c r="G38" s="16">
        <f>COUNTIF('eUtthan Admin'!$B:$B,$A38)</f>
        <v/>
      </c>
      <c r="H38" s="16" t="n"/>
    </row>
    <row r="39">
      <c r="A39" s="16" t="inlineStr">
        <is>
          <t>Admin / Manage User</t>
        </is>
      </c>
      <c r="B39" s="16" t="inlineStr">
        <is>
          <t>Admin</t>
        </is>
      </c>
      <c r="C39" s="16" t="inlineStr">
        <is>
          <t>https://www.figma.com/design/gH2vQ62cfg4677YKWuOpLc/MoSJE-Portal--Handoff-?node-id=4226-40865</t>
        </is>
      </c>
      <c r="D39" s="16" t="inlineStr">
        <is>
          <t>Yes</t>
        </is>
      </c>
      <c r="E39" s="16" t="inlineStr">
        <is>
          <t>Yes</t>
        </is>
      </c>
      <c r="F39" s="16" t="inlineStr">
        <is>
          <t>Done</t>
        </is>
      </c>
      <c r="G39" s="16">
        <f>COUNTIF('eUtthan Admin'!$B:$B,$A39)</f>
        <v/>
      </c>
      <c r="H39" s="16" t="n"/>
    </row>
    <row r="40">
      <c r="A40" s="16" t="inlineStr">
        <is>
          <t>Admin / Manage User</t>
        </is>
      </c>
      <c r="B40" s="16" t="inlineStr">
        <is>
          <t>Admin</t>
        </is>
      </c>
      <c r="C40" s="16" t="inlineStr">
        <is>
          <t>https://www.figma.com/design/gH2vQ62cfg4677YKWuOpLc/MoSJE-Portal--Handoff-?node-id=4226-43533</t>
        </is>
      </c>
      <c r="D40" s="16" t="inlineStr">
        <is>
          <t>Yes</t>
        </is>
      </c>
      <c r="E40" s="16" t="inlineStr">
        <is>
          <t>Yes</t>
        </is>
      </c>
      <c r="F40" s="16" t="inlineStr">
        <is>
          <t>Done</t>
        </is>
      </c>
      <c r="G40" s="16">
        <f>COUNTIF('eUtthan Admin'!$B:$B,$A40)</f>
        <v/>
      </c>
      <c r="H40" s="16" t="n"/>
    </row>
    <row r="41">
      <c r="A41" s="16" t="inlineStr">
        <is>
          <t>Admin / Manage User / Add User</t>
        </is>
      </c>
      <c r="B41" s="16" t="inlineStr">
        <is>
          <t>Admin</t>
        </is>
      </c>
      <c r="C41" s="16" t="inlineStr">
        <is>
          <t>https://www.figma.com/design/gH2vQ62cfg4677YKWuOpLc/MoSJE-Portal--Handoff-?node-id=4226-44437</t>
        </is>
      </c>
      <c r="D41" s="16" t="inlineStr">
        <is>
          <t>Yes</t>
        </is>
      </c>
      <c r="E41" s="16" t="n"/>
      <c r="F41" s="16" t="inlineStr">
        <is>
          <t>Not Started</t>
        </is>
      </c>
      <c r="G41" s="16">
        <f>COUNTIF('eUtthan Admin'!$B:$B,$A41)</f>
        <v/>
      </c>
      <c r="H41" s="16" t="n"/>
    </row>
    <row r="42">
      <c r="A42" s="16" t="inlineStr">
        <is>
          <t>Login</t>
        </is>
      </c>
      <c r="B42" s="16" t="inlineStr">
        <is>
          <t>Admin</t>
        </is>
      </c>
      <c r="C42" s="16" t="inlineStr">
        <is>
          <t>— (no design)</t>
        </is>
      </c>
      <c r="D42" s="16" t="inlineStr">
        <is>
          <t>No</t>
        </is>
      </c>
      <c r="E42" s="16" t="inlineStr">
        <is>
          <t>Yes</t>
        </is>
      </c>
      <c r="F42" s="16" t="inlineStr">
        <is>
          <t>Done</t>
        </is>
      </c>
      <c r="G42" s="16">
        <f>COUNTIF('eUtthan Admin'!$B:$B,$A42)</f>
        <v/>
      </c>
      <c r="H42" s="16" t="n"/>
    </row>
    <row r="43">
      <c r="A43" s="16" t="inlineStr">
        <is>
          <t>Role Management</t>
        </is>
      </c>
      <c r="B43" s="16" t="inlineStr">
        <is>
          <t>Admin</t>
        </is>
      </c>
      <c r="C43" s="16" t="inlineStr">
        <is>
          <t>— (no design)</t>
        </is>
      </c>
      <c r="D43" s="16" t="inlineStr">
        <is>
          <t>No</t>
        </is>
      </c>
      <c r="E43" s="16" t="n"/>
      <c r="F43" s="16" t="inlineStr">
        <is>
          <t>Not Started</t>
        </is>
      </c>
      <c r="G43" s="16">
        <f>COUNTIF('eUtthan Admin'!$B:$B,$A43)</f>
        <v/>
      </c>
      <c r="H43" s="16" t="n"/>
    </row>
    <row r="44">
      <c r="A44" s="16" t="inlineStr">
        <is>
          <t>PFMS Logs</t>
        </is>
      </c>
      <c r="B44" s="16" t="inlineStr">
        <is>
          <t>Admin</t>
        </is>
      </c>
      <c r="C44" s="16" t="inlineStr">
        <is>
          <t>— (no design)</t>
        </is>
      </c>
      <c r="D44" s="16" t="inlineStr">
        <is>
          <t>No</t>
        </is>
      </c>
      <c r="E44" s="16" t="n"/>
      <c r="F44" s="16" t="inlineStr">
        <is>
          <t>Not Started</t>
        </is>
      </c>
      <c r="G44" s="16">
        <f>COUNTIF('eUtthan Admin'!$B:$B,$A44)</f>
        <v/>
      </c>
      <c r="H44" s="16" t="n"/>
    </row>
    <row r="45">
      <c r="A45" s="16" t="inlineStr">
        <is>
          <t>Reports / Financial Summary</t>
        </is>
      </c>
      <c r="B45" s="16" t="inlineStr">
        <is>
          <t>Admin</t>
        </is>
      </c>
      <c r="C45" s="16" t="inlineStr">
        <is>
          <t>— (no design)</t>
        </is>
      </c>
      <c r="D45" s="16" t="inlineStr">
        <is>
          <t>No</t>
        </is>
      </c>
      <c r="E45" s="16" t="n"/>
      <c r="F45" s="16" t="inlineStr">
        <is>
          <t>Not Started</t>
        </is>
      </c>
      <c r="G45" s="16">
        <f>COUNTIF('eUtthan Admin'!$B:$B,$A45)</f>
        <v/>
      </c>
      <c r="H45" s="16" t="n"/>
    </row>
    <row r="46">
      <c r="A46" s="16" t="inlineStr">
        <is>
          <t>Reports / Statement 10A</t>
        </is>
      </c>
      <c r="B46" s="16" t="inlineStr">
        <is>
          <t>Admin</t>
        </is>
      </c>
      <c r="C46" s="16" t="inlineStr">
        <is>
          <t>— (no design)</t>
        </is>
      </c>
      <c r="D46" s="16" t="inlineStr">
        <is>
          <t>No</t>
        </is>
      </c>
      <c r="E46" s="16" t="n"/>
      <c r="F46" s="16" t="inlineStr">
        <is>
          <t>Not Started</t>
        </is>
      </c>
      <c r="G46" s="16">
        <f>COUNTIF('eUtthan Admin'!$B:$B,$A46)</f>
        <v/>
      </c>
      <c r="H46" s="16" t="n"/>
    </row>
  </sheetData>
  <autoFilter ref="A1:H1"/>
  <dataValidations count="2">
    <dataValidation sqref="D2:E46" showDropDown="0" showInputMessage="0" showErrorMessage="0" allowBlank="1" type="list">
      <formula1>"Yes,No,Partial"</formula1>
    </dataValidation>
    <dataValidation sqref="F2:F46" showDropDown="0" showInputMessage="0" showErrorMessage="0" allowBlank="1" type="list">
      <formula1>"Not Started,In Progress,Done,Blocked"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2026-06-08T11:38:43Z</dcterms:created>
  <dcterms:modified xmlns:dcterms="http://purl.org/dc/terms/" xmlns:xsi="http://www.w3.org/2001/XMLSchema-instance" xsi:type="dcterms:W3CDTF">2026-06-11T18:55:33Z</dcterms:modified>
</cp:coreProperties>
</file>