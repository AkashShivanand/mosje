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Rollup" sheetId="2" state="visible" r:id="rId2"/>
    <sheet name="eUtthan Admin" sheetId="3" state="visible" r:id="rId3"/>
    <sheet name="Coverage – eUtthan" sheetId="4" state="visible" r:id="rId4"/>
  </sheets>
  <definedNames>
    <definedName name="_xlnm._FilterDatabase" localSheetId="2" hidden="1">'eUtthan Admin'!$A$1:$M$1</definedName>
    <definedName name="_xlnm._FilterDatabase" localSheetId="3" hidden="1">'Coverage – eUtthan'!$A$1:$H$1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Noto Sans"/>
      <b val="1"/>
      <color rgb="00003366"/>
      <sz val="20"/>
    </font>
    <font>
      <name val="Noto Sans"/>
      <color rgb="006B7280"/>
      <sz val="11"/>
    </font>
    <font>
      <name val="Noto Sans"/>
      <b val="1"/>
      <color rgb="00374151"/>
      <sz val="10"/>
    </font>
    <font>
      <name val="Noto Sans"/>
      <color rgb="00374151"/>
      <sz val="10"/>
    </font>
    <font>
      <name val="Noto Sans"/>
      <b val="1"/>
      <color rgb="00003366"/>
      <sz val="12"/>
    </font>
    <font>
      <name val="Noto Sans"/>
      <b val="1"/>
      <color rgb="00FFFFFF"/>
      <sz val="10"/>
    </font>
    <font>
      <name val="Noto Sans"/>
      <b val="1"/>
      <color rgb="00FFFFFF"/>
      <sz val="11"/>
    </font>
    <font>
      <name val="Noto Sans"/>
      <b val="1"/>
      <color rgb="00003366"/>
      <sz val="18"/>
    </font>
  </fonts>
  <fills count="9">
    <fill>
      <patternFill/>
    </fill>
    <fill>
      <patternFill patternType="gray125"/>
    </fill>
    <fill>
      <patternFill patternType="solid">
        <fgColor rgb="00DC2626"/>
      </patternFill>
    </fill>
    <fill>
      <patternFill patternType="solid">
        <fgColor rgb="00EA580C"/>
      </patternFill>
    </fill>
    <fill>
      <patternFill patternType="solid">
        <fgColor rgb="00CA8A04"/>
      </patternFill>
    </fill>
    <fill>
      <patternFill patternType="solid">
        <fgColor rgb="006B7280"/>
      </patternFill>
    </fill>
    <fill>
      <patternFill patternType="solid">
        <fgColor rgb="00003366"/>
      </patternFill>
    </fill>
    <fill>
      <patternFill patternType="solid">
        <fgColor rgb="00F4F7F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6" fillId="3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8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Noto Sans"/>
        <b val="1"/>
        <color rgb="00FFFFFF"/>
      </font>
      <fill>
        <patternFill patternType="solid">
          <fgColor rgb="00DC2626"/>
        </patternFill>
      </fill>
    </dxf>
    <dxf>
      <font>
        <name val="Noto Sans"/>
        <b val="1"/>
        <color rgb="00FFFFFF"/>
      </font>
      <fill>
        <patternFill patternType="solid">
          <fgColor rgb="00EA580C"/>
        </patternFill>
      </fill>
    </dxf>
    <dxf>
      <font>
        <name val="Noto Sans"/>
        <b val="1"/>
        <color rgb="00FFFFFF"/>
      </font>
      <fill>
        <patternFill patternType="solid">
          <fgColor rgb="00CA8A04"/>
        </patternFill>
      </fill>
    </dxf>
    <dxf>
      <font>
        <name val="Noto Sans"/>
        <b val="1"/>
        <color rgb="00FFFFFF"/>
      </font>
      <fill>
        <patternFill patternType="solid">
          <fgColor rgb="006B728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5" customWidth="1" min="2" max="2"/>
  </cols>
  <sheetData>
    <row r="1">
      <c r="A1" s="1" t="inlineStr">
        <is>
          <t>MoSJE Portal — Design QC Tracker</t>
        </is>
      </c>
    </row>
    <row r="2">
      <c r="A2" s="2" t="inlineStr">
        <is>
          <t>Status tracker for design-fidelity defects (dev-facing). Visual evidence lives in the annotated PDF report; design-improvement ideas live in the separate Design Suggestions doc.</t>
        </is>
      </c>
    </row>
    <row r="4">
      <c r="A4" s="3" t="inlineStr"/>
      <c r="B4" s="4" t="inlineStr"/>
    </row>
    <row r="5">
      <c r="A5" s="5" t="inlineStr">
        <is>
          <t>HOW TO USE</t>
        </is>
      </c>
      <c r="B5" s="4" t="inlineStr"/>
    </row>
    <row r="6">
      <c r="A6" s="3" t="inlineStr">
        <is>
          <t>1.</t>
        </is>
      </c>
      <c r="B6" s="4" t="inlineStr">
        <is>
          <t>Each fidelity defect = one row in its portal's findings sheet. The annotated PDF shows the same ID on the image.</t>
        </is>
      </c>
    </row>
    <row r="7">
      <c r="A7" s="3" t="inlineStr">
        <is>
          <t>2.</t>
        </is>
      </c>
      <c r="B7" s="4" t="inlineStr">
        <is>
          <t>Severity / Category / Status are dropdowns; Severity auto-colours; Rollup aggregates automatically.</t>
        </is>
      </c>
    </row>
    <row r="8">
      <c r="A8" s="3" t="inlineStr">
        <is>
          <t>3.</t>
        </is>
      </c>
      <c r="B8" s="4" t="inlineStr">
        <is>
          <t>Figma URL and Live URL are full clickable links. Coverage tracks every screen's QC state.</t>
        </is>
      </c>
    </row>
    <row r="9">
      <c r="A9" s="3" t="inlineStr">
        <is>
          <t>4.</t>
        </is>
      </c>
      <c r="B9" s="4" t="inlineStr">
        <is>
          <t>Dev: filter Status = Open, fix, set Fixed. QC verifies -&gt; Verified.</t>
        </is>
      </c>
    </row>
    <row r="10">
      <c r="A10" s="3" t="inlineStr">
        <is>
          <t>5.</t>
        </is>
      </c>
      <c r="B10" s="4" t="inlineStr">
        <is>
          <t>Design-side issues (design-bugs, redesigns, no-design screens) are NOT here — see Design Suggestions doc.</t>
        </is>
      </c>
    </row>
    <row r="11">
      <c r="A11" s="3" t="inlineStr"/>
      <c r="B11" s="4" t="inlineStr"/>
    </row>
    <row r="12">
      <c r="A12" s="5" t="inlineStr">
        <is>
          <t>SEVERITY</t>
        </is>
      </c>
      <c r="B12" s="4" t="inlineStr">
        <is>
          <t>Impact, not effort</t>
        </is>
      </c>
    </row>
    <row r="13">
      <c r="A13" s="6" t="inlineStr">
        <is>
          <t>Blocker</t>
        </is>
      </c>
      <c r="B13" s="4" t="inlineStr">
        <is>
          <t>Breaks experience / brand / compliance. Cannot ship.</t>
        </is>
      </c>
    </row>
    <row r="14">
      <c r="A14" s="7" t="inlineStr">
        <is>
          <t>Major</t>
        </is>
      </c>
      <c r="B14" s="4" t="inlineStr">
        <is>
          <t>Clearly wrong vs design; users notice.</t>
        </is>
      </c>
    </row>
    <row r="15">
      <c r="A15" s="8" t="inlineStr">
        <is>
          <t>Minor</t>
        </is>
      </c>
      <c r="B15" s="4" t="inlineStr">
        <is>
          <t>Visible to a trained eye (2-7px, token drift).</t>
        </is>
      </c>
    </row>
    <row r="16">
      <c r="A16" s="9" t="inlineStr">
        <is>
          <t>Nit</t>
        </is>
      </c>
      <c r="B16" s="4" t="inlineStr">
        <is>
          <t>Polish / sub-pixel.</t>
        </is>
      </c>
    </row>
    <row r="17">
      <c r="A17" s="3" t="inlineStr"/>
      <c r="B17" s="4" t="inlineStr"/>
    </row>
    <row r="18">
      <c r="A18" s="5" t="inlineStr">
        <is>
          <t>CATEGORIES</t>
        </is>
      </c>
      <c r="B18" s="4" t="inlineStr">
        <is>
          <t>Layout &amp; Spacing · Color &amp; Token · Typography · Components &amp; States · Content &amp; Iconography · Responsive &amp; A11y</t>
        </is>
      </c>
    </row>
    <row r="19">
      <c r="A19" s="5" t="inlineStr">
        <is>
          <t>DESIGN TRUTH</t>
        </is>
      </c>
      <c r="B19" s="4" t="inlineStr">
        <is>
          <t>Audited against DS Figma token values (see design-truth-tokens.md). DS brand primary = #003366.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</cols>
  <sheetData>
    <row r="1">
      <c r="A1" s="10" t="inlineStr">
        <is>
          <t>Portal QC — Rollup</t>
        </is>
      </c>
    </row>
    <row r="4" ht="26" customHeight="1">
      <c r="A4" s="11" t="inlineStr">
        <is>
          <t>Portal</t>
        </is>
      </c>
      <c r="B4" s="11" t="inlineStr">
        <is>
          <t>Total</t>
        </is>
      </c>
      <c r="C4" s="12" t="inlineStr">
        <is>
          <t>Blocker</t>
        </is>
      </c>
      <c r="D4" s="13" t="inlineStr">
        <is>
          <t>Major</t>
        </is>
      </c>
      <c r="E4" s="14" t="inlineStr">
        <is>
          <t>Minor</t>
        </is>
      </c>
      <c r="F4" s="15" t="inlineStr">
        <is>
          <t>Nit</t>
        </is>
      </c>
      <c r="G4" s="11" t="inlineStr">
        <is>
          <t>Open</t>
        </is>
      </c>
      <c r="H4" s="11" t="inlineStr">
        <is>
          <t>Fixed</t>
        </is>
      </c>
      <c r="I4" s="11" t="inlineStr">
        <is>
          <t>Verified</t>
        </is>
      </c>
    </row>
    <row r="5">
      <c r="A5" s="16" t="inlineStr">
        <is>
          <t>eUtthan Admin</t>
        </is>
      </c>
      <c r="B5" s="16">
        <f>COUNTA('eUtthan Admin'!$A$2:$A$400)</f>
        <v/>
      </c>
      <c r="C5" s="16">
        <f>COUNTIF('eUtthan Admin'!$E:$E,"Blocker")</f>
        <v/>
      </c>
      <c r="D5" s="16">
        <f>COUNTIF('eUtthan Admin'!$E:$E,"Major")</f>
        <v/>
      </c>
      <c r="E5" s="16">
        <f>COUNTIF('eUtthan Admin'!$E:$E,"Minor")</f>
        <v/>
      </c>
      <c r="F5" s="16">
        <f>COUNTIF('eUtthan Admin'!$E:$E,"Nit")</f>
        <v/>
      </c>
      <c r="G5" s="16">
        <f>COUNTIF('eUtthan Admin'!$J:$J,"Open")</f>
        <v/>
      </c>
      <c r="H5" s="16">
        <f>COUNTIF('eUtthan Admin'!$J:$J,"Fixed")</f>
        <v/>
      </c>
      <c r="I5" s="16">
        <f>COUNTIF('eUtthan Admin'!$J:$J,"Verified")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20" customWidth="1" min="4" max="4"/>
    <col width="11" customWidth="1" min="5" max="5"/>
    <col width="46" customWidth="1" min="6" max="6"/>
    <col width="42" customWidth="1" min="7" max="7"/>
    <col width="30" customWidth="1" min="8" max="8"/>
    <col width="30" customWidth="1" min="9" max="9"/>
    <col width="12" customWidth="1" min="10" max="10"/>
    <col width="13" customWidth="1" min="11" max="11"/>
    <col width="12" customWidth="1" min="12" max="12"/>
    <col width="30" customWidth="1" min="13" max="13"/>
  </cols>
  <sheetData>
    <row r="1" ht="26" customHeight="1">
      <c r="A1" s="11" t="inlineStr">
        <is>
          <t>ID</t>
        </is>
      </c>
      <c r="B1" s="11" t="inlineStr">
        <is>
          <t>Screen</t>
        </is>
      </c>
      <c r="C1" s="11" t="inlineStr">
        <is>
          <t>Viewport</t>
        </is>
      </c>
      <c r="D1" s="11" t="inlineStr">
        <is>
          <t>Category</t>
        </is>
      </c>
      <c r="E1" s="11" t="inlineStr">
        <is>
          <t>Severity</t>
        </is>
      </c>
      <c r="F1" s="11" t="inlineStr">
        <is>
          <t>Issue (Design → Built)</t>
        </is>
      </c>
      <c r="G1" s="11" t="inlineStr">
        <is>
          <t>Recommended Fix (Dev)</t>
        </is>
      </c>
      <c r="H1" s="11" t="inlineStr">
        <is>
          <t>Figma URL</t>
        </is>
      </c>
      <c r="I1" s="11" t="inlineStr">
        <is>
          <t>Live URL</t>
        </is>
      </c>
      <c r="J1" s="11" t="inlineStr">
        <is>
          <t>Status</t>
        </is>
      </c>
      <c r="K1" s="11" t="inlineStr">
        <is>
          <t>Assignee</t>
        </is>
      </c>
      <c r="L1" s="11" t="inlineStr">
        <is>
          <t>Date</t>
        </is>
      </c>
      <c r="M1" s="11" t="inlineStr">
        <is>
          <t>Notes</t>
        </is>
      </c>
    </row>
    <row r="2">
      <c r="A2" s="17" t="inlineStr">
        <is>
          <t>UTH-ADMIN-DASH-001</t>
        </is>
      </c>
      <c r="B2" s="17" t="inlineStr">
        <is>
          <t>Admin / Dashboard</t>
        </is>
      </c>
      <c r="C2" s="17" t="inlineStr">
        <is>
          <t>1440</t>
        </is>
      </c>
      <c r="D2" s="17" t="inlineStr">
        <is>
          <t>Color &amp; Token</t>
        </is>
      </c>
      <c r="E2" s="17" t="inlineStr">
        <is>
          <t>Minor</t>
        </is>
      </c>
      <c r="F2" s="17" t="inlineStr">
        <is>
          <t>Stat value colour #1E3A5F (hardcoded) is not a DS token. Nearest token Primary/Source #003366.</t>
        </is>
      </c>
      <c r="G2" s="17" t="inlineStr">
        <is>
          <t>Map big stat numbers to a DS colour token (Primary/Source #003366) or confirm intended token.</t>
        </is>
      </c>
      <c r="H2" s="17" t="inlineStr">
        <is>
          <t>https://www.figma.com/design/gH2vQ62cfg4677YKWuOpLc/MoSJE-Portal--Handoff-?node-id=4226-39685</t>
        </is>
      </c>
      <c r="I2" s="17" t="inlineStr">
        <is>
          <t>https://eutthan-admin-uat.mosje.in/dashboard?fy=2026-2027</t>
        </is>
      </c>
      <c r="J2" s="17" t="inlineStr">
        <is>
          <t>Open</t>
        </is>
      </c>
      <c r="K2" s="17" t="inlineStr"/>
      <c r="L2" s="17" t="inlineStr">
        <is>
          <t>2026-06-08</t>
        </is>
      </c>
      <c r="M2" s="17" t="inlineStr">
        <is>
          <t>Verified via getComputedStyle. Top gov band correctly uses #003366.</t>
        </is>
      </c>
    </row>
    <row r="3">
      <c r="A3" s="18" t="inlineStr">
        <is>
          <t>UTH-ADMIN-DASH-002</t>
        </is>
      </c>
      <c r="B3" s="18" t="inlineStr">
        <is>
          <t>Admin / Dashboard</t>
        </is>
      </c>
      <c r="C3" s="18" t="inlineStr">
        <is>
          <t>1440</t>
        </is>
      </c>
      <c r="D3" s="18" t="inlineStr">
        <is>
          <t>Color &amp; Token</t>
        </is>
      </c>
      <c r="E3" s="18" t="inlineStr">
        <is>
          <t>Minor</t>
        </is>
      </c>
      <c r="F3" s="18" t="inlineStr">
        <is>
          <t>Stat-card border #BFD7EA not a DS token (nearest Primary/100 #c8dbf0); radius 12px vs DS radius scale (8).</t>
        </is>
      </c>
      <c r="G3" s="18" t="inlineStr">
        <is>
          <t>Tokenise card border; confirm DS Card radius and apply consistently.</t>
        </is>
      </c>
      <c r="H3" s="18" t="inlineStr">
        <is>
          <t>https://www.figma.com/design/gH2vQ62cfg4677YKWuOpLc/MoSJE-Portal--Handoff-?node-id=4226-39685</t>
        </is>
      </c>
      <c r="I3" s="18" t="inlineStr">
        <is>
          <t>https://eutthan-admin-uat.mosje.in/dashboard?fy=2026-2027</t>
        </is>
      </c>
      <c r="J3" s="18" t="inlineStr">
        <is>
          <t>Open</t>
        </is>
      </c>
      <c r="K3" s="18" t="inlineStr"/>
      <c r="L3" s="18" t="inlineStr">
        <is>
          <t>2026-06-08</t>
        </is>
      </c>
      <c r="M3" s="18" t="inlineStr">
        <is>
          <t>Card padding 24px matches DS 2xl. No box-shadow (DS Card uses shadow-xs — verify).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</row>
    <row r="5">
      <c r="A5" s="18" t="n"/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</row>
    <row r="7">
      <c r="A7" s="18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8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  <c r="M87" s="18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  <c r="M101" s="18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  <c r="L103" s="18" t="n"/>
      <c r="M103" s="18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  <c r="M105" s="18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  <c r="L107" s="18" t="n"/>
      <c r="M107" s="18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  <c r="L109" s="18" t="n"/>
      <c r="M109" s="18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  <c r="M113" s="18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  <c r="M115" s="18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  <c r="M117" s="18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  <c r="M119" s="18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  <c r="M121" s="18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  <c r="M125" s="18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  <c r="M127" s="18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  <c r="M129" s="18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  <c r="M131" s="18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  <c r="M133" s="18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  <c r="M135" s="18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  <c r="M137" s="18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  <c r="M139" s="18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  <c r="M141" s="18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  <c r="M143" s="18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  <c r="M145" s="18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  <c r="L149" s="18" t="n"/>
      <c r="M149" s="18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  <c r="L151" s="18" t="n"/>
      <c r="M151" s="18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  <c r="L153" s="18" t="n"/>
      <c r="M153" s="18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  <c r="M155" s="18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  <c r="M157" s="18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  <c r="M159" s="18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  <c r="M161" s="18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  <c r="M163" s="18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  <c r="M165" s="18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  <c r="M167" s="18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  <c r="M169" s="18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  <c r="M171" s="18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  <c r="M173" s="18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  <c r="M175" s="18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  <c r="M177" s="18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  <c r="M179" s="18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  <c r="M181" s="18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  <c r="M183" s="18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  <c r="M185" s="18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  <c r="M187" s="18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  <c r="M189" s="18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  <c r="M191" s="18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  <c r="M193" s="18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  <c r="M195" s="18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  <c r="M197" s="18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  <c r="M199" s="18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  <c r="M201" s="18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  <c r="M203" s="18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</row>
    <row r="205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  <c r="M205" s="18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</row>
    <row r="207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  <c r="L207" s="18" t="n"/>
      <c r="M207" s="18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</row>
    <row r="209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  <c r="L209" s="18" t="n"/>
      <c r="M209" s="18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</row>
    <row r="211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  <c r="L211" s="18" t="n"/>
      <c r="M211" s="18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</row>
    <row r="213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  <c r="M213" s="18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</row>
    <row r="215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  <c r="L215" s="18" t="n"/>
      <c r="M215" s="18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</row>
    <row r="217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  <c r="L217" s="18" t="n"/>
      <c r="M217" s="18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</row>
    <row r="219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  <c r="M219" s="18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</row>
    <row r="221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  <c r="L221" s="18" t="n"/>
      <c r="M221" s="18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</row>
    <row r="223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8" t="n"/>
      <c r="L223" s="18" t="n"/>
      <c r="M223" s="18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</row>
    <row r="225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8" t="n"/>
      <c r="L225" s="18" t="n"/>
      <c r="M225" s="18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</row>
    <row r="227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  <c r="M227" s="18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</row>
    <row r="229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8" t="n"/>
      <c r="L229" s="18" t="n"/>
      <c r="M229" s="18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</row>
    <row r="231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8" t="n"/>
      <c r="L231" s="18" t="n"/>
      <c r="M231" s="18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</row>
    <row r="233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8" t="n"/>
      <c r="L233" s="18" t="n"/>
      <c r="M233" s="18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</row>
    <row r="235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8" t="n"/>
      <c r="L235" s="18" t="n"/>
      <c r="M235" s="18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</row>
    <row r="237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  <c r="M237" s="18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</row>
    <row r="239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8" t="n"/>
      <c r="L239" s="18" t="n"/>
      <c r="M239" s="18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</row>
    <row r="241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8" t="n"/>
      <c r="L241" s="18" t="n"/>
      <c r="M241" s="18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</row>
    <row r="243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8" t="n"/>
      <c r="L243" s="18" t="n"/>
      <c r="M243" s="18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</row>
    <row r="245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8" t="n"/>
      <c r="L245" s="18" t="n"/>
      <c r="M245" s="18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</row>
    <row r="247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  <c r="M247" s="18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</row>
    <row r="249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8" t="n"/>
      <c r="L249" s="18" t="n"/>
      <c r="M249" s="18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</row>
    <row r="251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8" t="n"/>
      <c r="L251" s="18" t="n"/>
      <c r="M251" s="18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</row>
    <row r="253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8" t="n"/>
      <c r="L253" s="18" t="n"/>
      <c r="M253" s="18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</row>
    <row r="255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18" t="n"/>
      <c r="L255" s="18" t="n"/>
      <c r="M255" s="18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</row>
    <row r="257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18" t="n"/>
      <c r="L257" s="18" t="n"/>
      <c r="M257" s="18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</row>
    <row r="259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18" t="n"/>
      <c r="L259" s="18" t="n"/>
      <c r="M259" s="18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</row>
    <row r="261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8" t="n"/>
      <c r="L261" s="18" t="n"/>
      <c r="M261" s="18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</row>
    <row r="263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18" t="n"/>
      <c r="L263" s="18" t="n"/>
      <c r="M263" s="18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</row>
    <row r="265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8" t="n"/>
      <c r="L265" s="18" t="n"/>
      <c r="M265" s="18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</row>
    <row r="267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8" t="n"/>
      <c r="L267" s="18" t="n"/>
      <c r="M267" s="18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</row>
    <row r="269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18" t="n"/>
      <c r="L269" s="18" t="n"/>
      <c r="M269" s="18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</row>
    <row r="271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8" t="n"/>
      <c r="L271" s="18" t="n"/>
      <c r="M271" s="18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</row>
    <row r="273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18" t="n"/>
      <c r="L273" s="18" t="n"/>
      <c r="M273" s="18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</row>
    <row r="275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18" t="n"/>
      <c r="L275" s="18" t="n"/>
      <c r="M275" s="18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</row>
    <row r="277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18" t="n"/>
      <c r="L277" s="18" t="n"/>
      <c r="M277" s="18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</row>
    <row r="279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8" t="n"/>
      <c r="L279" s="18" t="n"/>
      <c r="M279" s="18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</row>
    <row r="281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18" t="n"/>
      <c r="L281" s="18" t="n"/>
      <c r="M281" s="18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</row>
    <row r="283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18" t="n"/>
      <c r="L283" s="18" t="n"/>
      <c r="M283" s="18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</row>
    <row r="285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8" t="n"/>
      <c r="L285" s="18" t="n"/>
      <c r="M285" s="18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</row>
    <row r="287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8" t="n"/>
      <c r="L287" s="18" t="n"/>
      <c r="M287" s="18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</row>
    <row r="289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18" t="n"/>
      <c r="L289" s="18" t="n"/>
      <c r="M289" s="18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</row>
    <row r="291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8" t="n"/>
      <c r="L291" s="18" t="n"/>
      <c r="M291" s="18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</row>
    <row r="293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8" t="n"/>
      <c r="L293" s="18" t="n"/>
      <c r="M293" s="18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</row>
    <row r="295">
      <c r="A295" s="18" t="n"/>
      <c r="B295" s="18" t="n"/>
      <c r="C295" s="18" t="n"/>
      <c r="D295" s="18" t="n"/>
      <c r="E295" s="18" t="n"/>
      <c r="F295" s="18" t="n"/>
      <c r="G295" s="18" t="n"/>
      <c r="H295" s="18" t="n"/>
      <c r="I295" s="18" t="n"/>
      <c r="J295" s="18" t="n"/>
      <c r="K295" s="18" t="n"/>
      <c r="L295" s="18" t="n"/>
      <c r="M295" s="18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</row>
    <row r="297">
      <c r="A297" s="18" t="n"/>
      <c r="B297" s="18" t="n"/>
      <c r="C297" s="18" t="n"/>
      <c r="D297" s="18" t="n"/>
      <c r="E297" s="18" t="n"/>
      <c r="F297" s="18" t="n"/>
      <c r="G297" s="18" t="n"/>
      <c r="H297" s="18" t="n"/>
      <c r="I297" s="18" t="n"/>
      <c r="J297" s="18" t="n"/>
      <c r="K297" s="18" t="n"/>
      <c r="L297" s="18" t="n"/>
      <c r="M297" s="18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</row>
    <row r="299">
      <c r="A299" s="18" t="n"/>
      <c r="B299" s="18" t="n"/>
      <c r="C299" s="18" t="n"/>
      <c r="D299" s="18" t="n"/>
      <c r="E299" s="18" t="n"/>
      <c r="F299" s="18" t="n"/>
      <c r="G299" s="18" t="n"/>
      <c r="H299" s="18" t="n"/>
      <c r="I299" s="18" t="n"/>
      <c r="J299" s="18" t="n"/>
      <c r="K299" s="18" t="n"/>
      <c r="L299" s="18" t="n"/>
      <c r="M299" s="18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</row>
    <row r="301">
      <c r="A301" s="18" t="n"/>
      <c r="B301" s="18" t="n"/>
      <c r="C301" s="18" t="n"/>
      <c r="D301" s="18" t="n"/>
      <c r="E301" s="18" t="n"/>
      <c r="F301" s="18" t="n"/>
      <c r="G301" s="18" t="n"/>
      <c r="H301" s="18" t="n"/>
      <c r="I301" s="18" t="n"/>
      <c r="J301" s="18" t="n"/>
      <c r="K301" s="18" t="n"/>
      <c r="L301" s="18" t="n"/>
      <c r="M301" s="18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</row>
    <row r="303">
      <c r="A303" s="18" t="n"/>
      <c r="B303" s="18" t="n"/>
      <c r="C303" s="18" t="n"/>
      <c r="D303" s="18" t="n"/>
      <c r="E303" s="18" t="n"/>
      <c r="F303" s="18" t="n"/>
      <c r="G303" s="18" t="n"/>
      <c r="H303" s="18" t="n"/>
      <c r="I303" s="18" t="n"/>
      <c r="J303" s="18" t="n"/>
      <c r="K303" s="18" t="n"/>
      <c r="L303" s="18" t="n"/>
      <c r="M303" s="18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</row>
    <row r="305">
      <c r="A305" s="18" t="n"/>
      <c r="B305" s="18" t="n"/>
      <c r="C305" s="18" t="n"/>
      <c r="D305" s="18" t="n"/>
      <c r="E305" s="18" t="n"/>
      <c r="F305" s="18" t="n"/>
      <c r="G305" s="18" t="n"/>
      <c r="H305" s="18" t="n"/>
      <c r="I305" s="18" t="n"/>
      <c r="J305" s="18" t="n"/>
      <c r="K305" s="18" t="n"/>
      <c r="L305" s="18" t="n"/>
      <c r="M305" s="18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17" t="n"/>
      <c r="L306" s="17" t="n"/>
      <c r="M306" s="17" t="n"/>
    </row>
    <row r="307">
      <c r="A307" s="18" t="n"/>
      <c r="B307" s="18" t="n"/>
      <c r="C307" s="18" t="n"/>
      <c r="D307" s="18" t="n"/>
      <c r="E307" s="18" t="n"/>
      <c r="F307" s="18" t="n"/>
      <c r="G307" s="18" t="n"/>
      <c r="H307" s="18" t="n"/>
      <c r="I307" s="18" t="n"/>
      <c r="J307" s="18" t="n"/>
      <c r="K307" s="18" t="n"/>
      <c r="L307" s="18" t="n"/>
      <c r="M307" s="18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17" t="n"/>
      <c r="L308" s="17" t="n"/>
      <c r="M308" s="17" t="n"/>
    </row>
    <row r="309">
      <c r="A309" s="18" t="n"/>
      <c r="B309" s="18" t="n"/>
      <c r="C309" s="18" t="n"/>
      <c r="D309" s="18" t="n"/>
      <c r="E309" s="18" t="n"/>
      <c r="F309" s="18" t="n"/>
      <c r="G309" s="18" t="n"/>
      <c r="H309" s="18" t="n"/>
      <c r="I309" s="18" t="n"/>
      <c r="J309" s="18" t="n"/>
      <c r="K309" s="18" t="n"/>
      <c r="L309" s="18" t="n"/>
      <c r="M309" s="18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17" t="n"/>
      <c r="L310" s="17" t="n"/>
      <c r="M310" s="17" t="n"/>
    </row>
    <row r="311">
      <c r="A311" s="18" t="n"/>
      <c r="B311" s="18" t="n"/>
      <c r="C311" s="18" t="n"/>
      <c r="D311" s="18" t="n"/>
      <c r="E311" s="18" t="n"/>
      <c r="F311" s="18" t="n"/>
      <c r="G311" s="18" t="n"/>
      <c r="H311" s="18" t="n"/>
      <c r="I311" s="18" t="n"/>
      <c r="J311" s="18" t="n"/>
      <c r="K311" s="18" t="n"/>
      <c r="L311" s="18" t="n"/>
      <c r="M311" s="18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17" t="n"/>
      <c r="L312" s="17" t="n"/>
      <c r="M312" s="17" t="n"/>
    </row>
    <row r="313">
      <c r="A313" s="18" t="n"/>
      <c r="B313" s="18" t="n"/>
      <c r="C313" s="18" t="n"/>
      <c r="D313" s="18" t="n"/>
      <c r="E313" s="18" t="n"/>
      <c r="F313" s="18" t="n"/>
      <c r="G313" s="18" t="n"/>
      <c r="H313" s="18" t="n"/>
      <c r="I313" s="18" t="n"/>
      <c r="J313" s="18" t="n"/>
      <c r="K313" s="18" t="n"/>
      <c r="L313" s="18" t="n"/>
      <c r="M313" s="18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17" t="n"/>
      <c r="L314" s="17" t="n"/>
      <c r="M314" s="17" t="n"/>
    </row>
    <row r="315">
      <c r="A315" s="18" t="n"/>
      <c r="B315" s="18" t="n"/>
      <c r="C315" s="18" t="n"/>
      <c r="D315" s="18" t="n"/>
      <c r="E315" s="18" t="n"/>
      <c r="F315" s="18" t="n"/>
      <c r="G315" s="18" t="n"/>
      <c r="H315" s="18" t="n"/>
      <c r="I315" s="18" t="n"/>
      <c r="J315" s="18" t="n"/>
      <c r="K315" s="18" t="n"/>
      <c r="L315" s="18" t="n"/>
      <c r="M315" s="18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17" t="n"/>
      <c r="L316" s="17" t="n"/>
      <c r="M316" s="17" t="n"/>
    </row>
    <row r="317">
      <c r="A317" s="18" t="n"/>
      <c r="B317" s="18" t="n"/>
      <c r="C317" s="18" t="n"/>
      <c r="D317" s="18" t="n"/>
      <c r="E317" s="18" t="n"/>
      <c r="F317" s="18" t="n"/>
      <c r="G317" s="18" t="n"/>
      <c r="H317" s="18" t="n"/>
      <c r="I317" s="18" t="n"/>
      <c r="J317" s="18" t="n"/>
      <c r="K317" s="18" t="n"/>
      <c r="L317" s="18" t="n"/>
      <c r="M317" s="18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17" t="n"/>
      <c r="L318" s="17" t="n"/>
      <c r="M318" s="17" t="n"/>
    </row>
    <row r="319">
      <c r="A319" s="18" t="n"/>
      <c r="B319" s="18" t="n"/>
      <c r="C319" s="18" t="n"/>
      <c r="D319" s="18" t="n"/>
      <c r="E319" s="18" t="n"/>
      <c r="F319" s="18" t="n"/>
      <c r="G319" s="18" t="n"/>
      <c r="H319" s="18" t="n"/>
      <c r="I319" s="18" t="n"/>
      <c r="J319" s="18" t="n"/>
      <c r="K319" s="18" t="n"/>
      <c r="L319" s="18" t="n"/>
      <c r="M319" s="18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17" t="n"/>
      <c r="L320" s="17" t="n"/>
      <c r="M320" s="17" t="n"/>
    </row>
    <row r="321">
      <c r="A321" s="18" t="n"/>
      <c r="B321" s="18" t="n"/>
      <c r="C321" s="18" t="n"/>
      <c r="D321" s="18" t="n"/>
      <c r="E321" s="18" t="n"/>
      <c r="F321" s="18" t="n"/>
      <c r="G321" s="18" t="n"/>
      <c r="H321" s="18" t="n"/>
      <c r="I321" s="18" t="n"/>
      <c r="J321" s="18" t="n"/>
      <c r="K321" s="18" t="n"/>
      <c r="L321" s="18" t="n"/>
      <c r="M321" s="18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17" t="n"/>
      <c r="L322" s="17" t="n"/>
      <c r="M322" s="17" t="n"/>
    </row>
    <row r="323">
      <c r="A323" s="18" t="n"/>
      <c r="B323" s="18" t="n"/>
      <c r="C323" s="18" t="n"/>
      <c r="D323" s="18" t="n"/>
      <c r="E323" s="18" t="n"/>
      <c r="F323" s="18" t="n"/>
      <c r="G323" s="18" t="n"/>
      <c r="H323" s="18" t="n"/>
      <c r="I323" s="18" t="n"/>
      <c r="J323" s="18" t="n"/>
      <c r="K323" s="18" t="n"/>
      <c r="L323" s="18" t="n"/>
      <c r="M323" s="18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17" t="n"/>
      <c r="L324" s="17" t="n"/>
      <c r="M324" s="17" t="n"/>
    </row>
    <row r="325">
      <c r="A325" s="18" t="n"/>
      <c r="B325" s="18" t="n"/>
      <c r="C325" s="18" t="n"/>
      <c r="D325" s="18" t="n"/>
      <c r="E325" s="18" t="n"/>
      <c r="F325" s="18" t="n"/>
      <c r="G325" s="18" t="n"/>
      <c r="H325" s="18" t="n"/>
      <c r="I325" s="18" t="n"/>
      <c r="J325" s="18" t="n"/>
      <c r="K325" s="18" t="n"/>
      <c r="L325" s="18" t="n"/>
      <c r="M325" s="18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17" t="n"/>
      <c r="L326" s="17" t="n"/>
      <c r="M326" s="17" t="n"/>
    </row>
    <row r="327">
      <c r="A327" s="18" t="n"/>
      <c r="B327" s="18" t="n"/>
      <c r="C327" s="18" t="n"/>
      <c r="D327" s="18" t="n"/>
      <c r="E327" s="18" t="n"/>
      <c r="F327" s="18" t="n"/>
      <c r="G327" s="18" t="n"/>
      <c r="H327" s="18" t="n"/>
      <c r="I327" s="18" t="n"/>
      <c r="J327" s="18" t="n"/>
      <c r="K327" s="18" t="n"/>
      <c r="L327" s="18" t="n"/>
      <c r="M327" s="18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17" t="n"/>
      <c r="L328" s="17" t="n"/>
      <c r="M328" s="17" t="n"/>
    </row>
    <row r="329">
      <c r="A329" s="18" t="n"/>
      <c r="B329" s="18" t="n"/>
      <c r="C329" s="18" t="n"/>
      <c r="D329" s="18" t="n"/>
      <c r="E329" s="18" t="n"/>
      <c r="F329" s="18" t="n"/>
      <c r="G329" s="18" t="n"/>
      <c r="H329" s="18" t="n"/>
      <c r="I329" s="18" t="n"/>
      <c r="J329" s="18" t="n"/>
      <c r="K329" s="18" t="n"/>
      <c r="L329" s="18" t="n"/>
      <c r="M329" s="18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17" t="n"/>
      <c r="L330" s="17" t="n"/>
      <c r="M330" s="17" t="n"/>
    </row>
    <row r="331">
      <c r="A331" s="18" t="n"/>
      <c r="B331" s="18" t="n"/>
      <c r="C331" s="18" t="n"/>
      <c r="D331" s="18" t="n"/>
      <c r="E331" s="18" t="n"/>
      <c r="F331" s="18" t="n"/>
      <c r="G331" s="18" t="n"/>
      <c r="H331" s="18" t="n"/>
      <c r="I331" s="18" t="n"/>
      <c r="J331" s="18" t="n"/>
      <c r="K331" s="18" t="n"/>
      <c r="L331" s="18" t="n"/>
      <c r="M331" s="18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17" t="n"/>
      <c r="L332" s="17" t="n"/>
      <c r="M332" s="17" t="n"/>
    </row>
    <row r="333">
      <c r="A333" s="18" t="n"/>
      <c r="B333" s="18" t="n"/>
      <c r="C333" s="18" t="n"/>
      <c r="D333" s="18" t="n"/>
      <c r="E333" s="18" t="n"/>
      <c r="F333" s="18" t="n"/>
      <c r="G333" s="18" t="n"/>
      <c r="H333" s="18" t="n"/>
      <c r="I333" s="18" t="n"/>
      <c r="J333" s="18" t="n"/>
      <c r="K333" s="18" t="n"/>
      <c r="L333" s="18" t="n"/>
      <c r="M333" s="18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17" t="n"/>
      <c r="L334" s="17" t="n"/>
      <c r="M334" s="17" t="n"/>
    </row>
    <row r="335">
      <c r="A335" s="18" t="n"/>
      <c r="B335" s="18" t="n"/>
      <c r="C335" s="18" t="n"/>
      <c r="D335" s="18" t="n"/>
      <c r="E335" s="18" t="n"/>
      <c r="F335" s="18" t="n"/>
      <c r="G335" s="18" t="n"/>
      <c r="H335" s="18" t="n"/>
      <c r="I335" s="18" t="n"/>
      <c r="J335" s="18" t="n"/>
      <c r="K335" s="18" t="n"/>
      <c r="L335" s="18" t="n"/>
      <c r="M335" s="18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17" t="n"/>
      <c r="L336" s="17" t="n"/>
      <c r="M336" s="17" t="n"/>
    </row>
    <row r="337">
      <c r="A337" s="18" t="n"/>
      <c r="B337" s="18" t="n"/>
      <c r="C337" s="18" t="n"/>
      <c r="D337" s="18" t="n"/>
      <c r="E337" s="18" t="n"/>
      <c r="F337" s="18" t="n"/>
      <c r="G337" s="18" t="n"/>
      <c r="H337" s="18" t="n"/>
      <c r="I337" s="18" t="n"/>
      <c r="J337" s="18" t="n"/>
      <c r="K337" s="18" t="n"/>
      <c r="L337" s="18" t="n"/>
      <c r="M337" s="18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</row>
    <row r="339">
      <c r="A339" s="18" t="n"/>
      <c r="B339" s="18" t="n"/>
      <c r="C339" s="18" t="n"/>
      <c r="D339" s="18" t="n"/>
      <c r="E339" s="18" t="n"/>
      <c r="F339" s="18" t="n"/>
      <c r="G339" s="18" t="n"/>
      <c r="H339" s="18" t="n"/>
      <c r="I339" s="18" t="n"/>
      <c r="J339" s="18" t="n"/>
      <c r="K339" s="18" t="n"/>
      <c r="L339" s="18" t="n"/>
      <c r="M339" s="18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17" t="n"/>
      <c r="L340" s="17" t="n"/>
      <c r="M340" s="17" t="n"/>
    </row>
    <row r="341">
      <c r="A341" s="18" t="n"/>
      <c r="B341" s="18" t="n"/>
      <c r="C341" s="18" t="n"/>
      <c r="D341" s="18" t="n"/>
      <c r="E341" s="18" t="n"/>
      <c r="F341" s="18" t="n"/>
      <c r="G341" s="18" t="n"/>
      <c r="H341" s="18" t="n"/>
      <c r="I341" s="18" t="n"/>
      <c r="J341" s="18" t="n"/>
      <c r="K341" s="18" t="n"/>
      <c r="L341" s="18" t="n"/>
      <c r="M341" s="18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17" t="n"/>
      <c r="L342" s="17" t="n"/>
      <c r="M342" s="17" t="n"/>
    </row>
    <row r="343">
      <c r="A343" s="18" t="n"/>
      <c r="B343" s="18" t="n"/>
      <c r="C343" s="18" t="n"/>
      <c r="D343" s="18" t="n"/>
      <c r="E343" s="18" t="n"/>
      <c r="F343" s="18" t="n"/>
      <c r="G343" s="18" t="n"/>
      <c r="H343" s="18" t="n"/>
      <c r="I343" s="18" t="n"/>
      <c r="J343" s="18" t="n"/>
      <c r="K343" s="18" t="n"/>
      <c r="L343" s="18" t="n"/>
      <c r="M343" s="18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17" t="n"/>
      <c r="L344" s="17" t="n"/>
      <c r="M344" s="17" t="n"/>
    </row>
    <row r="345">
      <c r="A345" s="18" t="n"/>
      <c r="B345" s="18" t="n"/>
      <c r="C345" s="18" t="n"/>
      <c r="D345" s="18" t="n"/>
      <c r="E345" s="18" t="n"/>
      <c r="F345" s="18" t="n"/>
      <c r="G345" s="18" t="n"/>
      <c r="H345" s="18" t="n"/>
      <c r="I345" s="18" t="n"/>
      <c r="J345" s="18" t="n"/>
      <c r="K345" s="18" t="n"/>
      <c r="L345" s="18" t="n"/>
      <c r="M345" s="18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17" t="n"/>
      <c r="L346" s="17" t="n"/>
      <c r="M346" s="17" t="n"/>
    </row>
    <row r="347">
      <c r="A347" s="18" t="n"/>
      <c r="B347" s="18" t="n"/>
      <c r="C347" s="18" t="n"/>
      <c r="D347" s="18" t="n"/>
      <c r="E347" s="18" t="n"/>
      <c r="F347" s="18" t="n"/>
      <c r="G347" s="18" t="n"/>
      <c r="H347" s="18" t="n"/>
      <c r="I347" s="18" t="n"/>
      <c r="J347" s="18" t="n"/>
      <c r="K347" s="18" t="n"/>
      <c r="L347" s="18" t="n"/>
      <c r="M347" s="18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17" t="n"/>
      <c r="L348" s="17" t="n"/>
      <c r="M348" s="17" t="n"/>
    </row>
    <row r="349">
      <c r="A349" s="18" t="n"/>
      <c r="B349" s="18" t="n"/>
      <c r="C349" s="18" t="n"/>
      <c r="D349" s="18" t="n"/>
      <c r="E349" s="18" t="n"/>
      <c r="F349" s="18" t="n"/>
      <c r="G349" s="18" t="n"/>
      <c r="H349" s="18" t="n"/>
      <c r="I349" s="18" t="n"/>
      <c r="J349" s="18" t="n"/>
      <c r="K349" s="18" t="n"/>
      <c r="L349" s="18" t="n"/>
      <c r="M349" s="18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17" t="n"/>
      <c r="L350" s="17" t="n"/>
      <c r="M350" s="17" t="n"/>
    </row>
    <row r="351">
      <c r="A351" s="18" t="n"/>
      <c r="B351" s="18" t="n"/>
      <c r="C351" s="18" t="n"/>
      <c r="D351" s="18" t="n"/>
      <c r="E351" s="18" t="n"/>
      <c r="F351" s="18" t="n"/>
      <c r="G351" s="18" t="n"/>
      <c r="H351" s="18" t="n"/>
      <c r="I351" s="18" t="n"/>
      <c r="J351" s="18" t="n"/>
      <c r="K351" s="18" t="n"/>
      <c r="L351" s="18" t="n"/>
      <c r="M351" s="18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17" t="n"/>
      <c r="L352" s="17" t="n"/>
      <c r="M352" s="17" t="n"/>
    </row>
    <row r="353">
      <c r="A353" s="18" t="n"/>
      <c r="B353" s="18" t="n"/>
      <c r="C353" s="18" t="n"/>
      <c r="D353" s="18" t="n"/>
      <c r="E353" s="18" t="n"/>
      <c r="F353" s="18" t="n"/>
      <c r="G353" s="18" t="n"/>
      <c r="H353" s="18" t="n"/>
      <c r="I353" s="18" t="n"/>
      <c r="J353" s="18" t="n"/>
      <c r="K353" s="18" t="n"/>
      <c r="L353" s="18" t="n"/>
      <c r="M353" s="18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17" t="n"/>
      <c r="L354" s="17" t="n"/>
      <c r="M354" s="17" t="n"/>
    </row>
    <row r="355">
      <c r="A355" s="18" t="n"/>
      <c r="B355" s="18" t="n"/>
      <c r="C355" s="18" t="n"/>
      <c r="D355" s="18" t="n"/>
      <c r="E355" s="18" t="n"/>
      <c r="F355" s="18" t="n"/>
      <c r="G355" s="18" t="n"/>
      <c r="H355" s="18" t="n"/>
      <c r="I355" s="18" t="n"/>
      <c r="J355" s="18" t="n"/>
      <c r="K355" s="18" t="n"/>
      <c r="L355" s="18" t="n"/>
      <c r="M355" s="18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17" t="n"/>
      <c r="L356" s="17" t="n"/>
      <c r="M356" s="17" t="n"/>
    </row>
    <row r="357">
      <c r="A357" s="18" t="n"/>
      <c r="B357" s="18" t="n"/>
      <c r="C357" s="18" t="n"/>
      <c r="D357" s="18" t="n"/>
      <c r="E357" s="18" t="n"/>
      <c r="F357" s="18" t="n"/>
      <c r="G357" s="18" t="n"/>
      <c r="H357" s="18" t="n"/>
      <c r="I357" s="18" t="n"/>
      <c r="J357" s="18" t="n"/>
      <c r="K357" s="18" t="n"/>
      <c r="L357" s="18" t="n"/>
      <c r="M357" s="18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17" t="n"/>
      <c r="L358" s="17" t="n"/>
      <c r="M358" s="17" t="n"/>
    </row>
    <row r="359">
      <c r="A359" s="18" t="n"/>
      <c r="B359" s="18" t="n"/>
      <c r="C359" s="18" t="n"/>
      <c r="D359" s="18" t="n"/>
      <c r="E359" s="18" t="n"/>
      <c r="F359" s="18" t="n"/>
      <c r="G359" s="18" t="n"/>
      <c r="H359" s="18" t="n"/>
      <c r="I359" s="18" t="n"/>
      <c r="J359" s="18" t="n"/>
      <c r="K359" s="18" t="n"/>
      <c r="L359" s="18" t="n"/>
      <c r="M359" s="18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17" t="n"/>
      <c r="L360" s="17" t="n"/>
      <c r="M360" s="17" t="n"/>
    </row>
    <row r="361">
      <c r="A361" s="18" t="n"/>
      <c r="B361" s="18" t="n"/>
      <c r="C361" s="18" t="n"/>
      <c r="D361" s="18" t="n"/>
      <c r="E361" s="18" t="n"/>
      <c r="F361" s="18" t="n"/>
      <c r="G361" s="18" t="n"/>
      <c r="H361" s="18" t="n"/>
      <c r="I361" s="18" t="n"/>
      <c r="J361" s="18" t="n"/>
      <c r="K361" s="18" t="n"/>
      <c r="L361" s="18" t="n"/>
      <c r="M361" s="18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17" t="n"/>
      <c r="L362" s="17" t="n"/>
      <c r="M362" s="17" t="n"/>
    </row>
    <row r="363">
      <c r="A363" s="18" t="n"/>
      <c r="B363" s="18" t="n"/>
      <c r="C363" s="18" t="n"/>
      <c r="D363" s="18" t="n"/>
      <c r="E363" s="18" t="n"/>
      <c r="F363" s="18" t="n"/>
      <c r="G363" s="18" t="n"/>
      <c r="H363" s="18" t="n"/>
      <c r="I363" s="18" t="n"/>
      <c r="J363" s="18" t="n"/>
      <c r="K363" s="18" t="n"/>
      <c r="L363" s="18" t="n"/>
      <c r="M363" s="18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17" t="n"/>
      <c r="L364" s="17" t="n"/>
      <c r="M364" s="17" t="n"/>
    </row>
    <row r="365">
      <c r="A365" s="18" t="n"/>
      <c r="B365" s="18" t="n"/>
      <c r="C365" s="18" t="n"/>
      <c r="D365" s="18" t="n"/>
      <c r="E365" s="18" t="n"/>
      <c r="F365" s="18" t="n"/>
      <c r="G365" s="18" t="n"/>
      <c r="H365" s="18" t="n"/>
      <c r="I365" s="18" t="n"/>
      <c r="J365" s="18" t="n"/>
      <c r="K365" s="18" t="n"/>
      <c r="L365" s="18" t="n"/>
      <c r="M365" s="18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17" t="n"/>
      <c r="L366" s="17" t="n"/>
      <c r="M366" s="17" t="n"/>
    </row>
    <row r="367">
      <c r="A367" s="18" t="n"/>
      <c r="B367" s="18" t="n"/>
      <c r="C367" s="18" t="n"/>
      <c r="D367" s="18" t="n"/>
      <c r="E367" s="18" t="n"/>
      <c r="F367" s="18" t="n"/>
      <c r="G367" s="18" t="n"/>
      <c r="H367" s="18" t="n"/>
      <c r="I367" s="18" t="n"/>
      <c r="J367" s="18" t="n"/>
      <c r="K367" s="18" t="n"/>
      <c r="L367" s="18" t="n"/>
      <c r="M367" s="18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17" t="n"/>
      <c r="L368" s="17" t="n"/>
      <c r="M368" s="17" t="n"/>
    </row>
    <row r="369">
      <c r="A369" s="18" t="n"/>
      <c r="B369" s="18" t="n"/>
      <c r="C369" s="18" t="n"/>
      <c r="D369" s="18" t="n"/>
      <c r="E369" s="18" t="n"/>
      <c r="F369" s="18" t="n"/>
      <c r="G369" s="18" t="n"/>
      <c r="H369" s="18" t="n"/>
      <c r="I369" s="18" t="n"/>
      <c r="J369" s="18" t="n"/>
      <c r="K369" s="18" t="n"/>
      <c r="L369" s="18" t="n"/>
      <c r="M369" s="18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17" t="n"/>
      <c r="L370" s="17" t="n"/>
      <c r="M370" s="17" t="n"/>
    </row>
    <row r="371">
      <c r="A371" s="18" t="n"/>
      <c r="B371" s="18" t="n"/>
      <c r="C371" s="18" t="n"/>
      <c r="D371" s="18" t="n"/>
      <c r="E371" s="18" t="n"/>
      <c r="F371" s="18" t="n"/>
      <c r="G371" s="18" t="n"/>
      <c r="H371" s="18" t="n"/>
      <c r="I371" s="18" t="n"/>
      <c r="J371" s="18" t="n"/>
      <c r="K371" s="18" t="n"/>
      <c r="L371" s="18" t="n"/>
      <c r="M371" s="18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17" t="n"/>
      <c r="L372" s="17" t="n"/>
      <c r="M372" s="17" t="n"/>
    </row>
    <row r="373">
      <c r="A373" s="18" t="n"/>
      <c r="B373" s="18" t="n"/>
      <c r="C373" s="18" t="n"/>
      <c r="D373" s="18" t="n"/>
      <c r="E373" s="18" t="n"/>
      <c r="F373" s="18" t="n"/>
      <c r="G373" s="18" t="n"/>
      <c r="H373" s="18" t="n"/>
      <c r="I373" s="18" t="n"/>
      <c r="J373" s="18" t="n"/>
      <c r="K373" s="18" t="n"/>
      <c r="L373" s="18" t="n"/>
      <c r="M373" s="18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17" t="n"/>
      <c r="L374" s="17" t="n"/>
      <c r="M374" s="17" t="n"/>
    </row>
    <row r="375">
      <c r="A375" s="18" t="n"/>
      <c r="B375" s="18" t="n"/>
      <c r="C375" s="18" t="n"/>
      <c r="D375" s="18" t="n"/>
      <c r="E375" s="18" t="n"/>
      <c r="F375" s="18" t="n"/>
      <c r="G375" s="18" t="n"/>
      <c r="H375" s="18" t="n"/>
      <c r="I375" s="18" t="n"/>
      <c r="J375" s="18" t="n"/>
      <c r="K375" s="18" t="n"/>
      <c r="L375" s="18" t="n"/>
      <c r="M375" s="18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17" t="n"/>
      <c r="L376" s="17" t="n"/>
      <c r="M376" s="17" t="n"/>
    </row>
    <row r="377">
      <c r="A377" s="18" t="n"/>
      <c r="B377" s="18" t="n"/>
      <c r="C377" s="18" t="n"/>
      <c r="D377" s="18" t="n"/>
      <c r="E377" s="18" t="n"/>
      <c r="F377" s="18" t="n"/>
      <c r="G377" s="18" t="n"/>
      <c r="H377" s="18" t="n"/>
      <c r="I377" s="18" t="n"/>
      <c r="J377" s="18" t="n"/>
      <c r="K377" s="18" t="n"/>
      <c r="L377" s="18" t="n"/>
      <c r="M377" s="18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17" t="n"/>
      <c r="L378" s="17" t="n"/>
      <c r="M378" s="17" t="n"/>
    </row>
    <row r="379">
      <c r="A379" s="18" t="n"/>
      <c r="B379" s="18" t="n"/>
      <c r="C379" s="18" t="n"/>
      <c r="D379" s="18" t="n"/>
      <c r="E379" s="18" t="n"/>
      <c r="F379" s="18" t="n"/>
      <c r="G379" s="18" t="n"/>
      <c r="H379" s="18" t="n"/>
      <c r="I379" s="18" t="n"/>
      <c r="J379" s="18" t="n"/>
      <c r="K379" s="18" t="n"/>
      <c r="L379" s="18" t="n"/>
      <c r="M379" s="18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17" t="n"/>
      <c r="L380" s="17" t="n"/>
      <c r="M380" s="17" t="n"/>
    </row>
    <row r="381">
      <c r="A381" s="18" t="n"/>
      <c r="B381" s="18" t="n"/>
      <c r="C381" s="18" t="n"/>
      <c r="D381" s="18" t="n"/>
      <c r="E381" s="18" t="n"/>
      <c r="F381" s="18" t="n"/>
      <c r="G381" s="18" t="n"/>
      <c r="H381" s="18" t="n"/>
      <c r="I381" s="18" t="n"/>
      <c r="J381" s="18" t="n"/>
      <c r="K381" s="18" t="n"/>
      <c r="L381" s="18" t="n"/>
      <c r="M381" s="18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17" t="n"/>
      <c r="L382" s="17" t="n"/>
      <c r="M382" s="17" t="n"/>
    </row>
    <row r="383">
      <c r="A383" s="18" t="n"/>
      <c r="B383" s="18" t="n"/>
      <c r="C383" s="18" t="n"/>
      <c r="D383" s="18" t="n"/>
      <c r="E383" s="18" t="n"/>
      <c r="F383" s="18" t="n"/>
      <c r="G383" s="18" t="n"/>
      <c r="H383" s="18" t="n"/>
      <c r="I383" s="18" t="n"/>
      <c r="J383" s="18" t="n"/>
      <c r="K383" s="18" t="n"/>
      <c r="L383" s="18" t="n"/>
      <c r="M383" s="18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17" t="n"/>
      <c r="L384" s="17" t="n"/>
      <c r="M384" s="17" t="n"/>
    </row>
    <row r="385">
      <c r="A385" s="18" t="n"/>
      <c r="B385" s="18" t="n"/>
      <c r="C385" s="18" t="n"/>
      <c r="D385" s="18" t="n"/>
      <c r="E385" s="18" t="n"/>
      <c r="F385" s="18" t="n"/>
      <c r="G385" s="18" t="n"/>
      <c r="H385" s="18" t="n"/>
      <c r="I385" s="18" t="n"/>
      <c r="J385" s="18" t="n"/>
      <c r="K385" s="18" t="n"/>
      <c r="L385" s="18" t="n"/>
      <c r="M385" s="18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17" t="n"/>
      <c r="L386" s="17" t="n"/>
      <c r="M386" s="17" t="n"/>
    </row>
    <row r="387">
      <c r="A387" s="18" t="n"/>
      <c r="B387" s="18" t="n"/>
      <c r="C387" s="18" t="n"/>
      <c r="D387" s="18" t="n"/>
      <c r="E387" s="18" t="n"/>
      <c r="F387" s="18" t="n"/>
      <c r="G387" s="18" t="n"/>
      <c r="H387" s="18" t="n"/>
      <c r="I387" s="18" t="n"/>
      <c r="J387" s="18" t="n"/>
      <c r="K387" s="18" t="n"/>
      <c r="L387" s="18" t="n"/>
      <c r="M387" s="18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17" t="n"/>
      <c r="L388" s="17" t="n"/>
      <c r="M388" s="17" t="n"/>
    </row>
    <row r="389">
      <c r="A389" s="18" t="n"/>
      <c r="B389" s="18" t="n"/>
      <c r="C389" s="18" t="n"/>
      <c r="D389" s="18" t="n"/>
      <c r="E389" s="18" t="n"/>
      <c r="F389" s="18" t="n"/>
      <c r="G389" s="18" t="n"/>
      <c r="H389" s="18" t="n"/>
      <c r="I389" s="18" t="n"/>
      <c r="J389" s="18" t="n"/>
      <c r="K389" s="18" t="n"/>
      <c r="L389" s="18" t="n"/>
      <c r="M389" s="18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17" t="n"/>
      <c r="L390" s="17" t="n"/>
      <c r="M390" s="17" t="n"/>
    </row>
    <row r="391">
      <c r="A391" s="18" t="n"/>
      <c r="B391" s="18" t="n"/>
      <c r="C391" s="18" t="n"/>
      <c r="D391" s="18" t="n"/>
      <c r="E391" s="18" t="n"/>
      <c r="F391" s="18" t="n"/>
      <c r="G391" s="18" t="n"/>
      <c r="H391" s="18" t="n"/>
      <c r="I391" s="18" t="n"/>
      <c r="J391" s="18" t="n"/>
      <c r="K391" s="18" t="n"/>
      <c r="L391" s="18" t="n"/>
      <c r="M391" s="18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17" t="n"/>
      <c r="L392" s="17" t="n"/>
      <c r="M392" s="17" t="n"/>
    </row>
    <row r="393">
      <c r="A393" s="18" t="n"/>
      <c r="B393" s="18" t="n"/>
      <c r="C393" s="18" t="n"/>
      <c r="D393" s="18" t="n"/>
      <c r="E393" s="18" t="n"/>
      <c r="F393" s="18" t="n"/>
      <c r="G393" s="18" t="n"/>
      <c r="H393" s="18" t="n"/>
      <c r="I393" s="18" t="n"/>
      <c r="J393" s="18" t="n"/>
      <c r="K393" s="18" t="n"/>
      <c r="L393" s="18" t="n"/>
      <c r="M393" s="18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17" t="n"/>
      <c r="L394" s="17" t="n"/>
      <c r="M394" s="17" t="n"/>
    </row>
    <row r="395">
      <c r="A395" s="18" t="n"/>
      <c r="B395" s="18" t="n"/>
      <c r="C395" s="18" t="n"/>
      <c r="D395" s="18" t="n"/>
      <c r="E395" s="18" t="n"/>
      <c r="F395" s="18" t="n"/>
      <c r="G395" s="18" t="n"/>
      <c r="H395" s="18" t="n"/>
      <c r="I395" s="18" t="n"/>
      <c r="J395" s="18" t="n"/>
      <c r="K395" s="18" t="n"/>
      <c r="L395" s="18" t="n"/>
      <c r="M395" s="18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17" t="n"/>
      <c r="L396" s="17" t="n"/>
      <c r="M396" s="17" t="n"/>
    </row>
    <row r="397">
      <c r="A397" s="18" t="n"/>
      <c r="B397" s="18" t="n"/>
      <c r="C397" s="18" t="n"/>
      <c r="D397" s="18" t="n"/>
      <c r="E397" s="18" t="n"/>
      <c r="F397" s="18" t="n"/>
      <c r="G397" s="18" t="n"/>
      <c r="H397" s="18" t="n"/>
      <c r="I397" s="18" t="n"/>
      <c r="J397" s="18" t="n"/>
      <c r="K397" s="18" t="n"/>
      <c r="L397" s="18" t="n"/>
      <c r="M397" s="18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17" t="n"/>
      <c r="L398" s="17" t="n"/>
      <c r="M398" s="17" t="n"/>
    </row>
    <row r="399">
      <c r="A399" s="18" t="n"/>
      <c r="B399" s="18" t="n"/>
      <c r="C399" s="18" t="n"/>
      <c r="D399" s="18" t="n"/>
      <c r="E399" s="18" t="n"/>
      <c r="F399" s="18" t="n"/>
      <c r="G399" s="18" t="n"/>
      <c r="H399" s="18" t="n"/>
      <c r="I399" s="18" t="n"/>
      <c r="J399" s="18" t="n"/>
      <c r="K399" s="18" t="n"/>
      <c r="L399" s="18" t="n"/>
      <c r="M399" s="18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17" t="n"/>
      <c r="L400" s="17" t="n"/>
      <c r="M400" s="17" t="n"/>
    </row>
  </sheetData>
  <autoFilter ref="A1:M1"/>
  <conditionalFormatting sqref="E2:E400">
    <cfRule type="cellIs" priority="1" operator="equal" dxfId="0">
      <formula>"Blocker"</formula>
    </cfRule>
    <cfRule type="cellIs" priority="2" operator="equal" dxfId="1">
      <formula>"Major"</formula>
    </cfRule>
    <cfRule type="cellIs" priority="3" operator="equal" dxfId="2">
      <formula>"Minor"</formula>
    </cfRule>
    <cfRule type="cellIs" priority="4" operator="equal" dxfId="3">
      <formula>"Nit"</formula>
    </cfRule>
  </conditionalFormatting>
  <dataValidations count="3">
    <dataValidation sqref="E2:E400" showDropDown="0" showInputMessage="0" showErrorMessage="0" allowBlank="1" type="list">
      <formula1>"Blocker,Major,Minor,Nit"</formula1>
    </dataValidation>
    <dataValidation sqref="D2:D400" showDropDown="0" showInputMessage="0" showErrorMessage="0" allowBlank="1" type="list">
      <formula1>"Layout &amp; Spacing,Color &amp; Token,Typography,Components &amp; States,Content &amp; Iconography,Responsive &amp; A11y"</formula1>
    </dataValidation>
    <dataValidation sqref="J2:J400" showDropDown="0" showInputMessage="0" showErrorMessage="0" allowBlank="1" type="list">
      <formula1>"Open,In Progress,Fixed,Won't Fix,Verified"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46" customWidth="1" min="3" max="3"/>
    <col width="12" customWidth="1" min="4" max="4"/>
    <col width="10" customWidth="1" min="5" max="5"/>
    <col width="14" customWidth="1" min="6" max="6"/>
    <col width="11" customWidth="1" min="7" max="7"/>
    <col width="34" customWidth="1" min="8" max="8"/>
  </cols>
  <sheetData>
    <row r="1" ht="26" customHeight="1">
      <c r="A1" s="11" t="inlineStr">
        <is>
          <t>Screen</t>
        </is>
      </c>
      <c r="B1" s="11" t="inlineStr">
        <is>
          <t>Section</t>
        </is>
      </c>
      <c r="C1" s="11" t="inlineStr">
        <is>
          <t>Figma URL</t>
        </is>
      </c>
      <c r="D1" s="11" t="inlineStr">
        <is>
          <t>Has Design?</t>
        </is>
      </c>
      <c r="E1" s="11" t="inlineStr">
        <is>
          <t>Built?</t>
        </is>
      </c>
      <c r="F1" s="11" t="inlineStr">
        <is>
          <t>QC Status</t>
        </is>
      </c>
      <c r="G1" s="11" t="inlineStr">
        <is>
          <t># Findings</t>
        </is>
      </c>
      <c r="H1" s="11" t="inlineStr">
        <is>
          <t>Notes</t>
        </is>
      </c>
    </row>
    <row r="2">
      <c r="A2" s="16" t="inlineStr">
        <is>
          <t>Ministry / Dashboard</t>
        </is>
      </c>
      <c r="B2" s="16" t="inlineStr">
        <is>
          <t>Ministry</t>
        </is>
      </c>
      <c r="C2" s="16" t="inlineStr">
        <is>
          <t>https://www.figma.com/design/gH2vQ62cfg4677YKWuOpLc/MoSJE-Portal--Handoff-?node-id=4226-37114</t>
        </is>
      </c>
      <c r="D2" s="16" t="inlineStr">
        <is>
          <t>Yes</t>
        </is>
      </c>
      <c r="E2" s="16" t="inlineStr"/>
      <c r="F2" s="16" t="inlineStr">
        <is>
          <t>Not Started</t>
        </is>
      </c>
      <c r="G2" s="16">
        <f>COUNTIF('eUtthan Admin'!$B:$B,$A2)</f>
        <v/>
      </c>
      <c r="H2" s="16" t="inlineStr"/>
    </row>
    <row r="3">
      <c r="A3" s="16" t="inlineStr">
        <is>
          <t>Ministry / Manage Scheme</t>
        </is>
      </c>
      <c r="B3" s="16" t="inlineStr">
        <is>
          <t>Ministry</t>
        </is>
      </c>
      <c r="C3" s="16" t="inlineStr">
        <is>
          <t>https://www.figma.com/design/gH2vQ62cfg4677YKWuOpLc/MoSJE-Portal--Handoff-?node-id=4226-37360</t>
        </is>
      </c>
      <c r="D3" s="16" t="inlineStr">
        <is>
          <t>Yes</t>
        </is>
      </c>
      <c r="E3" s="16" t="inlineStr"/>
      <c r="F3" s="16" t="inlineStr">
        <is>
          <t>Not Started</t>
        </is>
      </c>
      <c r="G3" s="16">
        <f>COUNTIF('eUtthan Admin'!$B:$B,$A3)</f>
        <v/>
      </c>
      <c r="H3" s="16" t="inlineStr"/>
    </row>
    <row r="4">
      <c r="A4" s="16" t="inlineStr">
        <is>
          <t>Ministry / Manage Scheme (scrolled)</t>
        </is>
      </c>
      <c r="B4" s="16" t="inlineStr">
        <is>
          <t>Ministry</t>
        </is>
      </c>
      <c r="C4" s="16" t="inlineStr">
        <is>
          <t>https://www.figma.com/design/gH2vQ62cfg4677YKWuOpLc/MoSJE-Portal--Handoff-?node-id=4226-37568</t>
        </is>
      </c>
      <c r="D4" s="16" t="inlineStr">
        <is>
          <t>Yes</t>
        </is>
      </c>
      <c r="E4" s="16" t="inlineStr"/>
      <c r="F4" s="16" t="inlineStr">
        <is>
          <t>Not Started</t>
        </is>
      </c>
      <c r="G4" s="16">
        <f>COUNTIF('eUtthan Admin'!$B:$B,$A4)</f>
        <v/>
      </c>
      <c r="H4" s="16" t="inlineStr"/>
    </row>
    <row r="5">
      <c r="A5" s="16" t="inlineStr">
        <is>
          <t>Ministry / Add</t>
        </is>
      </c>
      <c r="B5" s="16" t="inlineStr">
        <is>
          <t>Ministry</t>
        </is>
      </c>
      <c r="C5" s="16" t="inlineStr">
        <is>
          <t>https://www.figma.com/design/gH2vQ62cfg4677YKWuOpLc/MoSJE-Portal--Handoff-?node-id=4226-38254</t>
        </is>
      </c>
      <c r="D5" s="16" t="inlineStr">
        <is>
          <t>Yes</t>
        </is>
      </c>
      <c r="E5" s="16" t="inlineStr"/>
      <c r="F5" s="16" t="inlineStr">
        <is>
          <t>Not Started</t>
        </is>
      </c>
      <c r="G5" s="16">
        <f>COUNTIF('eUtthan Admin'!$B:$B,$A5)</f>
        <v/>
      </c>
      <c r="H5" s="16" t="inlineStr"/>
    </row>
    <row r="6">
      <c r="A6" s="16" t="inlineStr">
        <is>
          <t>Ministry / Physical Progress Data</t>
        </is>
      </c>
      <c r="B6" s="16" t="inlineStr">
        <is>
          <t>Ministry</t>
        </is>
      </c>
      <c r="C6" s="16" t="inlineStr">
        <is>
          <t>https://www.figma.com/design/gH2vQ62cfg4677YKWuOpLc/MoSJE-Portal--Handoff-?node-id=4226-38368</t>
        </is>
      </c>
      <c r="D6" s="16" t="inlineStr">
        <is>
          <t>Yes</t>
        </is>
      </c>
      <c r="E6" s="16" t="inlineStr"/>
      <c r="F6" s="16" t="inlineStr">
        <is>
          <t>Not Started</t>
        </is>
      </c>
      <c r="G6" s="16">
        <f>COUNTIF('eUtthan Admin'!$B:$B,$A6)</f>
        <v/>
      </c>
      <c r="H6" s="16" t="inlineStr"/>
    </row>
    <row r="7">
      <c r="A7" s="16" t="inlineStr">
        <is>
          <t>Ministry / Manage Scheme (scrolled)</t>
        </is>
      </c>
      <c r="B7" s="16" t="inlineStr">
        <is>
          <t>Ministry</t>
        </is>
      </c>
      <c r="C7" s="16" t="inlineStr">
        <is>
          <t>https://www.figma.com/design/gH2vQ62cfg4677YKWuOpLc/MoSJE-Portal--Handoff-?node-id=4226-37796</t>
        </is>
      </c>
      <c r="D7" s="16" t="inlineStr">
        <is>
          <t>Yes</t>
        </is>
      </c>
      <c r="E7" s="16" t="inlineStr"/>
      <c r="F7" s="16" t="inlineStr">
        <is>
          <t>Not Started</t>
        </is>
      </c>
      <c r="G7" s="16">
        <f>COUNTIF('eUtthan Admin'!$B:$B,$A7)</f>
        <v/>
      </c>
      <c r="H7" s="16" t="inlineStr"/>
    </row>
    <row r="8">
      <c r="A8" s="16" t="inlineStr">
        <is>
          <t>Ministry / Manage Scheme (scrolled)</t>
        </is>
      </c>
      <c r="B8" s="16" t="inlineStr">
        <is>
          <t>Ministry</t>
        </is>
      </c>
      <c r="C8" s="16" t="inlineStr">
        <is>
          <t>https://www.figma.com/design/gH2vQ62cfg4677YKWuOpLc/MoSJE-Portal--Handoff-?node-id=4226-38041</t>
        </is>
      </c>
      <c r="D8" s="16" t="inlineStr">
        <is>
          <t>Yes</t>
        </is>
      </c>
      <c r="E8" s="16" t="inlineStr"/>
      <c r="F8" s="16" t="inlineStr">
        <is>
          <t>Not Started</t>
        </is>
      </c>
      <c r="G8" s="16">
        <f>COUNTIF('eUtthan Admin'!$B:$B,$A8)</f>
        <v/>
      </c>
      <c r="H8" s="16" t="inlineStr"/>
    </row>
    <row r="9">
      <c r="A9" s="16" t="inlineStr">
        <is>
          <t>Ministry / Physical Progress Data / Add</t>
        </is>
      </c>
      <c r="B9" s="16" t="inlineStr">
        <is>
          <t>Ministry</t>
        </is>
      </c>
      <c r="C9" s="16" t="inlineStr">
        <is>
          <t>https://www.figma.com/design/gH2vQ62cfg4677YKWuOpLc/MoSJE-Portal--Handoff-?node-id=4226-39568</t>
        </is>
      </c>
      <c r="D9" s="16" t="inlineStr">
        <is>
          <t>Yes</t>
        </is>
      </c>
      <c r="E9" s="16" t="inlineStr"/>
      <c r="F9" s="16" t="inlineStr">
        <is>
          <t>Not Started</t>
        </is>
      </c>
      <c r="G9" s="16">
        <f>COUNTIF('eUtthan Admin'!$B:$B,$A9)</f>
        <v/>
      </c>
      <c r="H9" s="16" t="inlineStr"/>
    </row>
    <row r="10">
      <c r="A10" s="16" t="inlineStr">
        <is>
          <t>Ministry / Physical Progress Data / Import Excel</t>
        </is>
      </c>
      <c r="B10" s="16" t="inlineStr">
        <is>
          <t>Ministry</t>
        </is>
      </c>
      <c r="C10" s="16" t="inlineStr">
        <is>
          <t>https://www.figma.com/design/gH2vQ62cfg4677YKWuOpLc/MoSJE-Portal--Handoff-?node-id=4226-39128</t>
        </is>
      </c>
      <c r="D10" s="16" t="inlineStr">
        <is>
          <t>Yes</t>
        </is>
      </c>
      <c r="E10" s="16" t="inlineStr"/>
      <c r="F10" s="16" t="inlineStr">
        <is>
          <t>Not Started</t>
        </is>
      </c>
      <c r="G10" s="16">
        <f>COUNTIF('eUtthan Admin'!$B:$B,$A10)</f>
        <v/>
      </c>
      <c r="H10" s="16" t="inlineStr"/>
    </row>
    <row r="11">
      <c r="A11" s="16" t="inlineStr">
        <is>
          <t>Ministry / Physical Progress Data / Import Excel (uploaded)</t>
        </is>
      </c>
      <c r="B11" s="16" t="inlineStr">
        <is>
          <t>Ministry</t>
        </is>
      </c>
      <c r="C11" s="16" t="inlineStr">
        <is>
          <t>https://www.figma.com/design/gH2vQ62cfg4677YKWuOpLc/MoSJE-Portal--Handoff-?node-id=4226-39348</t>
        </is>
      </c>
      <c r="D11" s="16" t="inlineStr">
        <is>
          <t>Yes</t>
        </is>
      </c>
      <c r="E11" s="16" t="inlineStr"/>
      <c r="F11" s="16" t="inlineStr">
        <is>
          <t>Not Started</t>
        </is>
      </c>
      <c r="G11" s="16">
        <f>COUNTIF('eUtthan Admin'!$B:$B,$A11)</f>
        <v/>
      </c>
      <c r="H11" s="16" t="inlineStr"/>
    </row>
    <row r="12">
      <c r="A12" s="16" t="inlineStr">
        <is>
          <t>Ministry / Manage Outcome</t>
        </is>
      </c>
      <c r="B12" s="16" t="inlineStr">
        <is>
          <t>Ministry</t>
        </is>
      </c>
      <c r="C12" s="16" t="inlineStr">
        <is>
          <t>https://www.figma.com/design/gH2vQ62cfg4677YKWuOpLc/MoSJE-Portal--Handoff-?node-id=4226-38577</t>
        </is>
      </c>
      <c r="D12" s="16" t="inlineStr">
        <is>
          <t>Yes</t>
        </is>
      </c>
      <c r="E12" s="16" t="inlineStr"/>
      <c r="F12" s="16" t="inlineStr">
        <is>
          <t>Not Started</t>
        </is>
      </c>
      <c r="G12" s="16">
        <f>COUNTIF('eUtthan Admin'!$B:$B,$A12)</f>
        <v/>
      </c>
      <c r="H12" s="16" t="inlineStr"/>
    </row>
    <row r="13">
      <c r="A13" s="16" t="inlineStr">
        <is>
          <t>Ministry / Manage Outcome</t>
        </is>
      </c>
      <c r="B13" s="16" t="inlineStr">
        <is>
          <t>Ministry</t>
        </is>
      </c>
      <c r="C13" s="16" t="inlineStr">
        <is>
          <t>https://www.figma.com/design/gH2vQ62cfg4677YKWuOpLc/MoSJE-Portal--Handoff-?node-id=4226-38785</t>
        </is>
      </c>
      <c r="D13" s="16" t="inlineStr">
        <is>
          <t>Yes</t>
        </is>
      </c>
      <c r="E13" s="16" t="inlineStr"/>
      <c r="F13" s="16" t="inlineStr">
        <is>
          <t>Not Started</t>
        </is>
      </c>
      <c r="G13" s="16">
        <f>COUNTIF('eUtthan Admin'!$B:$B,$A13)</f>
        <v/>
      </c>
      <c r="H13" s="16" t="inlineStr"/>
    </row>
    <row r="14">
      <c r="A14" s="16" t="inlineStr">
        <is>
          <t>Ministry / Manage Outcome / Add</t>
        </is>
      </c>
      <c r="B14" s="16" t="inlineStr">
        <is>
          <t>Ministry</t>
        </is>
      </c>
      <c r="C14" s="16" t="inlineStr">
        <is>
          <t>https://www.figma.com/design/gH2vQ62cfg4677YKWuOpLc/MoSJE-Portal--Handoff-?node-id=4226-39013</t>
        </is>
      </c>
      <c r="D14" s="16" t="inlineStr">
        <is>
          <t>Yes</t>
        </is>
      </c>
      <c r="E14" s="16" t="inlineStr"/>
      <c r="F14" s="16" t="inlineStr">
        <is>
          <t>Not Started</t>
        </is>
      </c>
      <c r="G14" s="16">
        <f>COUNTIF('eUtthan Admin'!$B:$B,$A14)</f>
        <v/>
      </c>
      <c r="H14" s="16" t="inlineStr"/>
    </row>
    <row r="15">
      <c r="A15" s="16" t="inlineStr">
        <is>
          <t>Admin / Dashboard</t>
        </is>
      </c>
      <c r="B15" s="16" t="inlineStr">
        <is>
          <t>Admin</t>
        </is>
      </c>
      <c r="C15" s="16" t="inlineStr">
        <is>
          <t>https://www.figma.com/design/gH2vQ62cfg4677YKWuOpLc/MoSJE-Portal--Handoff-?node-id=4226-39685</t>
        </is>
      </c>
      <c r="D15" s="16" t="inlineStr">
        <is>
          <t>Yes</t>
        </is>
      </c>
      <c r="E15" s="16" t="inlineStr">
        <is>
          <t>Yes</t>
        </is>
      </c>
      <c r="F15" s="16" t="inlineStr">
        <is>
          <t>Done</t>
        </is>
      </c>
      <c r="G15" s="16">
        <f>COUNTIF('eUtthan Admin'!$B:$B,$A15)</f>
        <v/>
      </c>
      <c r="H15" s="16" t="inlineStr">
        <is>
          <t>Calibration — pipeline validated.</t>
        </is>
      </c>
    </row>
    <row r="16">
      <c r="A16" s="16" t="inlineStr">
        <is>
          <t>Admin / Financial Year</t>
        </is>
      </c>
      <c r="B16" s="16" t="inlineStr">
        <is>
          <t>Admin</t>
        </is>
      </c>
      <c r="C16" s="16" t="inlineStr">
        <is>
          <t>https://www.figma.com/design/gH2vQ62cfg4677YKWuOpLc/MoSJE-Portal--Handoff-?node-id=4226-40009</t>
        </is>
      </c>
      <c r="D16" s="16" t="inlineStr">
        <is>
          <t>Yes</t>
        </is>
      </c>
      <c r="E16" s="16" t="inlineStr"/>
      <c r="F16" s="16" t="inlineStr">
        <is>
          <t>Not Started</t>
        </is>
      </c>
      <c r="G16" s="16">
        <f>COUNTIF('eUtthan Admin'!$B:$B,$A16)</f>
        <v/>
      </c>
      <c r="H16" s="16" t="inlineStr"/>
    </row>
    <row r="17">
      <c r="A17" s="16" t="inlineStr">
        <is>
          <t>Admin / Financial Year / Add</t>
        </is>
      </c>
      <c r="B17" s="16" t="inlineStr">
        <is>
          <t>Admin</t>
        </is>
      </c>
      <c r="C17" s="16" t="inlineStr">
        <is>
          <t>https://www.figma.com/design/gH2vQ62cfg4677YKWuOpLc/MoSJE-Portal--Handoff-?node-id=4226-43777</t>
        </is>
      </c>
      <c r="D17" s="16" t="inlineStr">
        <is>
          <t>Yes</t>
        </is>
      </c>
      <c r="E17" s="16" t="inlineStr"/>
      <c r="F17" s="16" t="inlineStr">
        <is>
          <t>Not Started</t>
        </is>
      </c>
      <c r="G17" s="16">
        <f>COUNTIF('eUtthan Admin'!$B:$B,$A17)</f>
        <v/>
      </c>
      <c r="H17" s="16" t="inlineStr"/>
    </row>
    <row r="18">
      <c r="A18" s="16" t="inlineStr">
        <is>
          <t>Admin / Financial Year</t>
        </is>
      </c>
      <c r="B18" s="16" t="inlineStr">
        <is>
          <t>Admin</t>
        </is>
      </c>
      <c r="C18" s="16" t="inlineStr">
        <is>
          <t>https://www.figma.com/design/gH2vQ62cfg4677YKWuOpLc/MoSJE-Portal--Handoff-?node-id=4226-40148</t>
        </is>
      </c>
      <c r="D18" s="16" t="inlineStr">
        <is>
          <t>Yes</t>
        </is>
      </c>
      <c r="E18" s="16" t="inlineStr"/>
      <c r="F18" s="16" t="inlineStr">
        <is>
          <t>Not Started</t>
        </is>
      </c>
      <c r="G18" s="16">
        <f>COUNTIF('eUtthan Admin'!$B:$B,$A18)</f>
        <v/>
      </c>
      <c r="H18" s="16" t="inlineStr"/>
    </row>
    <row r="19">
      <c r="A19" s="16" t="inlineStr">
        <is>
          <t>Admin / Financial Year / Edit</t>
        </is>
      </c>
      <c r="B19" s="16" t="inlineStr">
        <is>
          <t>Admin</t>
        </is>
      </c>
      <c r="C19" s="16" t="inlineStr">
        <is>
          <t>https://www.figma.com/design/gH2vQ62cfg4677YKWuOpLc/MoSJE-Portal--Handoff-?node-id=4226-44550</t>
        </is>
      </c>
      <c r="D19" s="16" t="inlineStr">
        <is>
          <t>Yes</t>
        </is>
      </c>
      <c r="E19" s="16" t="inlineStr"/>
      <c r="F19" s="16" t="inlineStr">
        <is>
          <t>Not Started</t>
        </is>
      </c>
      <c r="G19" s="16">
        <f>COUNTIF('eUtthan Admin'!$B:$B,$A19)</f>
        <v/>
      </c>
      <c r="H19" s="16" t="inlineStr"/>
    </row>
    <row r="20">
      <c r="A20" s="16" t="inlineStr">
        <is>
          <t>Admin / Manage Ministry</t>
        </is>
      </c>
      <c r="B20" s="16" t="inlineStr">
        <is>
          <t>Admin</t>
        </is>
      </c>
      <c r="C20" s="16" t="inlineStr">
        <is>
          <t>https://www.figma.com/design/gH2vQ62cfg4677YKWuOpLc/MoSJE-Portal--Handoff-?node-id=4226-40288</t>
        </is>
      </c>
      <c r="D20" s="16" t="inlineStr">
        <is>
          <t>Yes</t>
        </is>
      </c>
      <c r="E20" s="16" t="inlineStr"/>
      <c r="F20" s="16" t="inlineStr">
        <is>
          <t>Not Started</t>
        </is>
      </c>
      <c r="G20" s="16">
        <f>COUNTIF('eUtthan Admin'!$B:$B,$A20)</f>
        <v/>
      </c>
      <c r="H20" s="16" t="inlineStr"/>
    </row>
    <row r="21">
      <c r="A21" s="16" t="inlineStr">
        <is>
          <t>Admin / Manage Ministry / Add</t>
        </is>
      </c>
      <c r="B21" s="16" t="inlineStr">
        <is>
          <t>Admin</t>
        </is>
      </c>
      <c r="C21" s="16" t="inlineStr">
        <is>
          <t>https://www.figma.com/design/gH2vQ62cfg4677YKWuOpLc/MoSJE-Portal--Handoff-?node-id=4226-43881</t>
        </is>
      </c>
      <c r="D21" s="16" t="inlineStr">
        <is>
          <t>Yes</t>
        </is>
      </c>
      <c r="E21" s="16" t="inlineStr"/>
      <c r="F21" s="16" t="inlineStr">
        <is>
          <t>Not Started</t>
        </is>
      </c>
      <c r="G21" s="16">
        <f>COUNTIF('eUtthan Admin'!$B:$B,$A21)</f>
        <v/>
      </c>
      <c r="H21" s="16" t="inlineStr"/>
    </row>
    <row r="22">
      <c r="A22" s="16" t="inlineStr">
        <is>
          <t>Admin / Manage Scheme</t>
        </is>
      </c>
      <c r="B22" s="16" t="inlineStr">
        <is>
          <t>Admin</t>
        </is>
      </c>
      <c r="C22" s="16" t="inlineStr">
        <is>
          <t>https://www.figma.com/design/gH2vQ62cfg4677YKWuOpLc/MoSJE-Portal--Handoff-?node-id=4226-40449</t>
        </is>
      </c>
      <c r="D22" s="16" t="inlineStr">
        <is>
          <t>Yes</t>
        </is>
      </c>
      <c r="E22" s="16" t="inlineStr"/>
      <c r="F22" s="16" t="inlineStr">
        <is>
          <t>Not Started</t>
        </is>
      </c>
      <c r="G22" s="16">
        <f>COUNTIF('eUtthan Admin'!$B:$B,$A22)</f>
        <v/>
      </c>
      <c r="H22" s="16" t="inlineStr"/>
    </row>
    <row r="23">
      <c r="A23" s="16" t="inlineStr">
        <is>
          <t>Admin / Manage Scheme (scrolled)</t>
        </is>
      </c>
      <c r="B23" s="16" t="inlineStr">
        <is>
          <t>Admin</t>
        </is>
      </c>
      <c r="C23" s="16" t="inlineStr">
        <is>
          <t>https://www.figma.com/design/gH2vQ62cfg4677YKWuOpLc/MoSJE-Portal--Handoff-?node-id=4226-43077</t>
        </is>
      </c>
      <c r="D23" s="16" t="inlineStr">
        <is>
          <t>Yes</t>
        </is>
      </c>
      <c r="E23" s="16" t="inlineStr"/>
      <c r="F23" s="16" t="inlineStr">
        <is>
          <t>Not Started</t>
        </is>
      </c>
      <c r="G23" s="16">
        <f>COUNTIF('eUtthan Admin'!$B:$B,$A23)</f>
        <v/>
      </c>
      <c r="H23" s="16" t="inlineStr"/>
    </row>
    <row r="24">
      <c r="A24" s="16" t="inlineStr">
        <is>
          <t>Admin / Manage Scheme / Add</t>
        </is>
      </c>
      <c r="B24" s="16" t="inlineStr">
        <is>
          <t>Admin</t>
        </is>
      </c>
      <c r="C24" s="16" t="inlineStr">
        <is>
          <t>https://www.figma.com/design/gH2vQ62cfg4677YKWuOpLc/MoSJE-Portal--Handoff-?node-id=4226-43990</t>
        </is>
      </c>
      <c r="D24" s="16" t="inlineStr">
        <is>
          <t>Yes</t>
        </is>
      </c>
      <c r="E24" s="16" t="inlineStr"/>
      <c r="F24" s="16" t="inlineStr">
        <is>
          <t>Not Started</t>
        </is>
      </c>
      <c r="G24" s="16">
        <f>COUNTIF('eUtthan Admin'!$B:$B,$A24)</f>
        <v/>
      </c>
      <c r="H24" s="16" t="inlineStr"/>
    </row>
    <row r="25">
      <c r="A25" s="16" t="inlineStr">
        <is>
          <t>Admin / Manage Outcome</t>
        </is>
      </c>
      <c r="B25" s="16" t="inlineStr">
        <is>
          <t>Admin</t>
        </is>
      </c>
      <c r="C25" s="16" t="inlineStr">
        <is>
          <t>https://www.figma.com/design/gH2vQ62cfg4677YKWuOpLc/MoSJE-Portal--Handoff-?node-id=4226-40657</t>
        </is>
      </c>
      <c r="D25" s="16" t="inlineStr">
        <is>
          <t>Yes</t>
        </is>
      </c>
      <c r="E25" s="16" t="inlineStr"/>
      <c r="F25" s="16" t="inlineStr">
        <is>
          <t>Not Started</t>
        </is>
      </c>
      <c r="G25" s="16">
        <f>COUNTIF('eUtthan Admin'!$B:$B,$A25)</f>
        <v/>
      </c>
      <c r="H25" s="16" t="inlineStr"/>
    </row>
    <row r="26">
      <c r="A26" s="16" t="inlineStr">
        <is>
          <t>Admin / Manage Outcome (scrolled)</t>
        </is>
      </c>
      <c r="B26" s="16" t="inlineStr">
        <is>
          <t>Admin</t>
        </is>
      </c>
      <c r="C26" s="16" t="inlineStr">
        <is>
          <t>https://www.figma.com/design/gH2vQ62cfg4677YKWuOpLc/MoSJE-Portal--Handoff-?node-id=4226-43305</t>
        </is>
      </c>
      <c r="D26" s="16" t="inlineStr">
        <is>
          <t>Yes</t>
        </is>
      </c>
      <c r="E26" s="16" t="inlineStr"/>
      <c r="F26" s="16" t="inlineStr">
        <is>
          <t>Not Started</t>
        </is>
      </c>
      <c r="G26" s="16">
        <f>COUNTIF('eUtthan Admin'!$B:$B,$A26)</f>
        <v/>
      </c>
      <c r="H26" s="16" t="inlineStr"/>
    </row>
    <row r="27">
      <c r="A27" s="16" t="inlineStr">
        <is>
          <t>Admin / Manage Outcome / Add</t>
        </is>
      </c>
      <c r="B27" s="16" t="inlineStr">
        <is>
          <t>Admin</t>
        </is>
      </c>
      <c r="C27" s="16" t="inlineStr">
        <is>
          <t>https://www.figma.com/design/gH2vQ62cfg4677YKWuOpLc/MoSJE-Portal--Handoff-?node-id=4226-44105</t>
        </is>
      </c>
      <c r="D27" s="16" t="inlineStr">
        <is>
          <t>Yes</t>
        </is>
      </c>
      <c r="E27" s="16" t="inlineStr"/>
      <c r="F27" s="16" t="inlineStr">
        <is>
          <t>Not Started</t>
        </is>
      </c>
      <c r="G27" s="16">
        <f>COUNTIF('eUtthan Admin'!$B:$B,$A27)</f>
        <v/>
      </c>
      <c r="H27" s="16" t="inlineStr"/>
    </row>
    <row r="28">
      <c r="A28" s="16" t="inlineStr">
        <is>
          <t>Admin / Documents</t>
        </is>
      </c>
      <c r="B28" s="16" t="inlineStr">
        <is>
          <t>Admin</t>
        </is>
      </c>
      <c r="C28" s="16" t="inlineStr">
        <is>
          <t>https://www.figma.com/design/gH2vQ62cfg4677YKWuOpLc/MoSJE-Portal--Handoff-?node-id=4226-42902</t>
        </is>
      </c>
      <c r="D28" s="16" t="inlineStr">
        <is>
          <t>Yes</t>
        </is>
      </c>
      <c r="E28" s="16" t="inlineStr"/>
      <c r="F28" s="16" t="inlineStr">
        <is>
          <t>Not Started</t>
        </is>
      </c>
      <c r="G28" s="16">
        <f>COUNTIF('eUtthan Admin'!$B:$B,$A28)</f>
        <v/>
      </c>
      <c r="H28" s="16" t="inlineStr"/>
    </row>
    <row r="29">
      <c r="A29" s="16" t="inlineStr">
        <is>
          <t>Admin / Documents / Add</t>
        </is>
      </c>
      <c r="B29" s="16" t="inlineStr">
        <is>
          <t>Admin</t>
        </is>
      </c>
      <c r="C29" s="16" t="inlineStr">
        <is>
          <t>https://www.figma.com/design/gH2vQ62cfg4677YKWuOpLc/MoSJE-Portal--Handoff-?node-id=4226-44221</t>
        </is>
      </c>
      <c r="D29" s="16" t="inlineStr">
        <is>
          <t>Yes</t>
        </is>
      </c>
      <c r="E29" s="16" t="inlineStr"/>
      <c r="F29" s="16" t="inlineStr">
        <is>
          <t>Not Started</t>
        </is>
      </c>
      <c r="G29" s="16">
        <f>COUNTIF('eUtthan Admin'!$B:$B,$A29)</f>
        <v/>
      </c>
      <c r="H29" s="16" t="inlineStr"/>
    </row>
    <row r="30">
      <c r="A30" s="16" t="inlineStr">
        <is>
          <t>Admin / Documents / Add</t>
        </is>
      </c>
      <c r="B30" s="16" t="inlineStr">
        <is>
          <t>Admin</t>
        </is>
      </c>
      <c r="C30" s="16" t="inlineStr">
        <is>
          <t>https://www.figma.com/design/gH2vQ62cfg4677YKWuOpLc/MoSJE-Portal--Handoff-?node-id=4226-44329</t>
        </is>
      </c>
      <c r="D30" s="16" t="inlineStr">
        <is>
          <t>Yes</t>
        </is>
      </c>
      <c r="E30" s="16" t="inlineStr"/>
      <c r="F30" s="16" t="inlineStr">
        <is>
          <t>Not Started</t>
        </is>
      </c>
      <c r="G30" s="16">
        <f>COUNTIF('eUtthan Admin'!$B:$B,$A30)</f>
        <v/>
      </c>
      <c r="H30" s="16" t="inlineStr"/>
    </row>
    <row r="31">
      <c r="A31" s="16" t="inlineStr">
        <is>
          <t>Admin / Map Ministry / Mapped</t>
        </is>
      </c>
      <c r="B31" s="16" t="inlineStr">
        <is>
          <t>Admin</t>
        </is>
      </c>
      <c r="C31" s="16" t="inlineStr">
        <is>
          <t>https://www.figma.com/design/gH2vQ62cfg4677YKWuOpLc/MoSJE-Portal--Handoff-?node-id=4226-41073</t>
        </is>
      </c>
      <c r="D31" s="16" t="inlineStr">
        <is>
          <t>Yes</t>
        </is>
      </c>
      <c r="E31" s="16" t="inlineStr"/>
      <c r="F31" s="16" t="inlineStr">
        <is>
          <t>Not Started</t>
        </is>
      </c>
      <c r="G31" s="16">
        <f>COUNTIF('eUtthan Admin'!$B:$B,$A31)</f>
        <v/>
      </c>
      <c r="H31" s="16" t="inlineStr"/>
    </row>
    <row r="32">
      <c r="A32" s="16" t="inlineStr">
        <is>
          <t>Admin / Map Ministry / Unmapped</t>
        </is>
      </c>
      <c r="B32" s="16" t="inlineStr">
        <is>
          <t>Admin</t>
        </is>
      </c>
      <c r="C32" s="16" t="inlineStr">
        <is>
          <t>https://www.figma.com/design/gH2vQ62cfg4677YKWuOpLc/MoSJE-Portal--Handoff-?node-id=4226-41283</t>
        </is>
      </c>
      <c r="D32" s="16" t="inlineStr">
        <is>
          <t>Yes</t>
        </is>
      </c>
      <c r="E32" s="16" t="inlineStr"/>
      <c r="F32" s="16" t="inlineStr">
        <is>
          <t>Not Started</t>
        </is>
      </c>
      <c r="G32" s="16">
        <f>COUNTIF('eUtthan Admin'!$B:$B,$A32)</f>
        <v/>
      </c>
      <c r="H32" s="16" t="inlineStr"/>
    </row>
    <row r="33">
      <c r="A33" s="16" t="inlineStr">
        <is>
          <t>Admin / Map Schemes / Map</t>
        </is>
      </c>
      <c r="B33" s="16" t="inlineStr">
        <is>
          <t>Admin</t>
        </is>
      </c>
      <c r="C33" s="16" t="inlineStr">
        <is>
          <t>https://www.figma.com/design/gH2vQ62cfg4677YKWuOpLc/MoSJE-Portal--Handoff-?node-id=4226-42430</t>
        </is>
      </c>
      <c r="D33" s="16" t="inlineStr">
        <is>
          <t>Yes</t>
        </is>
      </c>
      <c r="E33" s="16" t="inlineStr"/>
      <c r="F33" s="16" t="inlineStr">
        <is>
          <t>Not Started</t>
        </is>
      </c>
      <c r="G33" s="16">
        <f>COUNTIF('eUtthan Admin'!$B:$B,$A33)</f>
        <v/>
      </c>
      <c r="H33" s="16" t="inlineStr"/>
    </row>
    <row r="34">
      <c r="A34" s="16" t="inlineStr">
        <is>
          <t>Admin / Map Schemes / Mapped</t>
        </is>
      </c>
      <c r="B34" s="16" t="inlineStr">
        <is>
          <t>Admin</t>
        </is>
      </c>
      <c r="C34" s="16" t="inlineStr">
        <is>
          <t>https://www.figma.com/design/gH2vQ62cfg4677YKWuOpLc/MoSJE-Portal--Handoff-?node-id=4226-41490</t>
        </is>
      </c>
      <c r="D34" s="16" t="inlineStr">
        <is>
          <t>Yes</t>
        </is>
      </c>
      <c r="E34" s="16" t="inlineStr"/>
      <c r="F34" s="16" t="inlineStr">
        <is>
          <t>Not Started</t>
        </is>
      </c>
      <c r="G34" s="16">
        <f>COUNTIF('eUtthan Admin'!$B:$B,$A34)</f>
        <v/>
      </c>
      <c r="H34" s="16" t="inlineStr"/>
    </row>
    <row r="35">
      <c r="A35" s="16" t="inlineStr">
        <is>
          <t>Admin / Map Schemes / Mapped</t>
        </is>
      </c>
      <c r="B35" s="16" t="inlineStr">
        <is>
          <t>Admin</t>
        </is>
      </c>
      <c r="C35" s="16" t="inlineStr">
        <is>
          <t>https://www.figma.com/design/gH2vQ62cfg4677YKWuOpLc/MoSJE-Portal--Handoff-?node-id=4226-41730</t>
        </is>
      </c>
      <c r="D35" s="16" t="inlineStr">
        <is>
          <t>Yes</t>
        </is>
      </c>
      <c r="E35" s="16" t="inlineStr"/>
      <c r="F35" s="16" t="inlineStr">
        <is>
          <t>Not Started</t>
        </is>
      </c>
      <c r="G35" s="16">
        <f>COUNTIF('eUtthan Admin'!$B:$B,$A35)</f>
        <v/>
      </c>
      <c r="H35" s="16" t="inlineStr"/>
    </row>
    <row r="36">
      <c r="A36" s="16" t="inlineStr">
        <is>
          <t>Admin / Map Schemes / Map</t>
        </is>
      </c>
      <c r="B36" s="16" t="inlineStr">
        <is>
          <t>Admin</t>
        </is>
      </c>
      <c r="C36" s="16" t="inlineStr">
        <is>
          <t>https://www.figma.com/design/gH2vQ62cfg4677YKWuOpLc/MoSJE-Portal--Handoff-?node-id=4226-42650</t>
        </is>
      </c>
      <c r="D36" s="16" t="inlineStr">
        <is>
          <t>Yes</t>
        </is>
      </c>
      <c r="E36" s="16" t="inlineStr"/>
      <c r="F36" s="16" t="inlineStr">
        <is>
          <t>Not Started</t>
        </is>
      </c>
      <c r="G36" s="16">
        <f>COUNTIF('eUtthan Admin'!$B:$B,$A36)</f>
        <v/>
      </c>
      <c r="H36" s="16" t="inlineStr"/>
    </row>
    <row r="37">
      <c r="A37" s="16" t="inlineStr">
        <is>
          <t>Admin / Map Schemes / Mapped</t>
        </is>
      </c>
      <c r="B37" s="16" t="inlineStr">
        <is>
          <t>Admin</t>
        </is>
      </c>
      <c r="C37" s="16" t="inlineStr">
        <is>
          <t>https://www.figma.com/design/gH2vQ62cfg4677YKWuOpLc/MoSJE-Portal--Handoff-?node-id=4226-41970</t>
        </is>
      </c>
      <c r="D37" s="16" t="inlineStr">
        <is>
          <t>Yes</t>
        </is>
      </c>
      <c r="E37" s="16" t="inlineStr"/>
      <c r="F37" s="16" t="inlineStr">
        <is>
          <t>Not Started</t>
        </is>
      </c>
      <c r="G37" s="16">
        <f>COUNTIF('eUtthan Admin'!$B:$B,$A37)</f>
        <v/>
      </c>
      <c r="H37" s="16" t="inlineStr"/>
    </row>
    <row r="38">
      <c r="A38" s="16" t="inlineStr">
        <is>
          <t>Admin / Map Schemes / Unmap</t>
        </is>
      </c>
      <c r="B38" s="16" t="inlineStr">
        <is>
          <t>Admin</t>
        </is>
      </c>
      <c r="C38" s="16" t="inlineStr">
        <is>
          <t>https://www.figma.com/design/gH2vQ62cfg4677YKWuOpLc/MoSJE-Portal--Handoff-?node-id=4226-42210</t>
        </is>
      </c>
      <c r="D38" s="16" t="inlineStr">
        <is>
          <t>Yes</t>
        </is>
      </c>
      <c r="E38" s="16" t="inlineStr"/>
      <c r="F38" s="16" t="inlineStr">
        <is>
          <t>Not Started</t>
        </is>
      </c>
      <c r="G38" s="16">
        <f>COUNTIF('eUtthan Admin'!$B:$B,$A38)</f>
        <v/>
      </c>
      <c r="H38" s="16" t="inlineStr"/>
    </row>
    <row r="39">
      <c r="A39" s="16" t="inlineStr">
        <is>
          <t>Admin / Manage User</t>
        </is>
      </c>
      <c r="B39" s="16" t="inlineStr">
        <is>
          <t>Admin</t>
        </is>
      </c>
      <c r="C39" s="16" t="inlineStr">
        <is>
          <t>https://www.figma.com/design/gH2vQ62cfg4677YKWuOpLc/MoSJE-Portal--Handoff-?node-id=4226-40865</t>
        </is>
      </c>
      <c r="D39" s="16" t="inlineStr">
        <is>
          <t>Yes</t>
        </is>
      </c>
      <c r="E39" s="16" t="inlineStr"/>
      <c r="F39" s="16" t="inlineStr">
        <is>
          <t>Not Started</t>
        </is>
      </c>
      <c r="G39" s="16">
        <f>COUNTIF('eUtthan Admin'!$B:$B,$A39)</f>
        <v/>
      </c>
      <c r="H39" s="16" t="inlineStr"/>
    </row>
    <row r="40">
      <c r="A40" s="16" t="inlineStr">
        <is>
          <t>Admin / Manage User</t>
        </is>
      </c>
      <c r="B40" s="16" t="inlineStr">
        <is>
          <t>Admin</t>
        </is>
      </c>
      <c r="C40" s="16" t="inlineStr">
        <is>
          <t>https://www.figma.com/design/gH2vQ62cfg4677YKWuOpLc/MoSJE-Portal--Handoff-?node-id=4226-43533</t>
        </is>
      </c>
      <c r="D40" s="16" t="inlineStr">
        <is>
          <t>Yes</t>
        </is>
      </c>
      <c r="E40" s="16" t="inlineStr"/>
      <c r="F40" s="16" t="inlineStr">
        <is>
          <t>Not Started</t>
        </is>
      </c>
      <c r="G40" s="16">
        <f>COUNTIF('eUtthan Admin'!$B:$B,$A40)</f>
        <v/>
      </c>
      <c r="H40" s="16" t="inlineStr"/>
    </row>
    <row r="41">
      <c r="A41" s="16" t="inlineStr">
        <is>
          <t>Admin / Manage User / Add User</t>
        </is>
      </c>
      <c r="B41" s="16" t="inlineStr">
        <is>
          <t>Admin</t>
        </is>
      </c>
      <c r="C41" s="16" t="inlineStr">
        <is>
          <t>https://www.figma.com/design/gH2vQ62cfg4677YKWuOpLc/MoSJE-Portal--Handoff-?node-id=4226-44437</t>
        </is>
      </c>
      <c r="D41" s="16" t="inlineStr">
        <is>
          <t>Yes</t>
        </is>
      </c>
      <c r="E41" s="16" t="inlineStr"/>
      <c r="F41" s="16" t="inlineStr">
        <is>
          <t>Not Started</t>
        </is>
      </c>
      <c r="G41" s="16">
        <f>COUNTIF('eUtthan Admin'!$B:$B,$A41)</f>
        <v/>
      </c>
      <c r="H41" s="16" t="inlineStr"/>
    </row>
    <row r="42">
      <c r="A42" s="16" t="inlineStr">
        <is>
          <t>Login</t>
        </is>
      </c>
      <c r="B42" s="16" t="inlineStr">
        <is>
          <t>Admin</t>
        </is>
      </c>
      <c r="C42" s="16" t="inlineStr">
        <is>
          <t>— (no design)</t>
        </is>
      </c>
      <c r="D42" s="16" t="inlineStr">
        <is>
          <t>No</t>
        </is>
      </c>
      <c r="E42" s="16" t="inlineStr"/>
      <c r="F42" s="16" t="inlineStr">
        <is>
          <t>Not Started</t>
        </is>
      </c>
      <c r="G42" s="16">
        <f>COUNTIF('eUtthan Admin'!$B:$B,$A42)</f>
        <v/>
      </c>
      <c r="H42" s="16" t="inlineStr"/>
    </row>
    <row r="43">
      <c r="A43" s="16" t="inlineStr">
        <is>
          <t>Role Management</t>
        </is>
      </c>
      <c r="B43" s="16" t="inlineStr">
        <is>
          <t>Admin</t>
        </is>
      </c>
      <c r="C43" s="16" t="inlineStr">
        <is>
          <t>— (no design)</t>
        </is>
      </c>
      <c r="D43" s="16" t="inlineStr">
        <is>
          <t>No</t>
        </is>
      </c>
      <c r="E43" s="16" t="inlineStr"/>
      <c r="F43" s="16" t="inlineStr">
        <is>
          <t>Not Started</t>
        </is>
      </c>
      <c r="G43" s="16">
        <f>COUNTIF('eUtthan Admin'!$B:$B,$A43)</f>
        <v/>
      </c>
      <c r="H43" s="16" t="inlineStr"/>
    </row>
    <row r="44">
      <c r="A44" s="16" t="inlineStr">
        <is>
          <t>PFMS Logs</t>
        </is>
      </c>
      <c r="B44" s="16" t="inlineStr">
        <is>
          <t>Admin</t>
        </is>
      </c>
      <c r="C44" s="16" t="inlineStr">
        <is>
          <t>— (no design)</t>
        </is>
      </c>
      <c r="D44" s="16" t="inlineStr">
        <is>
          <t>No</t>
        </is>
      </c>
      <c r="E44" s="16" t="inlineStr"/>
      <c r="F44" s="16" t="inlineStr">
        <is>
          <t>Not Started</t>
        </is>
      </c>
      <c r="G44" s="16">
        <f>COUNTIF('eUtthan Admin'!$B:$B,$A44)</f>
        <v/>
      </c>
      <c r="H44" s="16" t="inlineStr"/>
    </row>
    <row r="45">
      <c r="A45" s="16" t="inlineStr">
        <is>
          <t>Reports / Financial Summary</t>
        </is>
      </c>
      <c r="B45" s="16" t="inlineStr">
        <is>
          <t>Admin</t>
        </is>
      </c>
      <c r="C45" s="16" t="inlineStr">
        <is>
          <t>— (no design)</t>
        </is>
      </c>
      <c r="D45" s="16" t="inlineStr">
        <is>
          <t>No</t>
        </is>
      </c>
      <c r="E45" s="16" t="inlineStr"/>
      <c r="F45" s="16" t="inlineStr">
        <is>
          <t>Not Started</t>
        </is>
      </c>
      <c r="G45" s="16">
        <f>COUNTIF('eUtthan Admin'!$B:$B,$A45)</f>
        <v/>
      </c>
      <c r="H45" s="16" t="inlineStr"/>
    </row>
    <row r="46">
      <c r="A46" s="16" t="inlineStr">
        <is>
          <t>Reports / Statement 10A</t>
        </is>
      </c>
      <c r="B46" s="16" t="inlineStr">
        <is>
          <t>Admin</t>
        </is>
      </c>
      <c r="C46" s="16" t="inlineStr">
        <is>
          <t>— (no design)</t>
        </is>
      </c>
      <c r="D46" s="16" t="inlineStr">
        <is>
          <t>No</t>
        </is>
      </c>
      <c r="E46" s="16" t="inlineStr"/>
      <c r="F46" s="16" t="inlineStr">
        <is>
          <t>Not Started</t>
        </is>
      </c>
      <c r="G46" s="16">
        <f>COUNTIF('eUtthan Admin'!$B:$B,$A46)</f>
        <v/>
      </c>
      <c r="H46" s="16" t="inlineStr"/>
    </row>
  </sheetData>
  <autoFilter ref="A1:H1"/>
  <dataValidations count="2">
    <dataValidation sqref="D2:E46" showDropDown="0" showInputMessage="0" showErrorMessage="0" allowBlank="1" type="list">
      <formula1>"Yes,No,Partial"</formula1>
    </dataValidation>
    <dataValidation sqref="F2:F46" showDropDown="0" showInputMessage="0" showErrorMessage="0" allowBlank="1" type="list">
      <formula1>"Not Started,In Progress,Done,Blocked"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2026-06-08T11:38:43Z</dcterms:created>
  <dcterms:modified xsi:type="dcterms:W3CDTF">2026-06-08T11:38:43Z</dcterms:modified>
</cp:coreProperties>
</file>