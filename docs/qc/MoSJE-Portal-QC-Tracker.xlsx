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ollup" sheetId="2" state="visible" r:id="rId2"/>
    <sheet xmlns:r="http://schemas.openxmlformats.org/officeDocument/2006/relationships" name="eUtthan Admin" sheetId="3" state="visible" r:id="rId3"/>
    <sheet xmlns:r="http://schemas.openxmlformats.org/officeDocument/2006/relationships" name="Coverage – eUtthan" sheetId="4" state="visible" r:id="rId4"/>
  </sheets>
  <definedNames>
    <definedName name="_xlnm._FilterDatabase" localSheetId="2" hidden="1">'eUtthan Admin'!$A$1:$M$1</definedName>
    <definedName name="_xlnm._FilterDatabase" localSheetId="3" hidden="1">'Coverage – eUtthan'!$A$1:$H$1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Noto Sans"/>
      <b val="1"/>
      <color rgb="00003366"/>
      <sz val="20"/>
    </font>
    <font>
      <name val="Noto Sans"/>
      <color rgb="006B7280"/>
      <sz val="11"/>
    </font>
    <font>
      <name val="Noto Sans"/>
      <b val="1"/>
      <color rgb="00374151"/>
      <sz val="10"/>
    </font>
    <font>
      <name val="Noto Sans"/>
      <color rgb="00374151"/>
      <sz val="10"/>
    </font>
    <font>
      <name val="Noto Sans"/>
      <b val="1"/>
      <color rgb="00003366"/>
      <sz val="12"/>
    </font>
    <font>
      <name val="Noto Sans"/>
      <b val="1"/>
      <color rgb="00FFFFFF"/>
      <sz val="10"/>
    </font>
    <font>
      <name val="Noto Sans"/>
      <b val="1"/>
      <color rgb="00FFFFFF"/>
      <sz val="11"/>
    </font>
    <font>
      <name val="Noto Sans"/>
      <b val="1"/>
      <color rgb="00003366"/>
      <sz val="18"/>
    </font>
  </fonts>
  <fills count="9">
    <fill>
      <patternFill/>
    </fill>
    <fill>
      <patternFill patternType="gray125"/>
    </fill>
    <fill>
      <patternFill patternType="solid">
        <fgColor rgb="00DC2626"/>
      </patternFill>
    </fill>
    <fill>
      <patternFill patternType="solid">
        <fgColor rgb="00EA580C"/>
      </patternFill>
    </fill>
    <fill>
      <patternFill patternType="solid">
        <fgColor rgb="00CA8A04"/>
      </patternFill>
    </fill>
    <fill>
      <patternFill patternType="solid">
        <fgColor rgb="006B7280"/>
      </patternFill>
    </fill>
    <fill>
      <patternFill patternType="solid">
        <fgColor rgb="00003366"/>
      </patternFill>
    </fill>
    <fill>
      <patternFill patternType="solid">
        <fgColor rgb="00F4F7F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6" fillId="3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8" fillId="0" borderId="0" pivotButton="0" quotePrefix="0" xfId="0"/>
    <xf numFmtId="0" fontId="7" fillId="6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Noto Sans"/>
        <b val="1"/>
        <color rgb="00FFFFFF"/>
      </font>
      <fill>
        <patternFill patternType="solid">
          <fgColor rgb="00DC2626"/>
        </patternFill>
      </fill>
    </dxf>
    <dxf>
      <font>
        <name val="Noto Sans"/>
        <b val="1"/>
        <color rgb="00FFFFFF"/>
      </font>
      <fill>
        <patternFill patternType="solid">
          <fgColor rgb="00EA580C"/>
        </patternFill>
      </fill>
    </dxf>
    <dxf>
      <font>
        <name val="Noto Sans"/>
        <b val="1"/>
        <color rgb="00FFFFFF"/>
      </font>
      <fill>
        <patternFill patternType="solid">
          <fgColor rgb="00CA8A04"/>
        </patternFill>
      </fill>
    </dxf>
    <dxf>
      <font>
        <name val="Noto Sans"/>
        <b val="1"/>
        <color rgb="00FFFFFF"/>
      </font>
      <fill>
        <patternFill patternType="solid">
          <fgColor rgb="006B728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5" customWidth="1" min="2" max="2"/>
  </cols>
  <sheetData>
    <row r="1">
      <c r="A1" s="1" t="inlineStr">
        <is>
          <t>MoSJE Portal — Design QC Tracker</t>
        </is>
      </c>
    </row>
    <row r="2">
      <c r="A2" s="2" t="inlineStr">
        <is>
          <t>Status tracker for design-fidelity defects (dev-facing). Visual evidence lives in the annotated PDF report; design-improvement ideas live in the separate Design Suggestions doc.</t>
        </is>
      </c>
    </row>
    <row r="4">
      <c r="A4" s="3" t="inlineStr"/>
      <c r="B4" s="4" t="inlineStr"/>
    </row>
    <row r="5">
      <c r="A5" s="5" t="inlineStr">
        <is>
          <t>HOW TO USE</t>
        </is>
      </c>
      <c r="B5" s="4" t="inlineStr"/>
    </row>
    <row r="6">
      <c r="A6" s="3" t="inlineStr">
        <is>
          <t>1.</t>
        </is>
      </c>
      <c r="B6" s="4" t="inlineStr">
        <is>
          <t>Each fidelity defect = one row in its portal's findings sheet. The annotated PDF shows the same ID on the image.</t>
        </is>
      </c>
    </row>
    <row r="7">
      <c r="A7" s="3" t="inlineStr">
        <is>
          <t>2.</t>
        </is>
      </c>
      <c r="B7" s="4" t="inlineStr">
        <is>
          <t>Severity / Category / Status are dropdowns; Severity auto-colours; Rollup aggregates automatically.</t>
        </is>
      </c>
    </row>
    <row r="8">
      <c r="A8" s="3" t="inlineStr">
        <is>
          <t>3.</t>
        </is>
      </c>
      <c r="B8" s="4" t="inlineStr">
        <is>
          <t>Figma URL and Live URL are full clickable links. Coverage tracks every screen's QC state.</t>
        </is>
      </c>
    </row>
    <row r="9">
      <c r="A9" s="3" t="inlineStr">
        <is>
          <t>4.</t>
        </is>
      </c>
      <c r="B9" s="4" t="inlineStr">
        <is>
          <t>Dev: filter Status = Open, fix, set Fixed. QC verifies -&gt; Verified.</t>
        </is>
      </c>
    </row>
    <row r="10">
      <c r="A10" s="3" t="inlineStr">
        <is>
          <t>5.</t>
        </is>
      </c>
      <c r="B10" s="4" t="inlineStr">
        <is>
          <t>Design-side issues (design-bugs, redesigns, no-design screens) are NOT here — see Design Suggestions doc.</t>
        </is>
      </c>
    </row>
    <row r="11">
      <c r="A11" s="3" t="inlineStr"/>
      <c r="B11" s="4" t="inlineStr"/>
    </row>
    <row r="12">
      <c r="A12" s="5" t="inlineStr">
        <is>
          <t>SEVERITY</t>
        </is>
      </c>
      <c r="B12" s="4" t="inlineStr">
        <is>
          <t>Impact, not effort</t>
        </is>
      </c>
    </row>
    <row r="13">
      <c r="A13" s="6" t="inlineStr">
        <is>
          <t>Blocker</t>
        </is>
      </c>
      <c r="B13" s="4" t="inlineStr">
        <is>
          <t>Breaks experience / brand / compliance. Cannot ship.</t>
        </is>
      </c>
    </row>
    <row r="14">
      <c r="A14" s="7" t="inlineStr">
        <is>
          <t>Major</t>
        </is>
      </c>
      <c r="B14" s="4" t="inlineStr">
        <is>
          <t>Clearly wrong vs design; users notice.</t>
        </is>
      </c>
    </row>
    <row r="15">
      <c r="A15" s="8" t="inlineStr">
        <is>
          <t>Minor</t>
        </is>
      </c>
      <c r="B15" s="4" t="inlineStr">
        <is>
          <t>Visible to a trained eye (2-7px, token drift).</t>
        </is>
      </c>
    </row>
    <row r="16">
      <c r="A16" s="9" t="inlineStr">
        <is>
          <t>Nit</t>
        </is>
      </c>
      <c r="B16" s="4" t="inlineStr">
        <is>
          <t>Polish / sub-pixel.</t>
        </is>
      </c>
    </row>
    <row r="17">
      <c r="A17" s="3" t="inlineStr"/>
      <c r="B17" s="4" t="inlineStr"/>
    </row>
    <row r="18">
      <c r="A18" s="5" t="inlineStr">
        <is>
          <t>CATEGORIES</t>
        </is>
      </c>
      <c r="B18" s="4" t="inlineStr">
        <is>
          <t>Layout &amp; Spacing · Color &amp; Token · Typography · Components &amp; States · Content &amp; Iconography · Responsive &amp; A11y</t>
        </is>
      </c>
    </row>
    <row r="19">
      <c r="A19" s="5" t="inlineStr">
        <is>
          <t>DESIGN TRUTH</t>
        </is>
      </c>
      <c r="B19" s="4" t="inlineStr">
        <is>
          <t>Audited against DS Figma token values (see design-truth-tokens.md). DS brand primary = #003366.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</cols>
  <sheetData>
    <row r="1">
      <c r="A1" s="10" t="inlineStr">
        <is>
          <t>Portal QC — Rollup</t>
        </is>
      </c>
    </row>
    <row r="4" ht="26" customHeight="1">
      <c r="A4" s="11" t="inlineStr">
        <is>
          <t>Portal</t>
        </is>
      </c>
      <c r="B4" s="11" t="inlineStr">
        <is>
          <t>Total</t>
        </is>
      </c>
      <c r="C4" s="12" t="inlineStr">
        <is>
          <t>Blocker</t>
        </is>
      </c>
      <c r="D4" s="13" t="inlineStr">
        <is>
          <t>Major</t>
        </is>
      </c>
      <c r="E4" s="14" t="inlineStr">
        <is>
          <t>Minor</t>
        </is>
      </c>
      <c r="F4" s="15" t="inlineStr">
        <is>
          <t>Nit</t>
        </is>
      </c>
      <c r="G4" s="11" t="inlineStr">
        <is>
          <t>Open</t>
        </is>
      </c>
      <c r="H4" s="11" t="inlineStr">
        <is>
          <t>Fixed</t>
        </is>
      </c>
      <c r="I4" s="11" t="inlineStr">
        <is>
          <t>Verified</t>
        </is>
      </c>
    </row>
    <row r="5">
      <c r="A5" s="16" t="inlineStr">
        <is>
          <t>eUtthan Admin</t>
        </is>
      </c>
      <c r="B5" s="16">
        <f>COUNTA('eUtthan Admin'!$A$2:$A$400)</f>
        <v/>
      </c>
      <c r="C5" s="16">
        <f>COUNTIF('eUtthan Admin'!$E:$E,"Blocker")</f>
        <v/>
      </c>
      <c r="D5" s="16">
        <f>COUNTIF('eUtthan Admin'!$E:$E,"Major")</f>
        <v/>
      </c>
      <c r="E5" s="16">
        <f>COUNTIF('eUtthan Admin'!$E:$E,"Minor")</f>
        <v/>
      </c>
      <c r="F5" s="16">
        <f>COUNTIF('eUtthan Admin'!$E:$E,"Nit")</f>
        <v/>
      </c>
      <c r="G5" s="16">
        <f>COUNTIF('eUtthan Admin'!$J:$J,"Open")</f>
        <v/>
      </c>
      <c r="H5" s="16">
        <f>COUNTIF('eUtthan Admin'!$J:$J,"Fixed")</f>
        <v/>
      </c>
      <c r="I5" s="16">
        <f>COUNTIF('eUtthan Admin'!$J:$J,"Verified")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20" customWidth="1" min="4" max="4"/>
    <col width="11" customWidth="1" min="5" max="5"/>
    <col width="46" customWidth="1" min="6" max="6"/>
    <col width="42" customWidth="1" min="7" max="7"/>
    <col width="30" customWidth="1" min="8" max="8"/>
    <col width="30" customWidth="1" min="9" max="9"/>
    <col width="12" customWidth="1" min="10" max="10"/>
    <col width="13" customWidth="1" min="11" max="11"/>
    <col width="12" customWidth="1" min="12" max="12"/>
    <col width="30" customWidth="1" min="13" max="13"/>
  </cols>
  <sheetData>
    <row r="1" ht="26" customHeight="1">
      <c r="A1" s="11" t="inlineStr">
        <is>
          <t>ID</t>
        </is>
      </c>
      <c r="B1" s="11" t="inlineStr">
        <is>
          <t>Screen</t>
        </is>
      </c>
      <c r="C1" s="11" t="inlineStr">
        <is>
          <t>Viewport</t>
        </is>
      </c>
      <c r="D1" s="11" t="inlineStr">
        <is>
          <t>Category</t>
        </is>
      </c>
      <c r="E1" s="11" t="inlineStr">
        <is>
          <t>Severity</t>
        </is>
      </c>
      <c r="F1" s="11" t="inlineStr">
        <is>
          <t>Issue (Design → Built)</t>
        </is>
      </c>
      <c r="G1" s="11" t="inlineStr">
        <is>
          <t>Recommended Fix (Dev)</t>
        </is>
      </c>
      <c r="H1" s="11" t="inlineStr">
        <is>
          <t>Figma URL</t>
        </is>
      </c>
      <c r="I1" s="11" t="inlineStr">
        <is>
          <t>Live URL</t>
        </is>
      </c>
      <c r="J1" s="11" t="inlineStr">
        <is>
          <t>Status</t>
        </is>
      </c>
      <c r="K1" s="11" t="inlineStr">
        <is>
          <t>Assignee</t>
        </is>
      </c>
      <c r="L1" s="11" t="inlineStr">
        <is>
          <t>Date</t>
        </is>
      </c>
      <c r="M1" s="11" t="inlineStr">
        <is>
          <t>Notes</t>
        </is>
      </c>
    </row>
    <row r="2">
      <c r="A2" s="17" t="inlineStr">
        <is>
          <t>UTH-DASHBOARD-001</t>
        </is>
      </c>
      <c r="B2" s="17" t="inlineStr">
        <is>
          <t>Admin / Dashboard</t>
        </is>
      </c>
      <c r="C2" s="17" t="inlineStr">
        <is>
          <t>1440</t>
        </is>
      </c>
      <c r="D2" s="17" t="inlineStr">
        <is>
          <t>Content &amp; Iconography</t>
        </is>
      </c>
      <c r="E2" s="17" t="inlineStr">
        <is>
          <t>Major</t>
        </is>
      </c>
      <c r="F2" s="17" t="inlineStr">
        <is>
          <t>Figma: Two masthead lines: 'Ministry…' 14px/500 + 'Department of Social Justice &amp; Empowerment' 20px/700, plus Digital India + SAMAVESH co-branding  →  Live: Single line 'Ministry of Social Justice &amp; Empowerment' 20px/700; no Department line; no co-branding logos (verified: 0 'Department' text nodes)</t>
        </is>
      </c>
      <c r="G2" s="17" t="inlineStr">
        <is>
          <t>Add the 'Department…' headline line and the Digital India + SAMAVESH co-branding block to match Figma masthead.</t>
        </is>
      </c>
      <c r="H2" s="17" t="inlineStr">
        <is>
          <t>https://www.figma.com/design/gH2vQ62cfg4677YKWuOpLc/MoSJE-Portal--Handoff-?node-id=4226-39685</t>
        </is>
      </c>
      <c r="I2" s="17" t="inlineStr">
        <is>
          <t>https://eutthan-admin-uat.mosje.in/dashboard?fy=2026-2027</t>
        </is>
      </c>
      <c r="J2" s="17" t="inlineStr">
        <is>
          <t>Open</t>
        </is>
      </c>
      <c r="K2" s="17" t="inlineStr"/>
      <c r="L2" s="17" t="inlineStr">
        <is>
          <t>2026-06-09</t>
        </is>
      </c>
      <c r="M2" s="17" t="inlineStr">
        <is>
          <t>Board pin #1</t>
        </is>
      </c>
    </row>
    <row r="3">
      <c r="A3" s="18" t="inlineStr">
        <is>
          <t>UTH-DASHBOARD-002</t>
        </is>
      </c>
      <c r="B3" s="18" t="inlineStr">
        <is>
          <t>Admin / Dashboard</t>
        </is>
      </c>
      <c r="C3" s="18" t="inlineStr">
        <is>
          <t>1440</t>
        </is>
      </c>
      <c r="D3" s="18" t="inlineStr">
        <is>
          <t>Content &amp; Iconography</t>
        </is>
      </c>
      <c r="E3" s="18" t="inlineStr">
        <is>
          <t>Major</t>
        </is>
      </c>
      <c r="F3" s="18" t="inlineStr">
        <is>
          <t>Figma: Center of the header carries the Digital India logo (image 102×40) and the SAMAVESH co-branding block: 40×40 logo + "SAMAVESH" title (11.429px/600 #1f2937) + subtitle "Single Access Mechanism for All Verticals of Empowerment &amp; Social Harmony" (7.143px/400 #374151), cobranding gap 24.  →  Live: Header has no Digital India logo and no SAMAVESH co-branding block; the center region between the ministry title and the profile is empty.</t>
        </is>
      </c>
      <c r="G3" s="18" t="inlineStr">
        <is>
          <t>Add the Digital India logo (102×40) and the SAMAVESH logo+title+subtitle co-branding cluster in the header center with cobranding gap 24px, matching the Figma assets and type sizes.</t>
        </is>
      </c>
      <c r="H3" s="18" t="inlineStr">
        <is>
          <t>https://www.figma.com/design/gH2vQ62cfg4677YKWuOpLc/MoSJE-Portal--Handoff-?node-id=4226-39685</t>
        </is>
      </c>
      <c r="I3" s="18" t="inlineStr">
        <is>
          <t>https://eutthan-admin-uat.mosje.in/dashboard?fy=2026-2027</t>
        </is>
      </c>
      <c r="J3" s="18" t="inlineStr">
        <is>
          <t>Open</t>
        </is>
      </c>
      <c r="K3" s="18" t="inlineStr"/>
      <c r="L3" s="18" t="inlineStr">
        <is>
          <t>2026-06-09</t>
        </is>
      </c>
      <c r="M3" s="18" t="inlineStr">
        <is>
          <t>Board pin #2</t>
        </is>
      </c>
    </row>
    <row r="4">
      <c r="A4" s="17" t="inlineStr">
        <is>
          <t>UTH-DASHBOARD-003</t>
        </is>
      </c>
      <c r="B4" s="17" t="inlineStr">
        <is>
          <t>Admin / Dashboard</t>
        </is>
      </c>
      <c r="C4" s="17" t="inlineStr">
        <is>
          <t>1440</t>
        </is>
      </c>
      <c r="D4" s="17" t="inlineStr">
        <is>
          <t>Layout &amp; Spacing</t>
        </is>
      </c>
      <c r="E4" s="17" t="inlineStr">
        <is>
          <t>Major</t>
        </is>
      </c>
      <c r="F4" s="17" t="inlineStr">
        <is>
          <t>Figma: Active nav pill radius = 16px (radius-xl).  →  Live: sidebarActive.r = 8px.</t>
        </is>
      </c>
      <c r="G4" s="17" t="inlineStr">
        <is>
          <t>Set the active (and all) sidebar nav item border-radius to 16px (radius-xl) to match Figma; currently 8px (Δ8px).</t>
        </is>
      </c>
      <c r="H4" s="17" t="inlineStr">
        <is>
          <t>https://www.figma.com/design/gH2vQ62cfg4677YKWuOpLc/MoSJE-Portal--Handoff-?node-id=4226-39685</t>
        </is>
      </c>
      <c r="I4" s="17" t="inlineStr">
        <is>
          <t>https://eutthan-admin-uat.mosje.in/dashboard?fy=2026-2027</t>
        </is>
      </c>
      <c r="J4" s="17" t="inlineStr">
        <is>
          <t>Open</t>
        </is>
      </c>
      <c r="K4" s="17" t="inlineStr"/>
      <c r="L4" s="17" t="inlineStr">
        <is>
          <t>2026-06-09</t>
        </is>
      </c>
      <c r="M4" s="17" t="inlineStr">
        <is>
          <t>Board pin #3</t>
        </is>
      </c>
    </row>
    <row r="5">
      <c r="A5" s="18" t="inlineStr">
        <is>
          <t>UTH-DASHBOARD-004</t>
        </is>
      </c>
      <c r="B5" s="18" t="inlineStr">
        <is>
          <t>Admin / Dashboard</t>
        </is>
      </c>
      <c r="C5" s="18" t="inlineStr">
        <is>
          <t>1440</t>
        </is>
      </c>
      <c r="D5" s="18" t="inlineStr">
        <is>
          <t>Color &amp; Token</t>
        </is>
      </c>
      <c r="E5" s="18" t="inlineStr">
        <is>
          <t>Major</t>
        </is>
      </c>
      <c r="F5" s="18" t="inlineStr">
        <is>
          <t>Figma: Active item label color = #003366 (text/primary, Primary/Source) on #e5eff9 (Primary/50) fill.  →  Live: sidebarActive.c = rgb(55,65,81) = #374151 (neutral dark); fill rgb(229,239,249)=#e5eff9 matches.</t>
        </is>
      </c>
      <c r="G5" s="18" t="inlineStr">
        <is>
          <t>Color the active nav label #003366 (text/primary). Live uses neutral #374151, losing the active-state primary emphasis.</t>
        </is>
      </c>
      <c r="H5" s="18" t="inlineStr">
        <is>
          <t>https://www.figma.com/design/gH2vQ62cfg4677YKWuOpLc/MoSJE-Portal--Handoff-?node-id=4226-39685</t>
        </is>
      </c>
      <c r="I5" s="18" t="inlineStr">
        <is>
          <t>https://eutthan-admin-uat.mosje.in/dashboard?fy=2026-2027</t>
        </is>
      </c>
      <c r="J5" s="18" t="inlineStr">
        <is>
          <t>Open</t>
        </is>
      </c>
      <c r="K5" s="18" t="inlineStr"/>
      <c r="L5" s="18" t="inlineStr">
        <is>
          <t>2026-06-09</t>
        </is>
      </c>
      <c r="M5" s="18" t="inlineStr">
        <is>
          <t>Board pin #4</t>
        </is>
      </c>
    </row>
    <row r="6">
      <c r="A6" s="17" t="inlineStr">
        <is>
          <t>UTH-DASHBOARD-007</t>
        </is>
      </c>
      <c r="B6" s="17" t="inlineStr">
        <is>
          <t>Admin / Dashboard</t>
        </is>
      </c>
      <c r="C6" s="17" t="inlineStr">
        <is>
          <t>1440</t>
        </is>
      </c>
      <c r="D6" s="17" t="inlineStr">
        <is>
          <t>Color &amp; Token</t>
        </is>
      </c>
      <c r="E6" s="17" t="inlineStr">
        <is>
          <t>Major</t>
        </is>
      </c>
      <c r="F6" s="17" t="inlineStr">
        <is>
          <t>Figma: Only KPI card 2 ("Schemes as per 10A") value uses Primary #003366; cards 1, 3, 4 ("Total Ministry", "Mapped Schemes", "Pending Schemes") values use dark #374151 (headline-1).  →  Live: All four KPI card values render in blue (~#1E3A5F): "38", "239", "0", "239" are all blue; the single-card emphasis from Figma is lost.</t>
        </is>
      </c>
      <c r="G6" s="17" t="inlineStr">
        <is>
          <t>Apply Primary #003366 only to the "Schemes as per 10A" value; render the other three KPI values in #374151 dark, per Figma.</t>
        </is>
      </c>
      <c r="H6" s="17" t="inlineStr">
        <is>
          <t>https://www.figma.com/design/gH2vQ62cfg4677YKWuOpLc/MoSJE-Portal--Handoff-?node-id=4226-39685</t>
        </is>
      </c>
      <c r="I6" s="17" t="inlineStr">
        <is>
          <t>https://eutthan-admin-uat.mosje.in/dashboard?fy=2026-2027</t>
        </is>
      </c>
      <c r="J6" s="17" t="inlineStr">
        <is>
          <t>Open</t>
        </is>
      </c>
      <c r="K6" s="17" t="inlineStr"/>
      <c r="L6" s="17" t="inlineStr">
        <is>
          <t>2026-06-09</t>
        </is>
      </c>
      <c r="M6" s="17" t="inlineStr">
        <is>
          <t>Board pin #5</t>
        </is>
      </c>
    </row>
    <row r="7">
      <c r="A7" s="18" t="inlineStr">
        <is>
          <t>UTH-DASHBOARD-008</t>
        </is>
      </c>
      <c r="B7" s="18" t="inlineStr">
        <is>
          <t>Admin / Dashboard</t>
        </is>
      </c>
      <c r="C7" s="18" t="inlineStr">
        <is>
          <t>1440</t>
        </is>
      </c>
      <c r="D7" s="18" t="inlineStr">
        <is>
          <t>Color &amp; Token</t>
        </is>
      </c>
      <c r="E7" s="18" t="inlineStr">
        <is>
          <t>Major</t>
        </is>
      </c>
      <c r="F7" s="18" t="inlineStr">
        <is>
          <t>Figma: Inner stat-card values use dark #374151 (headline-1, 32/600).  →  Live: Inner stat values (e.g. "38", "239", "₹1,96,397.15", "₹0.00", "₹12,471.93", "6.35 %", "0.00 %") render in blue (~#1E3A5F), not the Figma dark #374151.</t>
        </is>
      </c>
      <c r="G7" s="18" t="inlineStr">
        <is>
          <t>Set inner stat-card value color to #374151 dark. Live uses blue, breaking the two-tone hierarchy where only the summary KPI "10A" card is blue.</t>
        </is>
      </c>
      <c r="H7" s="18" t="inlineStr">
        <is>
          <t>https://www.figma.com/design/gH2vQ62cfg4677YKWuOpLc/MoSJE-Portal--Handoff-?node-id=4226-39685</t>
        </is>
      </c>
      <c r="I7" s="18" t="inlineStr">
        <is>
          <t>https://eutthan-admin-uat.mosje.in/dashboard?fy=2026-2027</t>
        </is>
      </c>
      <c r="J7" s="18" t="inlineStr">
        <is>
          <t>Open</t>
        </is>
      </c>
      <c r="K7" s="18" t="inlineStr"/>
      <c r="L7" s="18" t="inlineStr">
        <is>
          <t>2026-06-09</t>
        </is>
      </c>
      <c r="M7" s="18" t="inlineStr">
        <is>
          <t>Board pin #6</t>
        </is>
      </c>
    </row>
    <row r="8">
      <c r="A8" s="17" t="inlineStr">
        <is>
          <t>UTH-DASHBOARD-005</t>
        </is>
      </c>
      <c r="B8" s="17" t="inlineStr">
        <is>
          <t>Admin / Dashboard</t>
        </is>
      </c>
      <c r="C8" s="17" t="inlineStr">
        <is>
          <t>1440</t>
        </is>
      </c>
      <c r="D8" s="17" t="inlineStr">
        <is>
          <t>Typography</t>
        </is>
      </c>
      <c r="E8" s="17" t="inlineStr">
        <is>
          <t>Minor</t>
        </is>
      </c>
      <c r="F8" s="17" t="inlineStr">
        <is>
          <t>Figma: Nav item label weight = Regular (400), 14px/20.  →  Live: sidebarActive.fw = 700 (Bold).</t>
        </is>
      </c>
      <c r="G8" s="17" t="inlineStr">
        <is>
          <t>Set active nav label font-weight to 400 (Regular). Figma uses fill + primary color, not bold, to denote the active state.</t>
        </is>
      </c>
      <c r="H8" s="17" t="inlineStr">
        <is>
          <t>https://www.figma.com/design/gH2vQ62cfg4677YKWuOpLc/MoSJE-Portal--Handoff-?node-id=4226-39685</t>
        </is>
      </c>
      <c r="I8" s="17" t="inlineStr">
        <is>
          <t>https://eutthan-admin-uat.mosje.in/dashboard?fy=2026-2027</t>
        </is>
      </c>
      <c r="J8" s="17" t="inlineStr">
        <is>
          <t>Open</t>
        </is>
      </c>
      <c r="K8" s="17" t="inlineStr"/>
      <c r="L8" s="17" t="inlineStr">
        <is>
          <t>2026-06-09</t>
        </is>
      </c>
      <c r="M8" s="17" t="inlineStr">
        <is>
          <t>Board pin #7</t>
        </is>
      </c>
    </row>
    <row r="9">
      <c r="A9" s="18" t="inlineStr">
        <is>
          <t>UTH-DASHBOARD-006</t>
        </is>
      </c>
      <c r="B9" s="18" t="inlineStr">
        <is>
          <t>Admin / Dashboard</t>
        </is>
      </c>
      <c r="C9" s="18" t="inlineStr">
        <is>
          <t>1440</t>
        </is>
      </c>
      <c r="D9" s="18" t="inlineStr">
        <is>
          <t>Typography</t>
        </is>
      </c>
      <c r="E9" s="18" t="inlineStr">
        <is>
          <t>Minor</t>
        </is>
      </c>
      <c r="F9" s="18" t="inlineStr">
        <is>
          <t>Figma: Display/display-5: Noto Sans 28px / 500 / line-height 36 / letter-spacing -0.28 / color #374151.  →  Live: Heading-styled text captured at fs 30px, fw 600, lh 36px, color rgb(30,58,95)=#1E3A5F.</t>
        </is>
      </c>
      <c r="G9" s="18" t="inlineStr">
        <is>
          <t>Set the Dashboard page heading to 28px/500 (Δ2px size, weight 600→500) with color #374151 and letter-spacing -0.28; live renders 30px/600 in #1E3A5F.</t>
        </is>
      </c>
      <c r="H9" s="18" t="inlineStr">
        <is>
          <t>https://www.figma.com/design/gH2vQ62cfg4677YKWuOpLc/MoSJE-Portal--Handoff-?node-id=4226-39685</t>
        </is>
      </c>
      <c r="I9" s="18" t="inlineStr">
        <is>
          <t>https://eutthan-admin-uat.mosje.in/dashboard?fy=2026-2027</t>
        </is>
      </c>
      <c r="J9" s="18" t="inlineStr">
        <is>
          <t>Open</t>
        </is>
      </c>
      <c r="K9" s="18" t="inlineStr"/>
      <c r="L9" s="18" t="inlineStr">
        <is>
          <t>2026-06-09</t>
        </is>
      </c>
      <c r="M9" s="18" t="inlineStr">
        <is>
          <t>Board pin #8</t>
        </is>
      </c>
    </row>
    <row r="10">
      <c r="A10" s="17" t="inlineStr">
        <is>
          <t>UTH-DASHBOARD-009</t>
        </is>
      </c>
      <c r="B10" s="17" t="inlineStr">
        <is>
          <t>Admin / Dashboard</t>
        </is>
      </c>
      <c r="C10" s="17" t="inlineStr">
        <is>
          <t>1440</t>
        </is>
      </c>
      <c r="D10" s="17" t="inlineStr">
        <is>
          <t>Layout &amp; Spacing</t>
        </is>
      </c>
      <c r="E10" s="17" t="inlineStr">
        <is>
          <t>Minor</t>
        </is>
      </c>
      <c r="F10" s="17" t="inlineStr">
        <is>
          <t>Figma: Accessibility bar height = 40px, bg #003366.  →  Live: govbar.h = 38px, bg rgb(0,51,102)=#003366 (color matches).</t>
        </is>
      </c>
      <c r="G10" s="17" t="inlineStr">
        <is>
          <t>Increase top gov bar height to 40px (live 38px, Δ2px); maintain container py 4.</t>
        </is>
      </c>
      <c r="H10" s="17" t="inlineStr">
        <is>
          <t>https://www.figma.com/design/gH2vQ62cfg4677YKWuOpLc/MoSJE-Portal--Handoff-?node-id=4226-39685</t>
        </is>
      </c>
      <c r="I10" s="17" t="inlineStr">
        <is>
          <t>https://eutthan-admin-uat.mosje.in/dashboard?fy=2026-2027</t>
        </is>
      </c>
      <c r="J10" s="17" t="inlineStr">
        <is>
          <t>Open</t>
        </is>
      </c>
      <c r="K10" s="17" t="inlineStr"/>
      <c r="L10" s="17" t="inlineStr">
        <is>
          <t>2026-06-09</t>
        </is>
      </c>
      <c r="M10" s="17" t="inlineStr">
        <is>
          <t>Board pin #9</t>
        </is>
      </c>
    </row>
    <row r="11">
      <c r="A11" s="18" t="inlineStr">
        <is>
          <t>UTH-DASHBOARD-010</t>
        </is>
      </c>
      <c r="B11" s="18" t="inlineStr">
        <is>
          <t>Admin / Dashboard</t>
        </is>
      </c>
      <c r="C11" s="18" t="inlineStr">
        <is>
          <t>1440</t>
        </is>
      </c>
      <c r="D11" s="18" t="inlineStr">
        <is>
          <t>Content &amp; Iconography</t>
        </is>
      </c>
      <c r="E11" s="18" t="inlineStr">
        <is>
          <t>Minor</t>
        </is>
      </c>
      <c r="F11" s="18" t="inlineStr">
        <is>
          <t>Figma: Numbers use Western thousands grouping, e.g. "₹138,359.67", "₹165,490.53", "₹129,665.0527".  →  Live: Numbers use Indian lakh/crore grouping, e.g. "₹1,96,397.15", "₹12,471.93".</t>
        </is>
      </c>
      <c r="G11" s="18" t="inlineStr">
        <is>
          <t>Confirm intended locale grouping with design. If Figma's Western grouping is the spec, switch the number formatter from en-IN lakh grouping to the Figma format; otherwise raise as a Figma correction. (Underlying counts differ as live data — only the grouping style is flagged.)</t>
        </is>
      </c>
      <c r="H11" s="18" t="inlineStr">
        <is>
          <t>https://www.figma.com/design/gH2vQ62cfg4677YKWuOpLc/MoSJE-Portal--Handoff-?node-id=4226-39685</t>
        </is>
      </c>
      <c r="I11" s="18" t="inlineStr">
        <is>
          <t>https://eutthan-admin-uat.mosje.in/dashboard?fy=2026-2027</t>
        </is>
      </c>
      <c r="J11" s="18" t="inlineStr">
        <is>
          <t>Open</t>
        </is>
      </c>
      <c r="K11" s="18" t="inlineStr"/>
      <c r="L11" s="18" t="inlineStr">
        <is>
          <t>2026-06-09</t>
        </is>
      </c>
      <c r="M11" s="18" t="inlineStr">
        <is>
          <t>Board pin #10</t>
        </is>
      </c>
    </row>
    <row r="12">
      <c r="A12" s="17" t="inlineStr">
        <is>
          <t>UTH-FINANCIAL-YEAR-003</t>
        </is>
      </c>
      <c r="B12" s="17" t="inlineStr">
        <is>
          <t>Admin / Financial Year</t>
        </is>
      </c>
      <c r="C12" s="17" t="inlineStr">
        <is>
          <t>1440</t>
        </is>
      </c>
      <c r="D12" s="17" t="inlineStr">
        <is>
          <t>Content &amp; Iconography</t>
        </is>
      </c>
      <c r="E12" s="17" t="inlineStr">
        <is>
          <t>Blocker</t>
        </is>
      </c>
      <c r="F12" s="17" t="inlineStr">
        <is>
          <t>Figma: Column 2 header = 'Status'; body cells hold a Badge instance ('Active' = green #27682a filled badge; inactive = outlined chip). Two columns each 521px wide.  →  Live: Column 2 header = 'Current Financial Year'; body cells render a checkbox (green checked square for current FY 2026-2027, empty squares otherwise) instead of a Status badge.</t>
        </is>
      </c>
      <c r="G12" s="17" t="inlineStr">
        <is>
          <t>Replace the 'Current Financial Year' checkbox column with the Figma 'Status' column rendering Active/Inactive badge components, OR escalate the column-semantics change to design for an updated Figma frame.</t>
        </is>
      </c>
      <c r="H12" s="17" t="inlineStr">
        <is>
          <t>https://www.figma.com/design/gH2vQ62cfg4677YKWuOpLc/MoSJE-Portal--Handoff-?node-id=4226-40009</t>
        </is>
      </c>
      <c r="I12" s="17" t="inlineStr">
        <is>
          <t>https://eutthan-admin-uat.mosje.in/admin/financial-year-management</t>
        </is>
      </c>
      <c r="J12" s="17" t="inlineStr">
        <is>
          <t>Open</t>
        </is>
      </c>
      <c r="K12" s="17" t="inlineStr"/>
      <c r="L12" s="17" t="inlineStr">
        <is>
          <t>2026-06-09</t>
        </is>
      </c>
      <c r="M12" s="17" t="inlineStr">
        <is>
          <t>Board pin #1</t>
        </is>
      </c>
    </row>
    <row r="13">
      <c r="A13" s="18" t="inlineStr">
        <is>
          <t>UTH-FINANCIAL-YEAR-001</t>
        </is>
      </c>
      <c r="B13" s="18" t="inlineStr">
        <is>
          <t>Admin / Financial Year</t>
        </is>
      </c>
      <c r="C13" s="18" t="inlineStr">
        <is>
          <t>1440</t>
        </is>
      </c>
      <c r="D13" s="18" t="inlineStr">
        <is>
          <t>Components &amp; States</t>
        </is>
      </c>
      <c r="E13" s="18" t="inlineStr">
        <is>
          <t>Major</t>
        </is>
      </c>
      <c r="F13" s="18" t="inlineStr">
        <is>
          <t>Figma: Heading 'Financial Year List' present above the card; Noto Sans 24px / 600 SemiBold / line-height 32px / color #374151 (Text/Dark); heading row 1092 x 40  →  Live: No page heading rendered anywhere on the screen; content card starts directly below the masthead. (Live JSON pageHeading reports the text exists in DOM at 24px/700/#1f2937 but it is not visible in the 1440 capture.)</t>
        </is>
      </c>
      <c r="G13" s="18" t="inlineStr">
        <is>
          <t>Render the 'Financial Year List' heading above the card per Figma; set weight to 600 (not 700) and color to #374151 (not #1f2937).</t>
        </is>
      </c>
      <c r="H13" s="18" t="inlineStr">
        <is>
          <t>https://www.figma.com/design/gH2vQ62cfg4677YKWuOpLc/MoSJE-Portal--Handoff-?node-id=4226-40009</t>
        </is>
      </c>
      <c r="I13" s="18" t="inlineStr">
        <is>
          <t>https://eutthan-admin-uat.mosje.in/admin/financial-year-management</t>
        </is>
      </c>
      <c r="J13" s="18" t="inlineStr">
        <is>
          <t>Open</t>
        </is>
      </c>
      <c r="K13" s="18" t="inlineStr"/>
      <c r="L13" s="18" t="inlineStr">
        <is>
          <t>2026-06-09</t>
        </is>
      </c>
      <c r="M13" s="18" t="inlineStr">
        <is>
          <t>Board pin #2</t>
        </is>
      </c>
    </row>
    <row r="14">
      <c r="A14" s="17" t="inlineStr">
        <is>
          <t>UTH-FINANCIAL-YEAR-004</t>
        </is>
      </c>
      <c r="B14" s="17" t="inlineStr">
        <is>
          <t>Admin / Financial Year</t>
        </is>
      </c>
      <c r="C14" s="17" t="inlineStr">
        <is>
          <t>1440</t>
        </is>
      </c>
      <c r="D14" s="17" t="inlineStr">
        <is>
          <t>Components &amp; States</t>
        </is>
      </c>
      <c r="E14" s="17" t="inlineStr">
        <is>
          <t>Major</t>
        </is>
      </c>
      <c r="F14" s="17" t="inlineStr">
        <is>
          <t>Figma: Badge 'Active': Noto Sans 14px / 500 Medium / lh 20, text #ffffff, bg #27682a (Success/Source), radius 12px (radius-lg), px12/py4, height 28; inactive rows show outlined badge labelled 'Inactive'  →  Live: No status badge present; the row-state is conveyed only by a checkbox (checked = current year). The green filled 'Active' badge and outlined 'Inactive' badges from Figma are absent.</t>
        </is>
      </c>
      <c r="G14" s="17" t="inlineStr">
        <is>
          <t>Implement the Success badge for the active FY and outlined badge for inactive FYs per Figma badge spec (#27682a fill, #ffffff text, radius 12px, px12/py4, h28).</t>
        </is>
      </c>
      <c r="H14" s="17" t="inlineStr">
        <is>
          <t>https://www.figma.com/design/gH2vQ62cfg4677YKWuOpLc/MoSJE-Portal--Handoff-?node-id=4226-40009</t>
        </is>
      </c>
      <c r="I14" s="17" t="inlineStr">
        <is>
          <t>https://eutthan-admin-uat.mosje.in/admin/financial-year-management</t>
        </is>
      </c>
      <c r="J14" s="17" t="inlineStr">
        <is>
          <t>Open</t>
        </is>
      </c>
      <c r="K14" s="17" t="inlineStr"/>
      <c r="L14" s="17" t="inlineStr">
        <is>
          <t>2026-06-09</t>
        </is>
      </c>
      <c r="M14" s="17" t="inlineStr">
        <is>
          <t>Board pin #3</t>
        </is>
      </c>
    </row>
    <row r="15">
      <c r="A15" s="18" t="inlineStr">
        <is>
          <t>UTH-FINANCIAL-YEAR-005</t>
        </is>
      </c>
      <c r="B15" s="18" t="inlineStr">
        <is>
          <t>Admin / Financial Year</t>
        </is>
      </c>
      <c r="C15" s="18" t="inlineStr">
        <is>
          <t>1440</t>
        </is>
      </c>
      <c r="D15" s="18" t="inlineStr">
        <is>
          <t>Components &amp; States</t>
        </is>
      </c>
      <c r="E15" s="18" t="inlineStr">
        <is>
          <t>Major</t>
        </is>
      </c>
      <c r="F15" s="18" t="inlineStr">
        <is>
          <t>Figma: Single row action: 'Edit' text button — Noto Sans 14px / 500 Medium, text #003366 (Text/Primary), transparent bg, radius 8px, pl20/pr16/py10, gap 8, trailing edit icon 16x16, size 86 x 40. No delete/trash action present.  →  Live: Two row actions per row: 'Edit' (text + pencil icon) AND a red trash/Delete icon button. The Delete action is an extra control not present in the Figma frame.</t>
        </is>
      </c>
      <c r="G15" s="18" t="inlineStr">
        <is>
          <t>Remove the red Delete/trash action to match Figma (Edit-only), OR if delete is a required capability, escalate to design for an updated frame that specifies its placement and style.</t>
        </is>
      </c>
      <c r="H15" s="18" t="inlineStr">
        <is>
          <t>https://www.figma.com/design/gH2vQ62cfg4677YKWuOpLc/MoSJE-Portal--Handoff-?node-id=4226-40009</t>
        </is>
      </c>
      <c r="I15" s="18" t="inlineStr">
        <is>
          <t>https://eutthan-admin-uat.mosje.in/admin/financial-year-management</t>
        </is>
      </c>
      <c r="J15" s="18" t="inlineStr">
        <is>
          <t>Open</t>
        </is>
      </c>
      <c r="K15" s="18" t="inlineStr"/>
      <c r="L15" s="18" t="inlineStr">
        <is>
          <t>2026-06-09</t>
        </is>
      </c>
      <c r="M15" s="18" t="inlineStr">
        <is>
          <t>Board pin #4</t>
        </is>
      </c>
    </row>
    <row r="16">
      <c r="A16" s="17" t="inlineStr">
        <is>
          <t>UTH-FINANCIAL-YEAR-006</t>
        </is>
      </c>
      <c r="B16" s="17" t="inlineStr">
        <is>
          <t>Admin / Financial Year</t>
        </is>
      </c>
      <c r="C16" s="17" t="inlineStr">
        <is>
          <t>1440</t>
        </is>
      </c>
      <c r="D16" s="17" t="inlineStr">
        <is>
          <t>Content &amp; Iconography</t>
        </is>
      </c>
      <c r="E16" s="17" t="inlineStr">
        <is>
          <t>Major</t>
        </is>
      </c>
      <c r="F16" s="17" t="inlineStr">
        <is>
          <t>Figma: Masthead shows two text lines (line1 'Ministry of Social Justice &amp; Empowerment' 14px/500/#1f2937; line2 'Department of Social Justice &amp; Empowerment' 20px/700/#374151) PLUS National Emblem, SAMAVESH lockup, and Digital India co-branding logos on the right.  →  Live: Masthead shows National Emblem + 'Government of India' + single bold line 'Ministry of Social Justice &amp; Empowerment' (20px/700/#374151). The 'Department of Social Justice &amp; Empowerment' second line is missing, and the SAMAVESH + Digital India co-branding logos are absent.</t>
        </is>
      </c>
      <c r="G16" s="17" t="inlineStr">
        <is>
          <t>Add the 'Department of Social Justice &amp; Empowerment' masthead line (20px/700/#374151) and the SAMAVESH + Digital India co-branding logos per Figma masthead.</t>
        </is>
      </c>
      <c r="H16" s="17" t="inlineStr">
        <is>
          <t>https://www.figma.com/design/gH2vQ62cfg4677YKWuOpLc/MoSJE-Portal--Handoff-?node-id=4226-40009</t>
        </is>
      </c>
      <c r="I16" s="17" t="inlineStr">
        <is>
          <t>https://eutthan-admin-uat.mosje.in/admin/financial-year-management</t>
        </is>
      </c>
      <c r="J16" s="17" t="inlineStr">
        <is>
          <t>Open</t>
        </is>
      </c>
      <c r="K16" s="17" t="inlineStr"/>
      <c r="L16" s="17" t="inlineStr">
        <is>
          <t>2026-06-09</t>
        </is>
      </c>
      <c r="M16" s="17" t="inlineStr">
        <is>
          <t>Board pin #5</t>
        </is>
      </c>
    </row>
    <row r="17">
      <c r="A17" s="18" t="inlineStr">
        <is>
          <t>UTH-FINANCIAL-YEAR-010</t>
        </is>
      </c>
      <c r="B17" s="18" t="inlineStr">
        <is>
          <t>Admin / Financial Year</t>
        </is>
      </c>
      <c r="C17" s="18" t="inlineStr">
        <is>
          <t>1440</t>
        </is>
      </c>
      <c r="D17" s="18" t="inlineStr">
        <is>
          <t>Layout &amp; Spacing</t>
        </is>
      </c>
      <c r="E17" s="18" t="inlineStr">
        <is>
          <t>Major</t>
        </is>
      </c>
      <c r="F17" s="18" t="inlineStr">
        <is>
          <t>Figma: Body row height 76px; cell padding 24px all sides  →  Live: Body row height 58px; cell padding py16/px24 (vertical padding 16px vs Figma 24px)</t>
        </is>
      </c>
      <c r="G17" s="18" t="inlineStr">
        <is>
          <t>Increase cell vertical padding from 16px to 24px to reach the 76px row height (delta 18px → Major).</t>
        </is>
      </c>
      <c r="H17" s="18" t="inlineStr">
        <is>
          <t>https://www.figma.com/design/gH2vQ62cfg4677YKWuOpLc/MoSJE-Portal--Handoff-?node-id=4226-40009</t>
        </is>
      </c>
      <c r="I17" s="18" t="inlineStr">
        <is>
          <t>https://eutthan-admin-uat.mosje.in/admin/financial-year-management</t>
        </is>
      </c>
      <c r="J17" s="18" t="inlineStr">
        <is>
          <t>Open</t>
        </is>
      </c>
      <c r="K17" s="18" t="inlineStr"/>
      <c r="L17" s="18" t="inlineStr">
        <is>
          <t>2026-06-09</t>
        </is>
      </c>
      <c r="M17" s="18" t="inlineStr">
        <is>
          <t>Board pin #6</t>
        </is>
      </c>
    </row>
    <row r="18">
      <c r="A18" s="17" t="inlineStr">
        <is>
          <t>UTH-FINANCIAL-YEAR-012</t>
        </is>
      </c>
      <c r="B18" s="17" t="inlineStr">
        <is>
          <t>Admin / Financial Year</t>
        </is>
      </c>
      <c r="C18" s="17" t="inlineStr">
        <is>
          <t>1440</t>
        </is>
      </c>
      <c r="D18" s="17" t="inlineStr">
        <is>
          <t>Layout &amp; Spacing</t>
        </is>
      </c>
      <c r="E18" s="17" t="inlineStr">
        <is>
          <t>Major</t>
        </is>
      </c>
      <c r="F18" s="17" t="inlineStr">
        <is>
          <t>Figma: Card 1092px wide (inner content container 1092 x 726, table 1042px)  →  Live: Card 1070px wide (per live JSON), table columns measured 394px each in JSON capture</t>
        </is>
      </c>
      <c r="G18" s="17" t="inlineStr">
        <is>
          <t>Card width is 22px narrower than Figma (1092 vs 1070 → Major). Reconcile content container / card width to 1092px; verify column widths (Figma 521px each).</t>
        </is>
      </c>
      <c r="H18" s="17" t="inlineStr">
        <is>
          <t>https://www.figma.com/design/gH2vQ62cfg4677YKWuOpLc/MoSJE-Portal--Handoff-?node-id=4226-40009</t>
        </is>
      </c>
      <c r="I18" s="17" t="inlineStr">
        <is>
          <t>https://eutthan-admin-uat.mosje.in/admin/financial-year-management</t>
        </is>
      </c>
      <c r="J18" s="17" t="inlineStr">
        <is>
          <t>Open</t>
        </is>
      </c>
      <c r="K18" s="17" t="inlineStr"/>
      <c r="L18" s="17" t="inlineStr">
        <is>
          <t>2026-06-09</t>
        </is>
      </c>
      <c r="M18" s="17" t="inlineStr">
        <is>
          <t>Board pin #7</t>
        </is>
      </c>
    </row>
    <row r="19">
      <c r="A19" s="18" t="inlineStr">
        <is>
          <t>UTH-FINANCIAL-YEAR-007</t>
        </is>
      </c>
      <c r="B19" s="18" t="inlineStr">
        <is>
          <t>Admin / Financial Year</t>
        </is>
      </c>
      <c r="C19" s="18" t="inlineStr">
        <is>
          <t>1440</t>
        </is>
      </c>
      <c r="D19" s="18" t="inlineStr">
        <is>
          <t>Content &amp; Iconography</t>
        </is>
      </c>
      <c r="E19" s="18" t="inlineStr">
        <is>
          <t>Minor</t>
        </is>
      </c>
      <c r="F19" s="18" t="inlineStr">
        <is>
          <t>Figma: User name 'Vikas S' (16px/lh24, body-1) + role 'Admin' (13px/#6b7280, body-3) + avatar initials 'VS' (18px/#001933 on Primary/50)  →  Live: User name 'Admin User' + role '(Super Admin)' + avatar initials 'AU'. Different identity text and role label format (parenthesized).</t>
        </is>
      </c>
      <c r="G19" s="18" t="inlineStr">
        <is>
          <t>Difference is partly mock-data (name/initials), but the role-label format differs: Figma shows plain 'Admin', live shows '(Super Admin)' in parentheses. Align role label styling/format with Figma; name/initials are data.</t>
        </is>
      </c>
      <c r="H19" s="18" t="inlineStr">
        <is>
          <t>https://www.figma.com/design/gH2vQ62cfg4677YKWuOpLc/MoSJE-Portal--Handoff-?node-id=4226-40009</t>
        </is>
      </c>
      <c r="I19" s="18" t="inlineStr">
        <is>
          <t>https://eutthan-admin-uat.mosje.in/admin/financial-year-management</t>
        </is>
      </c>
      <c r="J19" s="18" t="inlineStr">
        <is>
          <t>Open</t>
        </is>
      </c>
      <c r="K19" s="18" t="inlineStr"/>
      <c r="L19" s="18" t="inlineStr">
        <is>
          <t>2026-06-09</t>
        </is>
      </c>
      <c r="M19" s="18" t="inlineStr">
        <is>
          <t>Board pin #8</t>
        </is>
      </c>
    </row>
    <row r="20">
      <c r="A20" s="17" t="inlineStr">
        <is>
          <t>UTH-FINANCIAL-YEAR-008</t>
        </is>
      </c>
      <c r="B20" s="17" t="inlineStr">
        <is>
          <t>Admin / Financial Year</t>
        </is>
      </c>
      <c r="C20" s="17" t="inlineStr">
        <is>
          <t>1440</t>
        </is>
      </c>
      <c r="D20" s="17" t="inlineStr">
        <is>
          <t>Typography</t>
        </is>
      </c>
      <c r="E20" s="17" t="inlineStr">
        <is>
          <t>Minor</t>
        </is>
      </c>
      <c r="F20" s="17" t="inlineStr">
        <is>
          <t>Figma: Body cell value: Noto Sans 16px / 400 Regular / lh 24, color #003366 (Text/Primary)  →  Live: Body cell value: Noto Sans 14px / 500 Medium / lh 20, color rgb(0,51,102) = #003366</t>
        </is>
      </c>
      <c r="G20" s="17" t="inlineStr">
        <is>
          <t>Set table value font-size to 16px (not 14px), weight to 400 Regular (not 500 Medium), line-height to 24px (not 20px). Color #003366 matches.</t>
        </is>
      </c>
      <c r="H20" s="17" t="inlineStr">
        <is>
          <t>https://www.figma.com/design/gH2vQ62cfg4677YKWuOpLc/MoSJE-Portal--Handoff-?node-id=4226-40009</t>
        </is>
      </c>
      <c r="I20" s="17" t="inlineStr">
        <is>
          <t>https://eutthan-admin-uat.mosje.in/admin/financial-year-management</t>
        </is>
      </c>
      <c r="J20" s="17" t="inlineStr">
        <is>
          <t>Open</t>
        </is>
      </c>
      <c r="K20" s="17" t="inlineStr"/>
      <c r="L20" s="17" t="inlineStr">
        <is>
          <t>2026-06-09</t>
        </is>
      </c>
      <c r="M20" s="17" t="inlineStr">
        <is>
          <t>Board pin #9</t>
        </is>
      </c>
    </row>
    <row r="21">
      <c r="A21" s="18" t="inlineStr">
        <is>
          <t>UTH-FINANCIAL-YEAR-009</t>
        </is>
      </c>
      <c r="B21" s="18" t="inlineStr">
        <is>
          <t>Admin / Financial Year</t>
        </is>
      </c>
      <c r="C21" s="18" t="inlineStr">
        <is>
          <t>1440</t>
        </is>
      </c>
      <c r="D21" s="18" t="inlineStr">
        <is>
          <t>Typography</t>
        </is>
      </c>
      <c r="E21" s="18" t="inlineStr">
        <is>
          <t>Minor</t>
        </is>
      </c>
      <c r="F21" s="18" t="inlineStr">
        <is>
          <t>Figma: Column header: Noto Sans 16px / 600 SemiBold / lh 24, color #6b7280 (Text/Hint), bg #f9fafb (Neutral/50), padding px24/py16, height 56  →  Live: Column header: Noto Sans 14px / 600 SemiBold / lh 20, color rgb(75,85,99) = #4b5563, effective bg rgb(249,250,251) = #f9fafb, padding py14/px24, height 49</t>
        </is>
      </c>
      <c r="G21" s="18" t="inlineStr">
        <is>
          <t>Set header font-size 16px (not 14px), line-height 24px (not 20px), color #6b7280 (not #4b5563), vertical padding 16px (not 14px); resulting header height 56px (not 49px).</t>
        </is>
      </c>
      <c r="H21" s="18" t="inlineStr">
        <is>
          <t>https://www.figma.com/design/gH2vQ62cfg4677YKWuOpLc/MoSJE-Portal--Handoff-?node-id=4226-40009</t>
        </is>
      </c>
      <c r="I21" s="18" t="inlineStr">
        <is>
          <t>https://eutthan-admin-uat.mosje.in/admin/financial-year-management</t>
        </is>
      </c>
      <c r="J21" s="18" t="inlineStr">
        <is>
          <t>Open</t>
        </is>
      </c>
      <c r="K21" s="18" t="inlineStr"/>
      <c r="L21" s="18" t="inlineStr">
        <is>
          <t>2026-06-09</t>
        </is>
      </c>
      <c r="M21" s="18" t="inlineStr">
        <is>
          <t>Board pin #10</t>
        </is>
      </c>
    </row>
    <row r="22">
      <c r="A22" s="17" t="inlineStr">
        <is>
          <t>UTH-FINANCIAL-YEAR-011</t>
        </is>
      </c>
      <c r="B22" s="17" t="inlineStr">
        <is>
          <t>Admin / Financial Year</t>
        </is>
      </c>
      <c r="C22" s="17" t="inlineStr">
        <is>
          <t>1440</t>
        </is>
      </c>
      <c r="D22" s="17" t="inlineStr">
        <is>
          <t>Color &amp; Token</t>
        </is>
      </c>
      <c r="E22" s="17" t="inlineStr">
        <is>
          <t>Minor</t>
        </is>
      </c>
      <c r="F22" s="17" t="inlineStr">
        <is>
          <t>Figma: Card uses a 1px implied frame inset (no explicit border color/shadow surfaced in handoff); radius n/a in handoff  →  Live: Card has explicit top border #e5e7eb 1px and border-top-left-radius 8px (radius-md), effective bg #ffffff</t>
        </is>
      </c>
      <c r="G22" s="17" t="inlineStr">
        <is>
          <t>Card border treatment is a minor token/structure drift; confirm intended card border vs Figma's implied-frame inset and align radius token. Low impact.</t>
        </is>
      </c>
      <c r="H22" s="17" t="inlineStr">
        <is>
          <t>https://www.figma.com/design/gH2vQ62cfg4677YKWuOpLc/MoSJE-Portal--Handoff-?node-id=4226-40009</t>
        </is>
      </c>
      <c r="I22" s="17" t="inlineStr">
        <is>
          <t>https://eutthan-admin-uat.mosje.in/admin/financial-year-management</t>
        </is>
      </c>
      <c r="J22" s="17" t="inlineStr">
        <is>
          <t>Open</t>
        </is>
      </c>
      <c r="K22" s="17" t="inlineStr"/>
      <c r="L22" s="17" t="inlineStr">
        <is>
          <t>2026-06-09</t>
        </is>
      </c>
      <c r="M22" s="17" t="inlineStr">
        <is>
          <t>Board pin #11</t>
        </is>
      </c>
    </row>
    <row r="23">
      <c r="A23" s="18" t="inlineStr">
        <is>
          <t>UTH-FINANCIAL-YEAR-013</t>
        </is>
      </c>
      <c r="B23" s="18" t="inlineStr">
        <is>
          <t>Admin / Financial Year</t>
        </is>
      </c>
      <c r="C23" s="18" t="inlineStr">
        <is>
          <t>1440</t>
        </is>
      </c>
      <c r="D23" s="18" t="inlineStr">
        <is>
          <t>Content &amp; Iconography</t>
        </is>
      </c>
      <c r="E23" s="18" t="inlineStr">
        <is>
          <t>Minor</t>
        </is>
      </c>
      <c r="F23" s="18" t="inlineStr">
        <is>
          <t>Figma: Pagination shows pages 1,2,3,4,5,6,…,150, 'Showing … of 1500 items', page-size dropdown value '200'  →  Live: Pagination shows page '1' only, 'Showing … of 10 items', page-size dropdown value '10'</t>
        </is>
      </c>
      <c r="G23" s="18" t="inlineStr">
        <is>
          <t>Largely DATA (10 real records vs 1500 placeholder). Note the default page-size differs (Figma 200 vs live 10) — confirm intended default page size; pagination component itself otherwise structurally matches (prev/next arrows, active page box, Showing/of-items, size dropdown).</t>
        </is>
      </c>
      <c r="H23" s="18" t="inlineStr">
        <is>
          <t>https://www.figma.com/design/gH2vQ62cfg4677YKWuOpLc/MoSJE-Portal--Handoff-?node-id=4226-40009</t>
        </is>
      </c>
      <c r="I23" s="18" t="inlineStr">
        <is>
          <t>https://eutthan-admin-uat.mosje.in/admin/financial-year-management</t>
        </is>
      </c>
      <c r="J23" s="18" t="inlineStr">
        <is>
          <t>Open</t>
        </is>
      </c>
      <c r="K23" s="18" t="inlineStr"/>
      <c r="L23" s="18" t="inlineStr">
        <is>
          <t>2026-06-09</t>
        </is>
      </c>
      <c r="M23" s="18" t="inlineStr">
        <is>
          <t>Board pin #12</t>
        </is>
      </c>
    </row>
    <row r="24">
      <c r="A24" s="17" t="inlineStr">
        <is>
          <t>UTH-FINANCIAL-YEAR-014</t>
        </is>
      </c>
      <c r="B24" s="17" t="inlineStr">
        <is>
          <t>Admin / Financial Year</t>
        </is>
      </c>
      <c r="C24" s="17" t="inlineStr">
        <is>
          <t>1440</t>
        </is>
      </c>
      <c r="D24" s="17" t="inlineStr">
        <is>
          <t>Color &amp; Token</t>
        </is>
      </c>
      <c r="E24" s="17" t="inlineStr">
        <is>
          <t>Minor</t>
        </is>
      </c>
      <c r="F24" s="17" t="inlineStr">
        <is>
          <t>Figma: Highlighted first/selected row bg = #e5eff9 (Primary/50)  →  Live: Highlighted current-FY row bg = rgb(234,242,251) = #eaf2fb</t>
        </is>
      </c>
      <c r="G24" s="17" t="inlineStr">
        <is>
          <t>Highlighted row uses #eaf2fb instead of token #e5eff9 (visually close — token drift, Minor). Bind to Primary/50 #e5eff9.</t>
        </is>
      </c>
      <c r="H24" s="17" t="inlineStr">
        <is>
          <t>https://www.figma.com/design/gH2vQ62cfg4677YKWuOpLc/MoSJE-Portal--Handoff-?node-id=4226-40009</t>
        </is>
      </c>
      <c r="I24" s="17" t="inlineStr">
        <is>
          <t>https://eutthan-admin-uat.mosje.in/admin/financial-year-management</t>
        </is>
      </c>
      <c r="J24" s="17" t="inlineStr">
        <is>
          <t>Open</t>
        </is>
      </c>
      <c r="K24" s="17" t="inlineStr"/>
      <c r="L24" s="17" t="inlineStr">
        <is>
          <t>2026-06-09</t>
        </is>
      </c>
      <c r="M24" s="17" t="inlineStr">
        <is>
          <t>Board pin #13</t>
        </is>
      </c>
    </row>
    <row r="25">
      <c r="A25" s="18" t="inlineStr">
        <is>
          <t>UTH-FINANCIAL-YEAR-015</t>
        </is>
      </c>
      <c r="B25" s="18" t="inlineStr">
        <is>
          <t>Admin / Financial Year</t>
        </is>
      </c>
      <c r="C25" s="18" t="inlineStr">
        <is>
          <t>1440</t>
        </is>
      </c>
      <c r="D25" s="18" t="inlineStr">
        <is>
          <t>Layout &amp; Spacing</t>
        </is>
      </c>
      <c r="E25" s="18" t="inlineStr">
        <is>
          <t>Minor</t>
        </is>
      </c>
      <c r="F25" s="18" t="inlineStr">
        <is>
          <t>Figma: Top gov accessibility bar height 40px, bg #003366 (Primary/Source)  →  Live: Top gov bar height 38px, bg rgb(0,51,102) = #003366</t>
        </is>
      </c>
      <c r="G25" s="18" t="inlineStr">
        <is>
          <t>Increase gov bar height from 38px to 40px (delta 2px → Minor). Background color matches.</t>
        </is>
      </c>
      <c r="H25" s="18" t="inlineStr">
        <is>
          <t>https://www.figma.com/design/gH2vQ62cfg4677YKWuOpLc/MoSJE-Portal--Handoff-?node-id=4226-40009</t>
        </is>
      </c>
      <c r="I25" s="18" t="inlineStr">
        <is>
          <t>https://eutthan-admin-uat.mosje.in/admin/financial-year-management</t>
        </is>
      </c>
      <c r="J25" s="18" t="inlineStr">
        <is>
          <t>Open</t>
        </is>
      </c>
      <c r="K25" s="18" t="inlineStr"/>
      <c r="L25" s="18" t="inlineStr">
        <is>
          <t>2026-06-09</t>
        </is>
      </c>
      <c r="M25" s="18" t="inlineStr">
        <is>
          <t>Board pin #14</t>
        </is>
      </c>
    </row>
    <row r="26">
      <c r="A26" s="17" t="inlineStr">
        <is>
          <t>UTH-FINANCIAL-YEAR-016</t>
        </is>
      </c>
      <c r="B26" s="17" t="inlineStr">
        <is>
          <t>Admin / Financial Year</t>
        </is>
      </c>
      <c r="C26" s="17" t="inlineStr">
        <is>
          <t>1440</t>
        </is>
      </c>
      <c r="D26" s="17" t="inlineStr">
        <is>
          <t>Typography</t>
        </is>
      </c>
      <c r="E26" s="17" t="inlineStr">
        <is>
          <t>Minor</t>
        </is>
      </c>
      <c r="F26" s="17" t="inlineStr">
        <is>
          <t>Figma: Active sidebar item 'Manage Financial Year': Noto Sans 14px / 400 Regular, label color #003366 (Text/Primary), bg #e5eff9 (Primary/50), radius 16px (radius-xl)  →  Live: Active sidebar item: label color rgb(55,65,81) = #374151, font-weight 700 Bold, bg rgb(229,239,249) = #e5eff9, radius 8px</t>
        </is>
      </c>
      <c r="G26" s="17" t="inlineStr">
        <is>
          <t>Set active sidebar label weight to 400 Regular (not 700 Bold), color to #003366 (not #374151), and radius to 16px (not 8px). Active bg #e5eff9 matches.</t>
        </is>
      </c>
      <c r="H26" s="17" t="inlineStr">
        <is>
          <t>https://www.figma.com/design/gH2vQ62cfg4677YKWuOpLc/MoSJE-Portal--Handoff-?node-id=4226-40009</t>
        </is>
      </c>
      <c r="I26" s="17" t="inlineStr">
        <is>
          <t>https://eutthan-admin-uat.mosje.in/admin/financial-year-management</t>
        </is>
      </c>
      <c r="J26" s="17" t="inlineStr">
        <is>
          <t>Open</t>
        </is>
      </c>
      <c r="K26" s="17" t="inlineStr"/>
      <c r="L26" s="17" t="inlineStr">
        <is>
          <t>2026-06-09</t>
        </is>
      </c>
      <c r="M26" s="17" t="inlineStr">
        <is>
          <t>Board pin #15</t>
        </is>
      </c>
    </row>
    <row r="27">
      <c r="A27" s="18" t="inlineStr">
        <is>
          <t>UTH-FINANCIAL-YEAR-017</t>
        </is>
      </c>
      <c r="B27" s="18" t="inlineStr">
        <is>
          <t>Admin / Financial Year</t>
        </is>
      </c>
      <c r="C27" s="18" t="inlineStr">
        <is>
          <t>1440</t>
        </is>
      </c>
      <c r="D27" s="18" t="inlineStr">
        <is>
          <t>Color &amp; Token</t>
        </is>
      </c>
      <c r="E27" s="18" t="inlineStr">
        <is>
          <t>Nit</t>
        </is>
      </c>
      <c r="F27" s="18" t="inlineStr">
        <is>
          <t>Figma: Search field bg #f9fafb (Neutral/50), radius 8px (radius-md), placeholder 'Search for' 14px #6b7280, leading search icon 20x20  →  Live: Search field 'Search for' with leading magnifier icon present, light-gray fill; placeholder and icon match. (Radius not separately measured in live JSON.)</t>
        </is>
      </c>
      <c r="G27" s="18" t="inlineStr">
        <is>
          <t>Search field largely matches Figma; verify radius is 8px and fill is exactly #f9fafb. Low/Nit-level.</t>
        </is>
      </c>
      <c r="H27" s="18" t="inlineStr">
        <is>
          <t>https://www.figma.com/design/gH2vQ62cfg4677YKWuOpLc/MoSJE-Portal--Handoff-?node-id=4226-40009</t>
        </is>
      </c>
      <c r="I27" s="18" t="inlineStr">
        <is>
          <t>https://eutthan-admin-uat.mosje.in/admin/financial-year-management</t>
        </is>
      </c>
      <c r="J27" s="18" t="inlineStr">
        <is>
          <t>Open</t>
        </is>
      </c>
      <c r="K27" s="18" t="inlineStr"/>
      <c r="L27" s="18" t="inlineStr">
        <is>
          <t>2026-06-09</t>
        </is>
      </c>
      <c r="M27" s="18" t="inlineStr">
        <is>
          <t>Board pin #16</t>
        </is>
      </c>
    </row>
    <row r="28">
      <c r="A28" s="17" t="inlineStr">
        <is>
          <t>UTH-MANAGE-MINISTRY-008</t>
        </is>
      </c>
      <c r="B28" s="17" t="inlineStr">
        <is>
          <t>Admin / Manage Ministry</t>
        </is>
      </c>
      <c r="C28" s="17" t="inlineStr">
        <is>
          <t>1440</t>
        </is>
      </c>
      <c r="D28" s="17" t="inlineStr">
        <is>
          <t>Layout &amp; Spacing</t>
        </is>
      </c>
      <c r="E28" s="17" t="inlineStr">
        <is>
          <t>Blocker</t>
        </is>
      </c>
      <c r="F28" s="17" t="inlineStr">
        <is>
          <t>Figma: 116px  →  Live: 53px</t>
        </is>
      </c>
      <c r="G28" s="17" t="inlineStr">
        <is>
          <t>Body row height is 63px short of Figma (116 → 53). Rows are far denser than designed; restore 116px cell height.</t>
        </is>
      </c>
      <c r="H28" s="17" t="inlineStr">
        <is>
          <t>https://www.figma.com/design/gH2vQ62cfg4677YKWuOpLc/MoSJE-Portal--Handoff-?node-id=4226-40288</t>
        </is>
      </c>
      <c r="I28" s="17" t="inlineStr">
        <is>
          <t>https://eutthan-admin-uat.mosje.in/ministry-management</t>
        </is>
      </c>
      <c r="J28" s="17" t="inlineStr">
        <is>
          <t>Open</t>
        </is>
      </c>
      <c r="K28" s="17" t="inlineStr"/>
      <c r="L28" s="17" t="inlineStr">
        <is>
          <t>2026-06-09</t>
        </is>
      </c>
      <c r="M28" s="17" t="inlineStr">
        <is>
          <t>Board pin #1</t>
        </is>
      </c>
    </row>
    <row r="29">
      <c r="A29" s="18" t="inlineStr">
        <is>
          <t>UTH-MANAGE-MINISTRY-001</t>
        </is>
      </c>
      <c r="B29" s="18" t="inlineStr">
        <is>
          <t>Admin / Manage Ministry</t>
        </is>
      </c>
      <c r="C29" s="18" t="inlineStr">
        <is>
          <t>1440</t>
        </is>
      </c>
      <c r="D29" s="18" t="inlineStr">
        <is>
          <t>Typography</t>
        </is>
      </c>
      <c r="E29" s="18" t="inlineStr">
        <is>
          <t>Major</t>
        </is>
      </c>
      <c r="F29" s="18" t="inlineStr">
        <is>
          <t>Figma: Noto Sans 16px / SemiBold 600 / line-height 24px, color #6b7280  →  Live: Noto Sans 14px / SemiBold 600 / line-height 20px, color rgb(75,85,99) = #4b5563</t>
        </is>
      </c>
      <c r="G29" s="18" t="inlineStr">
        <is>
          <t>Set column-header type to 16px/600/24px and color #6b7280 (Text/Hint) per Figma col-head spec.</t>
        </is>
      </c>
      <c r="H29" s="18" t="inlineStr">
        <is>
          <t>https://www.figma.com/design/gH2vQ62cfg4677YKWuOpLc/MoSJE-Portal--Handoff-?node-id=4226-40288</t>
        </is>
      </c>
      <c r="I29" s="18" t="inlineStr">
        <is>
          <t>https://eutthan-admin-uat.mosje.in/ministry-management</t>
        </is>
      </c>
      <c r="J29" s="18" t="inlineStr">
        <is>
          <t>Open</t>
        </is>
      </c>
      <c r="K29" s="18" t="inlineStr"/>
      <c r="L29" s="18" t="inlineStr">
        <is>
          <t>2026-06-09</t>
        </is>
      </c>
      <c r="M29" s="18" t="inlineStr">
        <is>
          <t>Board pin #2</t>
        </is>
      </c>
    </row>
    <row r="30">
      <c r="A30" s="17" t="inlineStr">
        <is>
          <t>UTH-MANAGE-MINISTRY-003</t>
        </is>
      </c>
      <c r="B30" s="17" t="inlineStr">
        <is>
          <t>Admin / Manage Ministry</t>
        </is>
      </c>
      <c r="C30" s="17" t="inlineStr">
        <is>
          <t>1440</t>
        </is>
      </c>
      <c r="D30" s="17" t="inlineStr">
        <is>
          <t>Color &amp; Token</t>
        </is>
      </c>
      <c r="E30" s="17" t="inlineStr">
        <is>
          <t>Major</t>
        </is>
      </c>
      <c r="F30" s="17" t="inlineStr">
        <is>
          <t>Figma: Default (non-selected) body cell text = #374151 (Neutral/Text-Dark), regular  →  Live: All body cells render rgb(0,51,102) = #003366 (Primary), incl. non-selected rows</t>
        </is>
      </c>
      <c r="G30" s="17" t="inlineStr">
        <is>
          <t>Default body rows must use #374151. Only the selected/active row uses #003366. Live applies primary blue to every row.</t>
        </is>
      </c>
      <c r="H30" s="17" t="inlineStr">
        <is>
          <t>https://www.figma.com/design/gH2vQ62cfg4677YKWuOpLc/MoSJE-Portal--Handoff-?node-id=4226-40288</t>
        </is>
      </c>
      <c r="I30" s="17" t="inlineStr">
        <is>
          <t>https://eutthan-admin-uat.mosje.in/ministry-management</t>
        </is>
      </c>
      <c r="J30" s="17" t="inlineStr">
        <is>
          <t>Open</t>
        </is>
      </c>
      <c r="K30" s="17" t="inlineStr"/>
      <c r="L30" s="17" t="inlineStr">
        <is>
          <t>2026-06-09</t>
        </is>
      </c>
      <c r="M30" s="17" t="inlineStr">
        <is>
          <t>Board pin #3</t>
        </is>
      </c>
    </row>
    <row r="31">
      <c r="A31" s="18" t="inlineStr">
        <is>
          <t>UTH-MANAGE-MINISTRY-005</t>
        </is>
      </c>
      <c r="B31" s="18" t="inlineStr">
        <is>
          <t>Admin / Manage Ministry</t>
        </is>
      </c>
      <c r="C31" s="18" t="inlineStr">
        <is>
          <t>1440</t>
        </is>
      </c>
      <c r="D31" s="18" t="inlineStr">
        <is>
          <t>Typography</t>
        </is>
      </c>
      <c r="E31" s="18" t="inlineStr">
        <is>
          <t>Major</t>
        </is>
      </c>
      <c r="F31" s="18" t="inlineStr">
        <is>
          <t>Figma: 16px (Body/body-1)  →  Live: 14px</t>
        </is>
      </c>
      <c r="G31" s="18" t="inlineStr">
        <is>
          <t>Increase body-cell font-size from 14px to 16px per Figma body-1.</t>
        </is>
      </c>
      <c r="H31" s="18" t="inlineStr">
        <is>
          <t>https://www.figma.com/design/gH2vQ62cfg4677YKWuOpLc/MoSJE-Portal--Handoff-?node-id=4226-40288</t>
        </is>
      </c>
      <c r="I31" s="18" t="inlineStr">
        <is>
          <t>https://eutthan-admin-uat.mosje.in/ministry-management</t>
        </is>
      </c>
      <c r="J31" s="18" t="inlineStr">
        <is>
          <t>Open</t>
        </is>
      </c>
      <c r="K31" s="18" t="inlineStr"/>
      <c r="L31" s="18" t="inlineStr">
        <is>
          <t>2026-06-09</t>
        </is>
      </c>
      <c r="M31" s="18" t="inlineStr">
        <is>
          <t>Board pin #4</t>
        </is>
      </c>
    </row>
    <row r="32">
      <c r="A32" s="17" t="inlineStr">
        <is>
          <t>UTH-MANAGE-MINISTRY-007</t>
        </is>
      </c>
      <c r="B32" s="17" t="inlineStr">
        <is>
          <t>Admin / Manage Ministry</t>
        </is>
      </c>
      <c r="C32" s="17" t="inlineStr">
        <is>
          <t>1440</t>
        </is>
      </c>
      <c r="D32" s="17" t="inlineStr">
        <is>
          <t>Layout &amp; Spacing</t>
        </is>
      </c>
      <c r="E32" s="17" t="inlineStr">
        <is>
          <t>Major</t>
        </is>
      </c>
      <c r="F32" s="17" t="inlineStr">
        <is>
          <t>Figma: 56px  →  Live: 49px</t>
        </is>
      </c>
      <c r="G32" s="17" t="inlineStr">
        <is>
          <t>Header row height is 7px short; align to 56px (driven by 16px font + 16px py).</t>
        </is>
      </c>
      <c r="H32" s="17" t="inlineStr">
        <is>
          <t>https://www.figma.com/design/gH2vQ62cfg4677YKWuOpLc/MoSJE-Portal--Handoff-?node-id=4226-40288</t>
        </is>
      </c>
      <c r="I32" s="17" t="inlineStr">
        <is>
          <t>https://eutthan-admin-uat.mosje.in/ministry-management</t>
        </is>
      </c>
      <c r="J32" s="17" t="inlineStr">
        <is>
          <t>Open</t>
        </is>
      </c>
      <c r="K32" s="17" t="inlineStr"/>
      <c r="L32" s="17" t="inlineStr">
        <is>
          <t>2026-06-09</t>
        </is>
      </c>
      <c r="M32" s="17" t="inlineStr">
        <is>
          <t>Board pin #5</t>
        </is>
      </c>
    </row>
    <row r="33">
      <c r="A33" s="18" t="inlineStr">
        <is>
          <t>UTH-MANAGE-MINISTRY-011</t>
        </is>
      </c>
      <c r="B33" s="18" t="inlineStr">
        <is>
          <t>Admin / Manage Ministry</t>
        </is>
      </c>
      <c r="C33" s="18" t="inlineStr">
        <is>
          <t>1440</t>
        </is>
      </c>
      <c r="D33" s="18" t="inlineStr">
        <is>
          <t>Components &amp; States</t>
        </is>
      </c>
      <c r="E33" s="18" t="inlineStr">
        <is>
          <t>Major</t>
        </is>
      </c>
      <c r="F33" s="18" t="inlineStr">
        <is>
          <t>Figma: Single selected/active row uses #e5eff9 bg + #003366 text; all other rows white bg + #374151 text  →  Live: zebra reports r1 #ffffff, r2 #ffffff (no alternating); but all text is #003366 and a hovered/selected row shows #e5eff9 highlight</t>
        </is>
      </c>
      <c r="G33" s="18" t="inlineStr">
        <is>
          <t>Confirm selection model: only the active row should carry #e5eff9 bg + #003366 text; default rows must be white bg + #374151 text.</t>
        </is>
      </c>
      <c r="H33" s="18" t="inlineStr">
        <is>
          <t>https://www.figma.com/design/gH2vQ62cfg4677YKWuOpLc/MoSJE-Portal--Handoff-?node-id=4226-40288</t>
        </is>
      </c>
      <c r="I33" s="18" t="inlineStr">
        <is>
          <t>https://eutthan-admin-uat.mosje.in/ministry-management</t>
        </is>
      </c>
      <c r="J33" s="18" t="inlineStr">
        <is>
          <t>Open</t>
        </is>
      </c>
      <c r="K33" s="18" t="inlineStr"/>
      <c r="L33" s="18" t="inlineStr">
        <is>
          <t>2026-06-09</t>
        </is>
      </c>
      <c r="M33" s="18" t="inlineStr">
        <is>
          <t>Board pin #6</t>
        </is>
      </c>
    </row>
    <row r="34">
      <c r="A34" s="17" t="inlineStr">
        <is>
          <t>UTH-MANAGE-MINISTRY-013</t>
        </is>
      </c>
      <c r="B34" s="17" t="inlineStr">
        <is>
          <t>Admin / Manage Ministry</t>
        </is>
      </c>
      <c r="C34" s="17" t="inlineStr">
        <is>
          <t>1440</t>
        </is>
      </c>
      <c r="D34" s="17" t="inlineStr">
        <is>
          <t>Content &amp; Iconography</t>
        </is>
      </c>
      <c r="E34" s="17" t="inlineStr">
        <is>
          <t>Major</t>
        </is>
      </c>
      <c r="F34" s="17" t="inlineStr">
        <is>
          <t>Figma: Three-line lockup: 'Government of India' (12px), 'Ministry of Social Justice &amp; Empowerment' (14px), 'Department of Social Justice &amp; Empowerment' (20px Bold, headline-4)  →  Live: Masthead shows only 'Government of India' + 'Ministry of Social Justice &amp; Empowerment'; the 20px Bold 'Department of Social Justice &amp; Empowerment' line is absent</t>
        </is>
      </c>
      <c r="G34" s="17" t="inlineStr">
        <is>
          <t>Add the 'Department of Social Justice &amp; Empowerment' headline-4 (20px/700/#374151) line to the masthead lockup.</t>
        </is>
      </c>
      <c r="H34" s="17" t="inlineStr">
        <is>
          <t>https://www.figma.com/design/gH2vQ62cfg4677YKWuOpLc/MoSJE-Portal--Handoff-?node-id=4226-40288</t>
        </is>
      </c>
      <c r="I34" s="17" t="inlineStr">
        <is>
          <t>https://eutthan-admin-uat.mosje.in/ministry-management</t>
        </is>
      </c>
      <c r="J34" s="17" t="inlineStr">
        <is>
          <t>Open</t>
        </is>
      </c>
      <c r="K34" s="17" t="inlineStr"/>
      <c r="L34" s="17" t="inlineStr">
        <is>
          <t>2026-06-09</t>
        </is>
      </c>
      <c r="M34" s="17" t="inlineStr">
        <is>
          <t>Board pin #7</t>
        </is>
      </c>
    </row>
    <row r="35">
      <c r="A35" s="18" t="inlineStr">
        <is>
          <t>UTH-MANAGE-MINISTRY-014</t>
        </is>
      </c>
      <c r="B35" s="18" t="inlineStr">
        <is>
          <t>Admin / Manage Ministry</t>
        </is>
      </c>
      <c r="C35" s="18" t="inlineStr">
        <is>
          <t>1440</t>
        </is>
      </c>
      <c r="D35" s="18" t="inlineStr">
        <is>
          <t>Content &amp; Iconography</t>
        </is>
      </c>
      <c r="E35" s="18" t="inlineStr">
        <is>
          <t>Major</t>
        </is>
      </c>
      <c r="F35" s="18" t="inlineStr">
        <is>
          <t>Figma: Right masthead shows Digital India logo (102×40) + SAMAVESH co-brand lockup before the profile block  →  Live: Digital India and SAMAVESH co-branding lockups are absent from the live masthead</t>
        </is>
      </c>
      <c r="G35" s="18" t="inlineStr">
        <is>
          <t>Add Digital India logo and SAMAVESH co-branding lockup to the right side of the masthead before the profile.</t>
        </is>
      </c>
      <c r="H35" s="18" t="inlineStr">
        <is>
          <t>https://www.figma.com/design/gH2vQ62cfg4677YKWuOpLc/MoSJE-Portal--Handoff-?node-id=4226-40288</t>
        </is>
      </c>
      <c r="I35" s="18" t="inlineStr">
        <is>
          <t>https://eutthan-admin-uat.mosje.in/ministry-management</t>
        </is>
      </c>
      <c r="J35" s="18" t="inlineStr">
        <is>
          <t>Open</t>
        </is>
      </c>
      <c r="K35" s="18" t="inlineStr"/>
      <c r="L35" s="18" t="inlineStr">
        <is>
          <t>2026-06-09</t>
        </is>
      </c>
      <c r="M35" s="18" t="inlineStr">
        <is>
          <t>Board pin #8</t>
        </is>
      </c>
    </row>
    <row r="36">
      <c r="A36" s="17" t="inlineStr">
        <is>
          <t>UTH-MANAGE-MINISTRY-015</t>
        </is>
      </c>
      <c r="B36" s="17" t="inlineStr">
        <is>
          <t>Admin / Manage Ministry</t>
        </is>
      </c>
      <c r="C36" s="17" t="inlineStr">
        <is>
          <t>1440</t>
        </is>
      </c>
      <c r="D36" s="17" t="inlineStr">
        <is>
          <t>Color &amp; Token</t>
        </is>
      </c>
      <c r="E36" s="17" t="inlineStr">
        <is>
          <t>Major</t>
        </is>
      </c>
      <c r="F36" s="17" t="inlineStr">
        <is>
          <t>Figma: Active 'Manage Ministry' = text #003366 (Text/Primary), weight Regular 400, bg #e5eff9  →  Live: Active item color rgb(55,65,81) = #374151, weight 700, bg rgb(229,239,249) = #e5eff9</t>
        </is>
      </c>
      <c r="G36" s="17" t="inlineStr">
        <is>
          <t>Active sidebar item text must be #003366 (not #374151); weight should be 400 per Figma (live uses 700).</t>
        </is>
      </c>
      <c r="H36" s="17" t="inlineStr">
        <is>
          <t>https://www.figma.com/design/gH2vQ62cfg4677YKWuOpLc/MoSJE-Portal--Handoff-?node-id=4226-40288</t>
        </is>
      </c>
      <c r="I36" s="17" t="inlineStr">
        <is>
          <t>https://eutthan-admin-uat.mosje.in/ministry-management</t>
        </is>
      </c>
      <c r="J36" s="17" t="inlineStr">
        <is>
          <t>Open</t>
        </is>
      </c>
      <c r="K36" s="17" t="inlineStr"/>
      <c r="L36" s="17" t="inlineStr">
        <is>
          <t>2026-06-09</t>
        </is>
      </c>
      <c r="M36" s="17" t="inlineStr">
        <is>
          <t>Board pin #9</t>
        </is>
      </c>
    </row>
    <row r="37">
      <c r="A37" s="18" t="inlineStr">
        <is>
          <t>UTH-MANAGE-MINISTRY-017</t>
        </is>
      </c>
      <c r="B37" s="18" t="inlineStr">
        <is>
          <t>Admin / Manage Ministry</t>
        </is>
      </c>
      <c r="C37" s="18" t="inlineStr">
        <is>
          <t>1440</t>
        </is>
      </c>
      <c r="D37" s="18" t="inlineStr">
        <is>
          <t>Components &amp; States</t>
        </is>
      </c>
      <c r="E37" s="18" t="inlineStr">
        <is>
          <t>Major</t>
        </is>
      </c>
      <c r="F37" s="18" t="inlineStr">
        <is>
          <t>Figma: Edit: #003366 text on #00336614 (8% primary) fill, radius 8, pl20/pr16/py10, edit icon 16×16, 86×40. Delete: #d64539 text, transparent fill, radius 8, 104×40, delete icon 16×16. Group gap 12, floats over active row right 11px  →  Live: Edit shows as low-contrast pill near right of active row; Delete shown as #d64539 text — but action group is compressed within the 53px-tall row, not the 40px floating group over a 116px row</t>
        </is>
      </c>
      <c r="G37" s="18" t="inlineStr">
        <is>
          <t>Once row height is corrected to 116px, ensure Edit (86×40, #00336614 fill, #003366 text) and Delete (104×40, transparent, #d64539) buttons match Figma with gap 12 and 16×16 icons.</t>
        </is>
      </c>
      <c r="H37" s="18" t="inlineStr">
        <is>
          <t>https://www.figma.com/design/gH2vQ62cfg4677YKWuOpLc/MoSJE-Portal--Handoff-?node-id=4226-40288</t>
        </is>
      </c>
      <c r="I37" s="18" t="inlineStr">
        <is>
          <t>https://eutthan-admin-uat.mosje.in/ministry-management</t>
        </is>
      </c>
      <c r="J37" s="18" t="inlineStr">
        <is>
          <t>Open</t>
        </is>
      </c>
      <c r="K37" s="18" t="inlineStr"/>
      <c r="L37" s="18" t="inlineStr">
        <is>
          <t>2026-06-09</t>
        </is>
      </c>
      <c r="M37" s="18" t="inlineStr">
        <is>
          <t>Board pin #10</t>
        </is>
      </c>
    </row>
    <row r="38">
      <c r="A38" s="17" t="inlineStr">
        <is>
          <t>UTH-MANAGE-MINISTRY-002</t>
        </is>
      </c>
      <c r="B38" s="17" t="inlineStr">
        <is>
          <t>Admin / Manage Ministry</t>
        </is>
      </c>
      <c r="C38" s="17" t="inlineStr">
        <is>
          <t>1440</t>
        </is>
      </c>
      <c r="D38" s="17" t="inlineStr">
        <is>
          <t>Color &amp; Token</t>
        </is>
      </c>
      <c r="E38" s="17" t="inlineStr">
        <is>
          <t>Minor</t>
        </is>
      </c>
      <c r="F38" s="17" t="inlineStr">
        <is>
          <t>Figma: #6b7280 (Text/Hint as emitted)  →  Live: rgb(75, 85, 99) = #4b5563 (Neutral/600)</t>
        </is>
      </c>
      <c r="G38" s="17" t="inlineStr">
        <is>
          <t>Change column-header color from #4b5563 to #6b7280 to match Figma.</t>
        </is>
      </c>
      <c r="H38" s="17" t="inlineStr">
        <is>
          <t>https://www.figma.com/design/gH2vQ62cfg4677YKWuOpLc/MoSJE-Portal--Handoff-?node-id=4226-40288</t>
        </is>
      </c>
      <c r="I38" s="17" t="inlineStr">
        <is>
          <t>https://eutthan-admin-uat.mosje.in/ministry-management</t>
        </is>
      </c>
      <c r="J38" s="17" t="inlineStr">
        <is>
          <t>Open</t>
        </is>
      </c>
      <c r="K38" s="17" t="inlineStr"/>
      <c r="L38" s="17" t="inlineStr">
        <is>
          <t>2026-06-09</t>
        </is>
      </c>
      <c r="M38" s="17" t="inlineStr">
        <is>
          <t>Board pin #11</t>
        </is>
      </c>
    </row>
    <row r="39">
      <c r="A39" s="18" t="inlineStr">
        <is>
          <t>UTH-MANAGE-MINISTRY-004</t>
        </is>
      </c>
      <c r="B39" s="18" t="inlineStr">
        <is>
          <t>Admin / Manage Ministry</t>
        </is>
      </c>
      <c r="C39" s="18" t="inlineStr">
        <is>
          <t>1440</t>
        </is>
      </c>
      <c r="D39" s="18" t="inlineStr">
        <is>
          <t>Typography</t>
        </is>
      </c>
      <c r="E39" s="18" t="inlineStr">
        <is>
          <t>Minor</t>
        </is>
      </c>
      <c r="F39" s="18" t="inlineStr">
        <is>
          <t>Figma: Noto Sans 16px / Regular 400 / line-height 24px  →  Live: Noto Sans 14px / Medium 500 / line-height 20px</t>
        </is>
      </c>
      <c r="G39" s="18" t="inlineStr">
        <is>
          <t>Set body-cell type to 16px / 400 / 24px; remove Medium 500 weight applied live.</t>
        </is>
      </c>
      <c r="H39" s="18" t="inlineStr">
        <is>
          <t>https://www.figma.com/design/gH2vQ62cfg4677YKWuOpLc/MoSJE-Portal--Handoff-?node-id=4226-40288</t>
        </is>
      </c>
      <c r="I39" s="18" t="inlineStr">
        <is>
          <t>https://eutthan-admin-uat.mosje.in/ministry-management</t>
        </is>
      </c>
      <c r="J39" s="18" t="inlineStr">
        <is>
          <t>Open</t>
        </is>
      </c>
      <c r="K39" s="18" t="inlineStr"/>
      <c r="L39" s="18" t="inlineStr">
        <is>
          <t>2026-06-09</t>
        </is>
      </c>
      <c r="M39" s="18" t="inlineStr">
        <is>
          <t>Board pin #12</t>
        </is>
      </c>
    </row>
    <row r="40">
      <c r="A40" s="17" t="inlineStr">
        <is>
          <t>UTH-MANAGE-MINISTRY-006</t>
        </is>
      </c>
      <c r="B40" s="17" t="inlineStr">
        <is>
          <t>Admin / Manage Ministry</t>
        </is>
      </c>
      <c r="C40" s="17" t="inlineStr">
        <is>
          <t>1440</t>
        </is>
      </c>
      <c r="D40" s="17" t="inlineStr">
        <is>
          <t>Layout &amp; Spacing</t>
        </is>
      </c>
      <c r="E40" s="17" t="inlineStr">
        <is>
          <t>Minor</t>
        </is>
      </c>
      <c r="F40" s="17" t="inlineStr">
        <is>
          <t>Figma: py 16px (padding-top 16 / padding-bottom 16)  →  Live: padding-top 14px / padding-bottom 14px</t>
        </is>
      </c>
      <c r="G40" s="17" t="inlineStr">
        <is>
          <t>Increase header cell vertical padding from 14px to 16px (delta 2px each side).</t>
        </is>
      </c>
      <c r="H40" s="17" t="inlineStr">
        <is>
          <t>https://www.figma.com/design/gH2vQ62cfg4677YKWuOpLc/MoSJE-Portal--Handoff-?node-id=4226-40288</t>
        </is>
      </c>
      <c r="I40" s="17" t="inlineStr">
        <is>
          <t>https://eutthan-admin-uat.mosje.in/ministry-management</t>
        </is>
      </c>
      <c r="J40" s="17" t="inlineStr">
        <is>
          <t>Open</t>
        </is>
      </c>
      <c r="K40" s="17" t="inlineStr"/>
      <c r="L40" s="17" t="inlineStr">
        <is>
          <t>2026-06-09</t>
        </is>
      </c>
      <c r="M40" s="17" t="inlineStr">
        <is>
          <t>Board pin #13</t>
        </is>
      </c>
    </row>
    <row r="41">
      <c r="A41" s="18" t="inlineStr">
        <is>
          <t>UTH-MANAGE-MINISTRY-009</t>
        </is>
      </c>
      <c r="B41" s="18" t="inlineStr">
        <is>
          <t>Admin / Manage Ministry</t>
        </is>
      </c>
      <c r="C41" s="18" t="inlineStr">
        <is>
          <t>1440</t>
        </is>
      </c>
      <c r="D41" s="18" t="inlineStr">
        <is>
          <t>Color &amp; Token</t>
        </is>
      </c>
      <c r="E41" s="18" t="inlineStr">
        <is>
          <t>Minor</t>
        </is>
      </c>
      <c r="F41" s="18" t="inlineStr">
        <is>
          <t>Figma: radius 14px (raw)  →  Live: border-top-left-radius 8px</t>
        </is>
      </c>
      <c r="G41" s="18" t="inlineStr">
        <is>
          <t>Set card radius to 14px to match Figma (delta 6px).</t>
        </is>
      </c>
      <c r="H41" s="18" t="inlineStr">
        <is>
          <t>https://www.figma.com/design/gH2vQ62cfg4677YKWuOpLc/MoSJE-Portal--Handoff-?node-id=4226-40288</t>
        </is>
      </c>
      <c r="I41" s="18" t="inlineStr">
        <is>
          <t>https://eutthan-admin-uat.mosje.in/ministry-management</t>
        </is>
      </c>
      <c r="J41" s="18" t="inlineStr">
        <is>
          <t>Open</t>
        </is>
      </c>
      <c r="K41" s="18" t="inlineStr"/>
      <c r="L41" s="18" t="inlineStr">
        <is>
          <t>2026-06-09</t>
        </is>
      </c>
      <c r="M41" s="18" t="inlineStr">
        <is>
          <t>Board pin #14</t>
        </is>
      </c>
    </row>
    <row r="42">
      <c r="A42" s="17" t="inlineStr">
        <is>
          <t>UTH-MANAGE-MINISTRY-010</t>
        </is>
      </c>
      <c r="B42" s="17" t="inlineStr">
        <is>
          <t>Admin / Manage Ministry</t>
        </is>
      </c>
      <c r="C42" s="17" t="inlineStr">
        <is>
          <t>1440</t>
        </is>
      </c>
      <c r="D42" s="17" t="inlineStr">
        <is>
          <t>Color &amp; Token</t>
        </is>
      </c>
      <c r="E42" s="17" t="inlineStr">
        <is>
          <t>Minor</t>
        </is>
      </c>
      <c r="F42" s="17" t="inlineStr">
        <is>
          <t>Figma: 1px #e2e8f0 (raw)  →  Live: 1px rgb(229,231,235) = #e5e7eb</t>
        </is>
      </c>
      <c r="G42" s="17" t="inlineStr">
        <is>
          <t>Change card border from #e5e7eb to #e2e8f0 per Figma card stroke.</t>
        </is>
      </c>
      <c r="H42" s="17" t="inlineStr">
        <is>
          <t>https://www.figma.com/design/gH2vQ62cfg4677YKWuOpLc/MoSJE-Portal--Handoff-?node-id=4226-40288</t>
        </is>
      </c>
      <c r="I42" s="17" t="inlineStr">
        <is>
          <t>https://eutthan-admin-uat.mosje.in/ministry-management</t>
        </is>
      </c>
      <c r="J42" s="17" t="inlineStr">
        <is>
          <t>Open</t>
        </is>
      </c>
      <c r="K42" s="17" t="inlineStr"/>
      <c r="L42" s="17" t="inlineStr">
        <is>
          <t>2026-06-09</t>
        </is>
      </c>
      <c r="M42" s="17" t="inlineStr">
        <is>
          <t>Board pin #15</t>
        </is>
      </c>
    </row>
    <row r="43">
      <c r="A43" s="18" t="inlineStr">
        <is>
          <t>UTH-MANAGE-MINISTRY-012</t>
        </is>
      </c>
      <c r="B43" s="18" t="inlineStr">
        <is>
          <t>Admin / Manage Ministry</t>
        </is>
      </c>
      <c r="C43" s="18" t="inlineStr">
        <is>
          <t>1440</t>
        </is>
      </c>
      <c r="D43" s="18" t="inlineStr">
        <is>
          <t>Layout &amp; Spacing</t>
        </is>
      </c>
      <c r="E43" s="18" t="inlineStr">
        <is>
          <t>Minor</t>
        </is>
      </c>
      <c r="F43" s="18" t="inlineStr">
        <is>
          <t>Figma: 40px tall, bg #003366  →  Live: 38px tall, bg rgb(0,51,102) = #003366</t>
        </is>
      </c>
      <c r="G43" s="18" t="inlineStr">
        <is>
          <t>Increase gov bar height from 38px to 40px (delta 2px).</t>
        </is>
      </c>
      <c r="H43" s="18" t="inlineStr">
        <is>
          <t>https://www.figma.com/design/gH2vQ62cfg4677YKWuOpLc/MoSJE-Portal--Handoff-?node-id=4226-40288</t>
        </is>
      </c>
      <c r="I43" s="18" t="inlineStr">
        <is>
          <t>https://eutthan-admin-uat.mosje.in/ministry-management</t>
        </is>
      </c>
      <c r="J43" s="18" t="inlineStr">
        <is>
          <t>Open</t>
        </is>
      </c>
      <c r="K43" s="18" t="inlineStr"/>
      <c r="L43" s="18" t="inlineStr">
        <is>
          <t>2026-06-09</t>
        </is>
      </c>
      <c r="M43" s="18" t="inlineStr">
        <is>
          <t>Board pin #16</t>
        </is>
      </c>
    </row>
    <row r="44">
      <c r="A44" s="17" t="inlineStr">
        <is>
          <t>UTH-MANAGE-MINISTRY-016</t>
        </is>
      </c>
      <c r="B44" s="17" t="inlineStr">
        <is>
          <t>Admin / Manage Ministry</t>
        </is>
      </c>
      <c r="C44" s="17" t="inlineStr">
        <is>
          <t>1440</t>
        </is>
      </c>
      <c r="D44" s="17" t="inlineStr">
        <is>
          <t>Layout &amp; Spacing</t>
        </is>
      </c>
      <c r="E44" s="17" t="inlineStr">
        <is>
          <t>Minor</t>
        </is>
      </c>
      <c r="F44" s="17" t="inlineStr">
        <is>
          <t>Figma: row radius 16px  →  Live: 8px</t>
        </is>
      </c>
      <c r="G44" s="17" t="inlineStr">
        <is>
          <t>Set active sidebar item border-radius to 16px (delta 8px).</t>
        </is>
      </c>
      <c r="H44" s="17" t="inlineStr">
        <is>
          <t>https://www.figma.com/design/gH2vQ62cfg4677YKWuOpLc/MoSJE-Portal--Handoff-?node-id=4226-40288</t>
        </is>
      </c>
      <c r="I44" s="17" t="inlineStr">
        <is>
          <t>https://eutthan-admin-uat.mosje.in/ministry-management</t>
        </is>
      </c>
      <c r="J44" s="17" t="inlineStr">
        <is>
          <t>Open</t>
        </is>
      </c>
      <c r="K44" s="17" t="inlineStr"/>
      <c r="L44" s="17" t="inlineStr">
        <is>
          <t>2026-06-09</t>
        </is>
      </c>
      <c r="M44" s="17" t="inlineStr">
        <is>
          <t>Board pin #17</t>
        </is>
      </c>
    </row>
    <row r="45">
      <c r="A45" s="18" t="inlineStr">
        <is>
          <t>UTH-MANAGE-MINISTRY-018</t>
        </is>
      </c>
      <c r="B45" s="18" t="inlineStr">
        <is>
          <t>Admin / Manage Ministry</t>
        </is>
      </c>
      <c r="C45" s="18" t="inlineStr">
        <is>
          <t>1440</t>
        </is>
      </c>
      <c r="D45" s="18" t="inlineStr">
        <is>
          <t>Color &amp; Token</t>
        </is>
      </c>
      <c r="E45" s="18" t="inlineStr">
        <is>
          <t>Minor</t>
        </is>
      </c>
      <c r="F45" s="18" t="inlineStr">
        <is>
          <t>Figma: Card bg #ffffff  →  Live: card backgroundColor rgba(0,0,0,0) with effective bg rgb(255,255,255)</t>
        </is>
      </c>
      <c r="G45" s="18" t="inlineStr">
        <is>
          <t>Cosmetic: card resolves to white via effbg; ensure the card element itself carries #ffffff fill rather than relying on an ancestor.</t>
        </is>
      </c>
      <c r="H45" s="18" t="inlineStr">
        <is>
          <t>https://www.figma.com/design/gH2vQ62cfg4677YKWuOpLc/MoSJE-Portal--Handoff-?node-id=4226-40288</t>
        </is>
      </c>
      <c r="I45" s="18" t="inlineStr">
        <is>
          <t>https://eutthan-admin-uat.mosje.in/ministry-management</t>
        </is>
      </c>
      <c r="J45" s="18" t="inlineStr">
        <is>
          <t>Open</t>
        </is>
      </c>
      <c r="K45" s="18" t="inlineStr"/>
      <c r="L45" s="18" t="inlineStr">
        <is>
          <t>2026-06-09</t>
        </is>
      </c>
      <c r="M45" s="18" t="inlineStr">
        <is>
          <t>Board pin #18</t>
        </is>
      </c>
    </row>
    <row r="46">
      <c r="A46" s="17" t="inlineStr">
        <is>
          <t>UTH-MANAGE-SCHEME-001</t>
        </is>
      </c>
      <c r="B46" s="17" t="inlineStr">
        <is>
          <t>Admin / Manage Scheme</t>
        </is>
      </c>
      <c r="C46" s="17" t="inlineStr">
        <is>
          <t>1440</t>
        </is>
      </c>
      <c r="D46" s="17" t="inlineStr">
        <is>
          <t>Typography</t>
        </is>
      </c>
      <c r="E46" s="17" t="inlineStr">
        <is>
          <t>Major</t>
        </is>
      </c>
      <c r="F46" s="17" t="inlineStr">
        <is>
          <t>Figma: Noto Sans 16px / 600 / line-height 24px (body-1-semibold), color #6b7280  →  Live: Noto Sans 14px / 600 / line-height 21.7px, color rgb(55,65,81) = #374151</t>
        </is>
      </c>
      <c r="G46" s="17" t="inlineStr">
        <is>
          <t>Set column-header font-size to 16px and line-height to 24px (body-1-semibold) per Figma; correct header color to #6b7280.</t>
        </is>
      </c>
      <c r="H46" s="17" t="inlineStr">
        <is>
          <t>https://www.figma.com/design/gH2vQ62cfg4677YKWuOpLc/MoSJE-Portal--Handoff-?node-id=4226-40449</t>
        </is>
      </c>
      <c r="I46" s="17" t="inlineStr">
        <is>
          <t>https://eutthan-admin-uat.mosje.in/scheme-management</t>
        </is>
      </c>
      <c r="J46" s="17" t="inlineStr">
        <is>
          <t>Open</t>
        </is>
      </c>
      <c r="K46" s="17" t="inlineStr"/>
      <c r="L46" s="17" t="inlineStr">
        <is>
          <t>2026-06-09</t>
        </is>
      </c>
      <c r="M46" s="17" t="inlineStr">
        <is>
          <t>Board pin #1</t>
        </is>
      </c>
    </row>
    <row r="47">
      <c r="A47" s="18" t="inlineStr">
        <is>
          <t>UTH-MANAGE-SCHEME-003</t>
        </is>
      </c>
      <c r="B47" s="18" t="inlineStr">
        <is>
          <t>Admin / Manage Scheme</t>
        </is>
      </c>
      <c r="C47" s="18" t="inlineStr">
        <is>
          <t>1440</t>
        </is>
      </c>
      <c r="D47" s="18" t="inlineStr">
        <is>
          <t>Typography</t>
        </is>
      </c>
      <c r="E47" s="18" t="inlineStr">
        <is>
          <t>Major</t>
        </is>
      </c>
      <c r="F47" s="18" t="inlineStr">
        <is>
          <t>Figma: Noto Sans 16px / 400 / line-height 24px (body-1)  →  Live: Noto Sans 14px / 400 / line-height 21.7px</t>
        </is>
      </c>
      <c r="G47" s="18" t="inlineStr">
        <is>
          <t>Set body-cell font-size to 16px and line-height to 24px per Figma body-1.</t>
        </is>
      </c>
      <c r="H47" s="18" t="inlineStr">
        <is>
          <t>https://www.figma.com/design/gH2vQ62cfg4677YKWuOpLc/MoSJE-Portal--Handoff-?node-id=4226-40449</t>
        </is>
      </c>
      <c r="I47" s="18" t="inlineStr">
        <is>
          <t>https://eutthan-admin-uat.mosje.in/scheme-management</t>
        </is>
      </c>
      <c r="J47" s="18" t="inlineStr">
        <is>
          <t>Open</t>
        </is>
      </c>
      <c r="K47" s="18" t="inlineStr"/>
      <c r="L47" s="18" t="inlineStr">
        <is>
          <t>2026-06-09</t>
        </is>
      </c>
      <c r="M47" s="18" t="inlineStr">
        <is>
          <t>Board pin #2</t>
        </is>
      </c>
    </row>
    <row r="48">
      <c r="A48" s="17" t="inlineStr">
        <is>
          <t>UTH-MANAGE-SCHEME-005</t>
        </is>
      </c>
      <c r="B48" s="17" t="inlineStr">
        <is>
          <t>Admin / Manage Scheme</t>
        </is>
      </c>
      <c r="C48" s="17" t="inlineStr">
        <is>
          <t>1440</t>
        </is>
      </c>
      <c r="D48" s="17" t="inlineStr">
        <is>
          <t>Layout &amp; Spacing</t>
        </is>
      </c>
      <c r="E48" s="17" t="inlineStr">
        <is>
          <t>Major</t>
        </is>
      </c>
      <c r="F48" s="17" t="inlineStr">
        <is>
          <t>Figma: row height 116px (cell padding 24px all sides)  →  Live: row height 84px (cell padding-top/bottom 20px, padding-left/right 16px)</t>
        </is>
      </c>
      <c r="G48" s="17" t="inlineStr">
        <is>
          <t>Increase row height to 116px; set cell padding to 24px on all sides per Figma.</t>
        </is>
      </c>
      <c r="H48" s="17" t="inlineStr">
        <is>
          <t>https://www.figma.com/design/gH2vQ62cfg4677YKWuOpLc/MoSJE-Portal--Handoff-?node-id=4226-40449</t>
        </is>
      </c>
      <c r="I48" s="17" t="inlineStr">
        <is>
          <t>https://eutthan-admin-uat.mosje.in/scheme-management</t>
        </is>
      </c>
      <c r="J48" s="17" t="inlineStr">
        <is>
          <t>Open</t>
        </is>
      </c>
      <c r="K48" s="17" t="inlineStr"/>
      <c r="L48" s="17" t="inlineStr">
        <is>
          <t>2026-06-09</t>
        </is>
      </c>
      <c r="M48" s="17" t="inlineStr">
        <is>
          <t>Board pin #3</t>
        </is>
      </c>
    </row>
    <row r="49">
      <c r="A49" s="18" t="inlineStr">
        <is>
          <t>UTH-MANAGE-SCHEME-010</t>
        </is>
      </c>
      <c r="B49" s="18" t="inlineStr">
        <is>
          <t>Admin / Manage Scheme</t>
        </is>
      </c>
      <c r="C49" s="18" t="inlineStr">
        <is>
          <t>1440</t>
        </is>
      </c>
      <c r="D49" s="18" t="inlineStr">
        <is>
          <t>Color &amp; Token</t>
        </is>
      </c>
      <c r="E49" s="18" t="inlineStr">
        <is>
          <t>Major</t>
        </is>
      </c>
      <c r="F49" s="18" t="inlineStr">
        <is>
          <t>Figma: color #003366 (Text/Primary), font-weight 400  →  Live: color rgb(55,65,81) = #374151, font-weight 700</t>
        </is>
      </c>
      <c r="G49" s="18" t="inlineStr">
        <is>
          <t>Active sidebar item text should be #003366 at weight 400 per Figma; live uses #374151 at weight 700.</t>
        </is>
      </c>
      <c r="H49" s="18" t="inlineStr">
        <is>
          <t>https://www.figma.com/design/gH2vQ62cfg4677YKWuOpLc/MoSJE-Portal--Handoff-?node-id=4226-40449</t>
        </is>
      </c>
      <c r="I49" s="18" t="inlineStr">
        <is>
          <t>https://eutthan-admin-uat.mosje.in/scheme-management</t>
        </is>
      </c>
      <c r="J49" s="18" t="inlineStr">
        <is>
          <t>Open</t>
        </is>
      </c>
      <c r="K49" s="18" t="inlineStr"/>
      <c r="L49" s="18" t="inlineStr">
        <is>
          <t>2026-06-09</t>
        </is>
      </c>
      <c r="M49" s="18" t="inlineStr">
        <is>
          <t>Board pin #4</t>
        </is>
      </c>
    </row>
    <row r="50">
      <c r="A50" s="17" t="inlineStr">
        <is>
          <t>UTH-MANAGE-SCHEME-002</t>
        </is>
      </c>
      <c r="B50" s="17" t="inlineStr">
        <is>
          <t>Admin / Manage Scheme</t>
        </is>
      </c>
      <c r="C50" s="17" t="inlineStr">
        <is>
          <t>1440</t>
        </is>
      </c>
      <c r="D50" s="17" t="inlineStr">
        <is>
          <t>Color &amp; Token</t>
        </is>
      </c>
      <c r="E50" s="17" t="inlineStr">
        <is>
          <t>Minor</t>
        </is>
      </c>
      <c r="F50" s="17" t="inlineStr">
        <is>
          <t>Figma: color #6b7280 (rendered hint)  →  Live: color rgb(55,65,81) = #374151</t>
        </is>
      </c>
      <c r="G50" s="17" t="inlineStr">
        <is>
          <t>Change column-header text color from #374151 to #6b7280 to match Figma hint rendering.</t>
        </is>
      </c>
      <c r="H50" s="17" t="inlineStr">
        <is>
          <t>https://www.figma.com/design/gH2vQ62cfg4677YKWuOpLc/MoSJE-Portal--Handoff-?node-id=4226-40449</t>
        </is>
      </c>
      <c r="I50" s="17" t="inlineStr">
        <is>
          <t>https://eutthan-admin-uat.mosje.in/scheme-management</t>
        </is>
      </c>
      <c r="J50" s="17" t="inlineStr">
        <is>
          <t>Open</t>
        </is>
      </c>
      <c r="K50" s="17" t="inlineStr"/>
      <c r="L50" s="17" t="inlineStr">
        <is>
          <t>2026-06-09</t>
        </is>
      </c>
      <c r="M50" s="17" t="inlineStr">
        <is>
          <t>Board pin #5</t>
        </is>
      </c>
    </row>
    <row r="51">
      <c r="A51" s="18" t="inlineStr">
        <is>
          <t>UTH-MANAGE-SCHEME-004</t>
        </is>
      </c>
      <c r="B51" s="18" t="inlineStr">
        <is>
          <t>Admin / Manage Scheme</t>
        </is>
      </c>
      <c r="C51" s="18" t="inlineStr">
        <is>
          <t>1440</t>
        </is>
      </c>
      <c r="D51" s="18" t="inlineStr">
        <is>
          <t>Color &amp; Token</t>
        </is>
      </c>
      <c r="E51" s="18" t="inlineStr">
        <is>
          <t>Minor</t>
        </is>
      </c>
      <c r="F51" s="18" t="inlineStr">
        <is>
          <t>Figma: color #374151 (Text/Dark)  →  Live: color rgb(75,85,99) = #4b5563 (Neutral/600)</t>
        </is>
      </c>
      <c r="G51" s="18" t="inlineStr">
        <is>
          <t>Change body-cell text color from #4b5563 to #374151 to match Figma Text/Dark token.</t>
        </is>
      </c>
      <c r="H51" s="18" t="inlineStr">
        <is>
          <t>https://www.figma.com/design/gH2vQ62cfg4677YKWuOpLc/MoSJE-Portal--Handoff-?node-id=4226-40449</t>
        </is>
      </c>
      <c r="I51" s="18" t="inlineStr">
        <is>
          <t>https://eutthan-admin-uat.mosje.in/scheme-management</t>
        </is>
      </c>
      <c r="J51" s="18" t="inlineStr">
        <is>
          <t>Open</t>
        </is>
      </c>
      <c r="K51" s="18" t="inlineStr"/>
      <c r="L51" s="18" t="inlineStr">
        <is>
          <t>2026-06-09</t>
        </is>
      </c>
      <c r="M51" s="18" t="inlineStr">
        <is>
          <t>Board pin #6</t>
        </is>
      </c>
    </row>
    <row r="52">
      <c r="A52" s="17" t="inlineStr">
        <is>
          <t>UTH-MANAGE-SCHEME-006</t>
        </is>
      </c>
      <c r="B52" s="17" t="inlineStr">
        <is>
          <t>Admin / Manage Scheme</t>
        </is>
      </c>
      <c r="C52" s="17" t="inlineStr">
        <is>
          <t>1440</t>
        </is>
      </c>
      <c r="D52" s="17" t="inlineStr">
        <is>
          <t>Layout &amp; Spacing</t>
        </is>
      </c>
      <c r="E52" s="17" t="inlineStr">
        <is>
          <t>Minor</t>
        </is>
      </c>
      <c r="F52" s="17" t="inlineStr">
        <is>
          <t>Figma: padding 16px (y) / 24px (x)  →  Live: padding 16px (y) / 16px (x)</t>
        </is>
      </c>
      <c r="G52" s="17" t="inlineStr">
        <is>
          <t>Set column-header horizontal padding to 24px per Figma (currently 16px).</t>
        </is>
      </c>
      <c r="H52" s="17" t="inlineStr">
        <is>
          <t>https://www.figma.com/design/gH2vQ62cfg4677YKWuOpLc/MoSJE-Portal--Handoff-?node-id=4226-40449</t>
        </is>
      </c>
      <c r="I52" s="17" t="inlineStr">
        <is>
          <t>https://eutthan-admin-uat.mosje.in/scheme-management</t>
        </is>
      </c>
      <c r="J52" s="17" t="inlineStr">
        <is>
          <t>Open</t>
        </is>
      </c>
      <c r="K52" s="17" t="inlineStr"/>
      <c r="L52" s="17" t="inlineStr">
        <is>
          <t>2026-06-09</t>
        </is>
      </c>
      <c r="M52" s="17" t="inlineStr">
        <is>
          <t>Board pin #7</t>
        </is>
      </c>
    </row>
    <row r="53">
      <c r="A53" s="18" t="inlineStr">
        <is>
          <t>UTH-MANAGE-SCHEME-007</t>
        </is>
      </c>
      <c r="B53" s="18" t="inlineStr">
        <is>
          <t>Admin / Manage Scheme</t>
        </is>
      </c>
      <c r="C53" s="18" t="inlineStr">
        <is>
          <t>1440</t>
        </is>
      </c>
      <c r="D53" s="18" t="inlineStr">
        <is>
          <t>Typography</t>
        </is>
      </c>
      <c r="E53" s="18" t="inlineStr">
        <is>
          <t>Minor</t>
        </is>
      </c>
      <c r="F53" s="18" t="inlineStr">
        <is>
          <t>Figma: Noto Sans 14px / 500 / line-height 20px  →  Live: Noto Sans 14px / 600 / line-height 14px</t>
        </is>
      </c>
      <c r="G53" s="18" t="inlineStr">
        <is>
          <t>Set Add Scheme label to font-weight 500 and line-height 20px per Figma (currently 600 / 14px).</t>
        </is>
      </c>
      <c r="H53" s="18" t="inlineStr">
        <is>
          <t>https://www.figma.com/design/gH2vQ62cfg4677YKWuOpLc/MoSJE-Portal--Handoff-?node-id=4226-40449</t>
        </is>
      </c>
      <c r="I53" s="18" t="inlineStr">
        <is>
          <t>https://eutthan-admin-uat.mosje.in/scheme-management</t>
        </is>
      </c>
      <c r="J53" s="18" t="inlineStr">
        <is>
          <t>Open</t>
        </is>
      </c>
      <c r="K53" s="18" t="inlineStr"/>
      <c r="L53" s="18" t="inlineStr">
        <is>
          <t>2026-06-09</t>
        </is>
      </c>
      <c r="M53" s="18" t="inlineStr">
        <is>
          <t>Board pin #8</t>
        </is>
      </c>
    </row>
    <row r="54">
      <c r="A54" s="17" t="inlineStr">
        <is>
          <t>UTH-MANAGE-SCHEME-008</t>
        </is>
      </c>
      <c r="B54" s="17" t="inlineStr">
        <is>
          <t>Admin / Manage Scheme</t>
        </is>
      </c>
      <c r="C54" s="17" t="inlineStr">
        <is>
          <t>1440</t>
        </is>
      </c>
      <c r="D54" s="17" t="inlineStr">
        <is>
          <t>Layout &amp; Spacing</t>
        </is>
      </c>
      <c r="E54" s="17" t="inlineStr">
        <is>
          <t>Minor</t>
        </is>
      </c>
      <c r="F54" s="17" t="inlineStr">
        <is>
          <t>Figma: padding 8px (y) / pl 24px pr 16px; size 147 × 40px  →  Live: padding 0px (y) / pl 18px pr 12px; size 137 × 36px</t>
        </is>
      </c>
      <c r="G54" s="17" t="inlineStr">
        <is>
          <t>Set vertical padding 8px, padding-left 24px, padding-right 16px; target size 147 × 40px per Figma.</t>
        </is>
      </c>
      <c r="H54" s="17" t="inlineStr">
        <is>
          <t>https://www.figma.com/design/gH2vQ62cfg4677YKWuOpLc/MoSJE-Portal--Handoff-?node-id=4226-40449</t>
        </is>
      </c>
      <c r="I54" s="17" t="inlineStr">
        <is>
          <t>https://eutthan-admin-uat.mosje.in/scheme-management</t>
        </is>
      </c>
      <c r="J54" s="17" t="inlineStr">
        <is>
          <t>Open</t>
        </is>
      </c>
      <c r="K54" s="17" t="inlineStr"/>
      <c r="L54" s="17" t="inlineStr">
        <is>
          <t>2026-06-09</t>
        </is>
      </c>
      <c r="M54" s="17" t="inlineStr">
        <is>
          <t>Board pin #9</t>
        </is>
      </c>
    </row>
    <row r="55">
      <c r="A55" s="18" t="inlineStr">
        <is>
          <t>UTH-MANAGE-SCHEME-009</t>
        </is>
      </c>
      <c r="B55" s="18" t="inlineStr">
        <is>
          <t>Admin / Manage Scheme</t>
        </is>
      </c>
      <c r="C55" s="18" t="inlineStr">
        <is>
          <t>1440</t>
        </is>
      </c>
      <c r="D55" s="18" t="inlineStr">
        <is>
          <t>Content &amp; Iconography</t>
        </is>
      </c>
      <c r="E55" s="18" t="inlineStr">
        <is>
          <t>Minor</t>
        </is>
      </c>
      <c r="F55" s="18" t="inlineStr">
        <is>
          <t>Figma: label 'Add Scheme' with trailing + add icon 16×16 (icon as separate element after gap 8)  →  Live: label rendered as 'Add Scheme+' (plus appended directly to text, no icon gap)</t>
        </is>
      </c>
      <c r="G55" s="18" t="inlineStr">
        <is>
          <t>Render the add icon as a 16×16 trailing icon element with 8px gap, not a '+' glyph appended to the label string.</t>
        </is>
      </c>
      <c r="H55" s="18" t="inlineStr">
        <is>
          <t>https://www.figma.com/design/gH2vQ62cfg4677YKWuOpLc/MoSJE-Portal--Handoff-?node-id=4226-40449</t>
        </is>
      </c>
      <c r="I55" s="18" t="inlineStr">
        <is>
          <t>https://eutthan-admin-uat.mosje.in/scheme-management</t>
        </is>
      </c>
      <c r="J55" s="18" t="inlineStr">
        <is>
          <t>Open</t>
        </is>
      </c>
      <c r="K55" s="18" t="inlineStr"/>
      <c r="L55" s="18" t="inlineStr">
        <is>
          <t>2026-06-09</t>
        </is>
      </c>
      <c r="M55" s="18" t="inlineStr">
        <is>
          <t>Board pin #10</t>
        </is>
      </c>
    </row>
    <row r="56">
      <c r="A56" s="17" t="inlineStr">
        <is>
          <t>UTH-MANAGE-SCHEME-011</t>
        </is>
      </c>
      <c r="B56" s="17" t="inlineStr">
        <is>
          <t>Admin / Manage Scheme</t>
        </is>
      </c>
      <c r="C56" s="17" t="inlineStr">
        <is>
          <t>1440</t>
        </is>
      </c>
      <c r="D56" s="17" t="inlineStr">
        <is>
          <t>Layout &amp; Spacing</t>
        </is>
      </c>
      <c r="E56" s="17" t="inlineStr">
        <is>
          <t>Minor</t>
        </is>
      </c>
      <c r="F56" s="17" t="inlineStr">
        <is>
          <t>Figma: active item background fill #e5eff9, radius 16px  →  Live: background rgb(229,239,249) = #e5eff9, radius 8px</t>
        </is>
      </c>
      <c r="G56" s="17" t="inlineStr">
        <is>
          <t>Set active sidebar item radius to 16px per Figma (live uses 8px); background color matches.</t>
        </is>
      </c>
      <c r="H56" s="17" t="inlineStr">
        <is>
          <t>https://www.figma.com/design/gH2vQ62cfg4677YKWuOpLc/MoSJE-Portal--Handoff-?node-id=4226-40449</t>
        </is>
      </c>
      <c r="I56" s="17" t="inlineStr">
        <is>
          <t>https://eutthan-admin-uat.mosje.in/scheme-management</t>
        </is>
      </c>
      <c r="J56" s="17" t="inlineStr">
        <is>
          <t>Open</t>
        </is>
      </c>
      <c r="K56" s="17" t="inlineStr"/>
      <c r="L56" s="17" t="inlineStr">
        <is>
          <t>2026-06-09</t>
        </is>
      </c>
      <c r="M56" s="17" t="inlineStr">
        <is>
          <t>Board pin #11</t>
        </is>
      </c>
    </row>
    <row r="57">
      <c r="A57" s="18" t="inlineStr">
        <is>
          <t>UTH-MANAGE-SCHEME-013</t>
        </is>
      </c>
      <c r="B57" s="18" t="inlineStr">
        <is>
          <t>Admin / Manage Scheme</t>
        </is>
      </c>
      <c r="C57" s="18" t="inlineStr">
        <is>
          <t>1440</t>
        </is>
      </c>
      <c r="D57" s="18" t="inlineStr">
        <is>
          <t>Color &amp; Token</t>
        </is>
      </c>
      <c r="E57" s="18" t="inlineStr">
        <is>
          <t>Minor</t>
        </is>
      </c>
      <c r="F57" s="18" t="inlineStr">
        <is>
          <t>Figma: border #e2e8f0 1px, radius 14px  →  Live: border rgb(229,231,235) = #e5e7eb 1px, radius 12px</t>
        </is>
      </c>
      <c r="G57" s="18" t="inlineStr">
        <is>
          <t>Set card border to #e2e8f0 and radius to 14px per Figma (live uses #e5e7eb / 12px). Note: Figma's #e2e8f0 is off-token (see figmaCorrections).</t>
        </is>
      </c>
      <c r="H57" s="18" t="inlineStr">
        <is>
          <t>https://www.figma.com/design/gH2vQ62cfg4677YKWuOpLc/MoSJE-Portal--Handoff-?node-id=4226-40449</t>
        </is>
      </c>
      <c r="I57" s="18" t="inlineStr">
        <is>
          <t>https://eutthan-admin-uat.mosje.in/scheme-management</t>
        </is>
      </c>
      <c r="J57" s="18" t="inlineStr">
        <is>
          <t>Open</t>
        </is>
      </c>
      <c r="K57" s="18" t="inlineStr"/>
      <c r="L57" s="18" t="inlineStr">
        <is>
          <t>2026-06-09</t>
        </is>
      </c>
      <c r="M57" s="18" t="inlineStr">
        <is>
          <t>Board pin #12</t>
        </is>
      </c>
    </row>
    <row r="58">
      <c r="A58" s="17" t="inlineStr">
        <is>
          <t>UTH-MANAGE-SCHEME-014</t>
        </is>
      </c>
      <c r="B58" s="17" t="inlineStr">
        <is>
          <t>Admin / Manage Scheme</t>
        </is>
      </c>
      <c r="C58" s="17" t="inlineStr">
        <is>
          <t>1440</t>
        </is>
      </c>
      <c r="D58" s="17" t="inlineStr">
        <is>
          <t>Color &amp; Token</t>
        </is>
      </c>
      <c r="E58" s="17" t="inlineStr">
        <is>
          <t>Minor</t>
        </is>
      </c>
      <c r="F58" s="17" t="inlineStr">
        <is>
          <t>Figma: row bottom border #f3f4f6 (Stroke/100) 1px  →  Live: borderBottomColor rgb(229,231,235) = #e5e7eb, borderBottomWidth 0px (divider rendered via other means)</t>
        </is>
      </c>
      <c r="G58" s="17" t="inlineStr">
        <is>
          <t>Use #f3f4f6 1px bottom dividers between rows per Figma; live divider color resolves to #e5e7eb.</t>
        </is>
      </c>
      <c r="H58" s="17" t="inlineStr">
        <is>
          <t>https://www.figma.com/design/gH2vQ62cfg4677YKWuOpLc/MoSJE-Portal--Handoff-?node-id=4226-40449</t>
        </is>
      </c>
      <c r="I58" s="17" t="inlineStr">
        <is>
          <t>https://eutthan-admin-uat.mosje.in/scheme-management</t>
        </is>
      </c>
      <c r="J58" s="17" t="inlineStr">
        <is>
          <t>Open</t>
        </is>
      </c>
      <c r="K58" s="17" t="inlineStr"/>
      <c r="L58" s="17" t="inlineStr">
        <is>
          <t>2026-06-09</t>
        </is>
      </c>
      <c r="M58" s="17" t="inlineStr">
        <is>
          <t>Board pin #13</t>
        </is>
      </c>
    </row>
    <row r="59">
      <c r="A59" s="18" t="inlineStr">
        <is>
          <t>UTH-MANAGE-SCHEME-015</t>
        </is>
      </c>
      <c r="B59" s="18" t="inlineStr">
        <is>
          <t>Admin / Manage Scheme</t>
        </is>
      </c>
      <c r="C59" s="18" t="inlineStr">
        <is>
          <t>1440</t>
        </is>
      </c>
      <c r="D59" s="18" t="inlineStr">
        <is>
          <t>Color &amp; Token</t>
        </is>
      </c>
      <c r="E59" s="18" t="inlineStr">
        <is>
          <t>Minor</t>
        </is>
      </c>
      <c r="F59" s="18" t="inlineStr">
        <is>
          <t>Figma: header row background #f9fafb (Neutral/50)  →  Live: effective background rgb(243,244,246) = #f3f4f6</t>
        </is>
      </c>
      <c r="G59" s="18" t="inlineStr">
        <is>
          <t>Set column-header background to #f9fafb per Figma (live renders #f3f4f6).</t>
        </is>
      </c>
      <c r="H59" s="18" t="inlineStr">
        <is>
          <t>https://www.figma.com/design/gH2vQ62cfg4677YKWuOpLc/MoSJE-Portal--Handoff-?node-id=4226-40449</t>
        </is>
      </c>
      <c r="I59" s="18" t="inlineStr">
        <is>
          <t>https://eutthan-admin-uat.mosje.in/scheme-management</t>
        </is>
      </c>
      <c r="J59" s="18" t="inlineStr">
        <is>
          <t>Open</t>
        </is>
      </c>
      <c r="K59" s="18" t="inlineStr"/>
      <c r="L59" s="18" t="inlineStr">
        <is>
          <t>2026-06-09</t>
        </is>
      </c>
      <c r="M59" s="18" t="inlineStr">
        <is>
          <t>Board pin #14</t>
        </is>
      </c>
    </row>
    <row r="60">
      <c r="A60" s="17" t="inlineStr">
        <is>
          <t>UTH-MANAGE-SCHEME-016</t>
        </is>
      </c>
      <c r="B60" s="17" t="inlineStr">
        <is>
          <t>Admin / Manage Scheme</t>
        </is>
      </c>
      <c r="C60" s="17" t="inlineStr">
        <is>
          <t>1440</t>
        </is>
      </c>
      <c r="D60" s="17" t="inlineStr">
        <is>
          <t>Content &amp; Iconography</t>
        </is>
      </c>
      <c r="E60" s="17" t="inlineStr">
        <is>
          <t>Minor</t>
        </is>
      </c>
      <c r="F60" s="17" t="inlineStr">
        <is>
          <t>Figma: items-per-page dropdown shows '200'  →  Live: items-per-page dropdown shows '10'</t>
        </is>
      </c>
      <c r="G60" s="17" t="inlineStr">
        <is>
          <t>Default page size differs (200 vs 10). Confirm intended default; Figma specifies 200. Treat row count itself as DATA, but the configured default-page-size control value is a build choice — align to 200 unless product specifies otherwise.</t>
        </is>
      </c>
      <c r="H60" s="17" t="inlineStr">
        <is>
          <t>https://www.figma.com/design/gH2vQ62cfg4677YKWuOpLc/MoSJE-Portal--Handoff-?node-id=4226-40449</t>
        </is>
      </c>
      <c r="I60" s="17" t="inlineStr">
        <is>
          <t>https://eutthan-admin-uat.mosje.in/scheme-management</t>
        </is>
      </c>
      <c r="J60" s="17" t="inlineStr">
        <is>
          <t>Open</t>
        </is>
      </c>
      <c r="K60" s="17" t="inlineStr"/>
      <c r="L60" s="17" t="inlineStr">
        <is>
          <t>2026-06-09</t>
        </is>
      </c>
      <c r="M60" s="17" t="inlineStr">
        <is>
          <t>Board pin #15</t>
        </is>
      </c>
    </row>
    <row r="61">
      <c r="A61" s="18" t="inlineStr">
        <is>
          <t>UTH-MANAGE-SCHEME-017</t>
        </is>
      </c>
      <c r="B61" s="18" t="inlineStr">
        <is>
          <t>Admin / Manage Scheme</t>
        </is>
      </c>
      <c r="C61" s="18" t="inlineStr">
        <is>
          <t>1440</t>
        </is>
      </c>
      <c r="D61" s="18" t="inlineStr">
        <is>
          <t>Content &amp; Iconography</t>
        </is>
      </c>
      <c r="E61" s="18" t="inlineStr">
        <is>
          <t>Minor</t>
        </is>
      </c>
      <c r="F61" s="18" t="inlineStr">
        <is>
          <t>Figma: two lines: 'Ministry of Social Justice &amp; Empowerment' (14/500) above 'Department of Social Justice &amp; Empowerment' (20/700 headline-4)  →  Live: single masthead line 'Ministry of Social Justice &amp; Empowerment' rendered at 20px / 700</t>
        </is>
      </c>
      <c r="G61" s="18" t="inlineStr">
        <is>
          <t>Render both the Ministry line (14/500) and the Department line (20/700) per Figma masthead; live shows only one line styled at the department scale.</t>
        </is>
      </c>
      <c r="H61" s="18" t="inlineStr">
        <is>
          <t>https://www.figma.com/design/gH2vQ62cfg4677YKWuOpLc/MoSJE-Portal--Handoff-?node-id=4226-40449</t>
        </is>
      </c>
      <c r="I61" s="18" t="inlineStr">
        <is>
          <t>https://eutthan-admin-uat.mosje.in/scheme-management</t>
        </is>
      </c>
      <c r="J61" s="18" t="inlineStr">
        <is>
          <t>Open</t>
        </is>
      </c>
      <c r="K61" s="18" t="inlineStr"/>
      <c r="L61" s="18" t="inlineStr">
        <is>
          <t>2026-06-09</t>
        </is>
      </c>
      <c r="M61" s="18" t="inlineStr">
        <is>
          <t>Board pin #16</t>
        </is>
      </c>
    </row>
    <row r="62">
      <c r="A62" s="17" t="inlineStr">
        <is>
          <t>UTH-MANAGE-SCHEME-012</t>
        </is>
      </c>
      <c r="B62" s="17" t="inlineStr">
        <is>
          <t>Admin / Manage Scheme</t>
        </is>
      </c>
      <c r="C62" s="17" t="inlineStr">
        <is>
          <t>1440</t>
        </is>
      </c>
      <c r="D62" s="17" t="inlineStr">
        <is>
          <t>Layout &amp; Spacing</t>
        </is>
      </c>
      <c r="E62" s="17" t="inlineStr">
        <is>
          <t>Nit</t>
        </is>
      </c>
      <c r="F62" s="17" t="inlineStr">
        <is>
          <t>Figma: height 40px (padding 4px / 24px)  →  Live: height 38px</t>
        </is>
      </c>
      <c r="G62" s="17" t="inlineStr">
        <is>
          <t>Set gov bar height to 40px per Figma (off by 2px).</t>
        </is>
      </c>
      <c r="H62" s="17" t="inlineStr">
        <is>
          <t>https://www.figma.com/design/gH2vQ62cfg4677YKWuOpLc/MoSJE-Portal--Handoff-?node-id=4226-40449</t>
        </is>
      </c>
      <c r="I62" s="17" t="inlineStr">
        <is>
          <t>https://eutthan-admin-uat.mosje.in/scheme-management</t>
        </is>
      </c>
      <c r="J62" s="17" t="inlineStr">
        <is>
          <t>Open</t>
        </is>
      </c>
      <c r="K62" s="17" t="inlineStr"/>
      <c r="L62" s="17" t="inlineStr">
        <is>
          <t>2026-06-09</t>
        </is>
      </c>
      <c r="M62" s="17" t="inlineStr">
        <is>
          <t>Board pin #17</t>
        </is>
      </c>
    </row>
    <row r="63">
      <c r="A63" s="18" t="inlineStr">
        <is>
          <t>UTH-MANAGE-OUTCOME-001</t>
        </is>
      </c>
      <c r="B63" s="18" t="inlineStr">
        <is>
          <t>Admin / Manage Outcome</t>
        </is>
      </c>
      <c r="C63" s="18" t="inlineStr">
        <is>
          <t>1440</t>
        </is>
      </c>
      <c r="D63" s="18" t="inlineStr">
        <is>
          <t>Color &amp; Token</t>
        </is>
      </c>
      <c r="E63" s="18" t="inlineStr">
        <is>
          <t>Major</t>
        </is>
      </c>
      <c r="F63" s="18" t="inlineStr">
        <is>
          <t>Figma: color #6b7280 (Text/Hint rendered)  →  Live: color rgb(55, 65, 81) = #374151</t>
        </is>
      </c>
      <c r="G63" s="18" t="inlineStr">
        <is>
          <t>Set column-header text color to #6b7280 (Text/Hint) per Figma; currently rendering the body Text/Dark #374151.</t>
        </is>
      </c>
      <c r="H63" s="18" t="inlineStr">
        <is>
          <t>https://www.figma.com/design/gH2vQ62cfg4677YKWuOpLc/MoSJE-Portal--Handoff-?node-id=4226-40657</t>
        </is>
      </c>
      <c r="I63" s="18" t="inlineStr">
        <is>
          <t>https://eutthan-admin-uat.mosje.in/manage-outcome</t>
        </is>
      </c>
      <c r="J63" s="18" t="inlineStr">
        <is>
          <t>Open</t>
        </is>
      </c>
      <c r="K63" s="18" t="inlineStr"/>
      <c r="L63" s="18" t="inlineStr">
        <is>
          <t>2026-06-09</t>
        </is>
      </c>
      <c r="M63" s="18" t="inlineStr">
        <is>
          <t>Board pin #1</t>
        </is>
      </c>
    </row>
    <row r="64">
      <c r="A64" s="17" t="inlineStr">
        <is>
          <t>UTH-MANAGE-OUTCOME-002</t>
        </is>
      </c>
      <c r="B64" s="17" t="inlineStr">
        <is>
          <t>Admin / Manage Outcome</t>
        </is>
      </c>
      <c r="C64" s="17" t="inlineStr">
        <is>
          <t>1440</t>
        </is>
      </c>
      <c r="D64" s="17" t="inlineStr">
        <is>
          <t>Typography</t>
        </is>
      </c>
      <c r="E64" s="17" t="inlineStr">
        <is>
          <t>Major</t>
        </is>
      </c>
      <c r="F64" s="17" t="inlineStr">
        <is>
          <t>Figma: 16px (body-1), line-height 24  →  Live: 14px, line-height 21.7px</t>
        </is>
      </c>
      <c r="G64" s="17" t="inlineStr">
        <is>
          <t>Increase header font-size from 14px to 16px and line-height from 21.7px to 24px (body-1 token).</t>
        </is>
      </c>
      <c r="H64" s="17" t="inlineStr">
        <is>
          <t>https://www.figma.com/design/gH2vQ62cfg4677YKWuOpLc/MoSJE-Portal--Handoff-?node-id=4226-40657</t>
        </is>
      </c>
      <c r="I64" s="17" t="inlineStr">
        <is>
          <t>https://eutthan-admin-uat.mosje.in/manage-outcome</t>
        </is>
      </c>
      <c r="J64" s="17" t="inlineStr">
        <is>
          <t>Open</t>
        </is>
      </c>
      <c r="K64" s="17" t="inlineStr"/>
      <c r="L64" s="17" t="inlineStr">
        <is>
          <t>2026-06-09</t>
        </is>
      </c>
      <c r="M64" s="17" t="inlineStr">
        <is>
          <t>Board pin #2</t>
        </is>
      </c>
    </row>
    <row r="65">
      <c r="A65" s="18" t="inlineStr">
        <is>
          <t>UTH-MANAGE-OUTCOME-004</t>
        </is>
      </c>
      <c r="B65" s="18" t="inlineStr">
        <is>
          <t>Admin / Manage Outcome</t>
        </is>
      </c>
      <c r="C65" s="18" t="inlineStr">
        <is>
          <t>1440</t>
        </is>
      </c>
      <c r="D65" s="18" t="inlineStr">
        <is>
          <t>Layout &amp; Spacing</t>
        </is>
      </c>
      <c r="E65" s="18" t="inlineStr">
        <is>
          <t>Major</t>
        </is>
      </c>
      <c r="F65" s="18" t="inlineStr">
        <is>
          <t>Figma: px 24 / py 16  →  Live: paddingLeft 16px / paddingRight 16px / py 16px</t>
        </is>
      </c>
      <c r="G65" s="18" t="inlineStr">
        <is>
          <t>Increase header left/right padding from 16px to 24px (delta 8px each side).</t>
        </is>
      </c>
      <c r="H65" s="18" t="inlineStr">
        <is>
          <t>https://www.figma.com/design/gH2vQ62cfg4677YKWuOpLc/MoSJE-Portal--Handoff-?node-id=4226-40657</t>
        </is>
      </c>
      <c r="I65" s="18" t="inlineStr">
        <is>
          <t>https://eutthan-admin-uat.mosje.in/manage-outcome</t>
        </is>
      </c>
      <c r="J65" s="18" t="inlineStr">
        <is>
          <t>Open</t>
        </is>
      </c>
      <c r="K65" s="18" t="inlineStr"/>
      <c r="L65" s="18" t="inlineStr">
        <is>
          <t>2026-06-09</t>
        </is>
      </c>
      <c r="M65" s="18" t="inlineStr">
        <is>
          <t>Board pin #3</t>
        </is>
      </c>
    </row>
    <row r="66">
      <c r="A66" s="17" t="inlineStr">
        <is>
          <t>UTH-MANAGE-OUTCOME-005</t>
        </is>
      </c>
      <c r="B66" s="17" t="inlineStr">
        <is>
          <t>Admin / Manage Outcome</t>
        </is>
      </c>
      <c r="C66" s="17" t="inlineStr">
        <is>
          <t>1440</t>
        </is>
      </c>
      <c r="D66" s="17" t="inlineStr">
        <is>
          <t>Typography</t>
        </is>
      </c>
      <c r="E66" s="17" t="inlineStr">
        <is>
          <t>Major</t>
        </is>
      </c>
      <c r="F66" s="17" t="inlineStr">
        <is>
          <t>Figma: Regular 400  →  Live: fontWeight 600</t>
        </is>
      </c>
      <c r="G66" s="17" t="inlineStr">
        <is>
          <t>Set body-cell text to Regular 400; live renders SemiBold 600 making every data row look bold.</t>
        </is>
      </c>
      <c r="H66" s="17" t="inlineStr">
        <is>
          <t>https://www.figma.com/design/gH2vQ62cfg4677YKWuOpLc/MoSJE-Portal--Handoff-?node-id=4226-40657</t>
        </is>
      </c>
      <c r="I66" s="17" t="inlineStr">
        <is>
          <t>https://eutthan-admin-uat.mosje.in/manage-outcome</t>
        </is>
      </c>
      <c r="J66" s="17" t="inlineStr">
        <is>
          <t>Open</t>
        </is>
      </c>
      <c r="K66" s="17" t="inlineStr"/>
      <c r="L66" s="17" t="inlineStr">
        <is>
          <t>2026-06-09</t>
        </is>
      </c>
      <c r="M66" s="17" t="inlineStr">
        <is>
          <t>Board pin #4</t>
        </is>
      </c>
    </row>
    <row r="67">
      <c r="A67" s="18" t="inlineStr">
        <is>
          <t>UTH-MANAGE-OUTCOME-006</t>
        </is>
      </c>
      <c r="B67" s="18" t="inlineStr">
        <is>
          <t>Admin / Manage Outcome</t>
        </is>
      </c>
      <c r="C67" s="18" t="inlineStr">
        <is>
          <t>1440</t>
        </is>
      </c>
      <c r="D67" s="18" t="inlineStr">
        <is>
          <t>Typography</t>
        </is>
      </c>
      <c r="E67" s="18" t="inlineStr">
        <is>
          <t>Major</t>
        </is>
      </c>
      <c r="F67" s="18" t="inlineStr">
        <is>
          <t>Figma: 16px (body-1), line-height 24  →  Live: 14px, line-height 21.7px</t>
        </is>
      </c>
      <c r="G67" s="18" t="inlineStr">
        <is>
          <t>Increase body-cell font-size from 14px to 16px and line-height from 21.7px to 24px (body-1 token).</t>
        </is>
      </c>
      <c r="H67" s="18" t="inlineStr">
        <is>
          <t>https://www.figma.com/design/gH2vQ62cfg4677YKWuOpLc/MoSJE-Portal--Handoff-?node-id=4226-40657</t>
        </is>
      </c>
      <c r="I67" s="18" t="inlineStr">
        <is>
          <t>https://eutthan-admin-uat.mosje.in/manage-outcome</t>
        </is>
      </c>
      <c r="J67" s="18" t="inlineStr">
        <is>
          <t>Open</t>
        </is>
      </c>
      <c r="K67" s="18" t="inlineStr"/>
      <c r="L67" s="18" t="inlineStr">
        <is>
          <t>2026-06-09</t>
        </is>
      </c>
      <c r="M67" s="18" t="inlineStr">
        <is>
          <t>Board pin #5</t>
        </is>
      </c>
    </row>
    <row r="68">
      <c r="A68" s="17" t="inlineStr">
        <is>
          <t>UTH-MANAGE-OUTCOME-007</t>
        </is>
      </c>
      <c r="B68" s="17" t="inlineStr">
        <is>
          <t>Admin / Manage Outcome</t>
        </is>
      </c>
      <c r="C68" s="17" t="inlineStr">
        <is>
          <t>1440</t>
        </is>
      </c>
      <c r="D68" s="17" t="inlineStr">
        <is>
          <t>Color &amp; Token</t>
        </is>
      </c>
      <c r="E68" s="17" t="inlineStr">
        <is>
          <t>Major</t>
        </is>
      </c>
      <c r="F68" s="17" t="inlineStr">
        <is>
          <t>Figma: #374151 (Text/Dark)  →  Live: rgb(0, 0, 0) = #000000</t>
        </is>
      </c>
      <c r="G68" s="17" t="inlineStr">
        <is>
          <t>Set body-cell text color to #374151 (Text/Dark); live uses pure black #000000 (token drift / off-brand).</t>
        </is>
      </c>
      <c r="H68" s="17" t="inlineStr">
        <is>
          <t>https://www.figma.com/design/gH2vQ62cfg4677YKWuOpLc/MoSJE-Portal--Handoff-?node-id=4226-40657</t>
        </is>
      </c>
      <c r="I68" s="17" t="inlineStr">
        <is>
          <t>https://eutthan-admin-uat.mosje.in/manage-outcome</t>
        </is>
      </c>
      <c r="J68" s="17" t="inlineStr">
        <is>
          <t>Open</t>
        </is>
      </c>
      <c r="K68" s="17" t="inlineStr"/>
      <c r="L68" s="17" t="inlineStr">
        <is>
          <t>2026-06-09</t>
        </is>
      </c>
      <c r="M68" s="17" t="inlineStr">
        <is>
          <t>Board pin #6</t>
        </is>
      </c>
    </row>
    <row r="69">
      <c r="A69" s="18" t="inlineStr">
        <is>
          <t>UTH-MANAGE-OUTCOME-009</t>
        </is>
      </c>
      <c r="B69" s="18" t="inlineStr">
        <is>
          <t>Admin / Manage Outcome</t>
        </is>
      </c>
      <c r="C69" s="18" t="inlineStr">
        <is>
          <t>1440</t>
        </is>
      </c>
      <c r="D69" s="18" t="inlineStr">
        <is>
          <t>Layout &amp; Spacing</t>
        </is>
      </c>
      <c r="E69" s="18" t="inlineStr">
        <is>
          <t>Major</t>
        </is>
      </c>
      <c r="F69" s="18" t="inlineStr">
        <is>
          <t>Figma: 24 all sides  →  Live: paddingLeft 16px / paddingRight 16px</t>
        </is>
      </c>
      <c r="G69" s="18" t="inlineStr">
        <is>
          <t>Increase cell horizontal padding from 16px to 24px (delta 8px each side).</t>
        </is>
      </c>
      <c r="H69" s="18" t="inlineStr">
        <is>
          <t>https://www.figma.com/design/gH2vQ62cfg4677YKWuOpLc/MoSJE-Portal--Handoff-?node-id=4226-40657</t>
        </is>
      </c>
      <c r="I69" s="18" t="inlineStr">
        <is>
          <t>https://eutthan-admin-uat.mosje.in/manage-outcome</t>
        </is>
      </c>
      <c r="J69" s="18" t="inlineStr">
        <is>
          <t>Open</t>
        </is>
      </c>
      <c r="K69" s="18" t="inlineStr"/>
      <c r="L69" s="18" t="inlineStr">
        <is>
          <t>2026-06-09</t>
        </is>
      </c>
      <c r="M69" s="18" t="inlineStr">
        <is>
          <t>Board pin #7</t>
        </is>
      </c>
    </row>
    <row r="70">
      <c r="A70" s="17" t="inlineStr">
        <is>
          <t>UTH-MANAGE-OUTCOME-010</t>
        </is>
      </c>
      <c r="B70" s="17" t="inlineStr">
        <is>
          <t>Admin / Manage Outcome</t>
        </is>
      </c>
      <c r="C70" s="17" t="inlineStr">
        <is>
          <t>1440</t>
        </is>
      </c>
      <c r="D70" s="17" t="inlineStr">
        <is>
          <t>Layout &amp; Spacing</t>
        </is>
      </c>
      <c r="E70" s="17" t="inlineStr">
        <is>
          <t>Major</t>
        </is>
      </c>
      <c r="F70" s="17" t="inlineStr">
        <is>
          <t>Figma: 116px  →  Live: 62px</t>
        </is>
      </c>
      <c r="G70" s="17" t="inlineStr">
        <is>
          <t>Row height is 62px vs Figma 116px (delta 54px). Driven by smaller padding (20px vs 24px) and the missing two-line wrap allowance; restore 24px padding and 116px target row height.</t>
        </is>
      </c>
      <c r="H70" s="17" t="inlineStr">
        <is>
          <t>https://www.figma.com/design/gH2vQ62cfg4677YKWuOpLc/MoSJE-Portal--Handoff-?node-id=4226-40657</t>
        </is>
      </c>
      <c r="I70" s="17" t="inlineStr">
        <is>
          <t>https://eutthan-admin-uat.mosje.in/manage-outcome</t>
        </is>
      </c>
      <c r="J70" s="17" t="inlineStr">
        <is>
          <t>Open</t>
        </is>
      </c>
      <c r="K70" s="17" t="inlineStr"/>
      <c r="L70" s="17" t="inlineStr">
        <is>
          <t>2026-06-09</t>
        </is>
      </c>
      <c r="M70" s="17" t="inlineStr">
        <is>
          <t>Board pin #8</t>
        </is>
      </c>
    </row>
    <row r="71">
      <c r="A71" s="18" t="inlineStr">
        <is>
          <t>UTH-MANAGE-OUTCOME-013</t>
        </is>
      </c>
      <c r="B71" s="18" t="inlineStr">
        <is>
          <t>Admin / Manage Outcome</t>
        </is>
      </c>
      <c r="C71" s="18" t="inlineStr">
        <is>
          <t>1440</t>
        </is>
      </c>
      <c r="D71" s="18" t="inlineStr">
        <is>
          <t>Layout &amp; Spacing</t>
        </is>
      </c>
      <c r="E71" s="18" t="inlineStr">
        <is>
          <t>Major</t>
        </is>
      </c>
      <c r="F71" s="18" t="inlineStr">
        <is>
          <t>Figma: pl 24 / pr 16 / py 8, size 157 × 40  →  Live: paddingLeft 18px / paddingRight 12px / py 0px, size 144 × 36</t>
        </is>
      </c>
      <c r="G71" s="18" t="inlineStr">
        <is>
          <t>Set padding to pl 24 / pr 16 / py 8; button measures 144×36 vs Figma 157×40 (W delta 13px, H delta 4px). Restore py 8 instead of 0.</t>
        </is>
      </c>
      <c r="H71" s="18" t="inlineStr">
        <is>
          <t>https://www.figma.com/design/gH2vQ62cfg4677YKWuOpLc/MoSJE-Portal--Handoff-?node-id=4226-40657</t>
        </is>
      </c>
      <c r="I71" s="18" t="inlineStr">
        <is>
          <t>https://eutthan-admin-uat.mosje.in/manage-outcome</t>
        </is>
      </c>
      <c r="J71" s="18" t="inlineStr">
        <is>
          <t>Open</t>
        </is>
      </c>
      <c r="K71" s="18" t="inlineStr"/>
      <c r="L71" s="18" t="inlineStr">
        <is>
          <t>2026-06-09</t>
        </is>
      </c>
      <c r="M71" s="18" t="inlineStr">
        <is>
          <t>Board pin #9</t>
        </is>
      </c>
    </row>
    <row r="72">
      <c r="A72" s="17" t="inlineStr">
        <is>
          <t>UTH-MANAGE-OUTCOME-016</t>
        </is>
      </c>
      <c r="B72" s="17" t="inlineStr">
        <is>
          <t>Admin / Manage Outcome</t>
        </is>
      </c>
      <c r="C72" s="17" t="inlineStr">
        <is>
          <t>1440</t>
        </is>
      </c>
      <c r="D72" s="17" t="inlineStr">
        <is>
          <t>Color &amp; Token</t>
        </is>
      </c>
      <c r="E72" s="17" t="inlineStr">
        <is>
          <t>Major</t>
        </is>
      </c>
      <c r="F72" s="17" t="inlineStr">
        <is>
          <t>Figma: #003366 (Text/Primary)  →  Live: rgb(55, 65, 81) = #374151</t>
        </is>
      </c>
      <c r="G72" s="17" t="inlineStr">
        <is>
          <t>Active sidebar label must be #003366 (Primary/Source); live keeps the default #374151, so the active item loses its primary-color emphasis.</t>
        </is>
      </c>
      <c r="H72" s="17" t="inlineStr">
        <is>
          <t>https://www.figma.com/design/gH2vQ62cfg4677YKWuOpLc/MoSJE-Portal--Handoff-?node-id=4226-40657</t>
        </is>
      </c>
      <c r="I72" s="17" t="inlineStr">
        <is>
          <t>https://eutthan-admin-uat.mosje.in/manage-outcome</t>
        </is>
      </c>
      <c r="J72" s="17" t="inlineStr">
        <is>
          <t>Open</t>
        </is>
      </c>
      <c r="K72" s="17" t="inlineStr"/>
      <c r="L72" s="17" t="inlineStr">
        <is>
          <t>2026-06-09</t>
        </is>
      </c>
      <c r="M72" s="17" t="inlineStr">
        <is>
          <t>Board pin #10</t>
        </is>
      </c>
    </row>
    <row r="73">
      <c r="A73" s="18" t="inlineStr">
        <is>
          <t>UTH-MANAGE-OUTCOME-019</t>
        </is>
      </c>
      <c r="B73" s="18" t="inlineStr">
        <is>
          <t>Admin / Manage Outcome</t>
        </is>
      </c>
      <c r="C73" s="18" t="inlineStr">
        <is>
          <t>1440</t>
        </is>
      </c>
      <c r="D73" s="18" t="inlineStr">
        <is>
          <t>Components &amp; States</t>
        </is>
      </c>
      <c r="E73" s="18" t="inlineStr">
        <is>
          <t>Major</t>
        </is>
      </c>
      <c r="F73" s="18" t="inlineStr">
        <is>
          <t>Figma: 3 filter chips: "2024-25", "All Schemes", "All Department" (bordered chips, Stroke/200 1px, radius 6, leading arrow-down 18×18)  →  Live: 1 control only: a "2026-2027" select dropdown (chevron, radius 8); the "All Schemes" and "All Department" filters are absent</t>
        </is>
      </c>
      <c r="G73" s="18" t="inlineStr">
        <is>
          <t>Add the missing "All Schemes" and "All Department" filter chips and render all three as the Figma bordered-chip variant (Stroke/200 1px, radius 6) rather than a single select. [Verify: confirm Figma filter-chips were a visible state, not a hidden frame.]</t>
        </is>
      </c>
      <c r="H73" s="18" t="inlineStr">
        <is>
          <t>https://www.figma.com/design/gH2vQ62cfg4677YKWuOpLc/MoSJE-Portal--Handoff-?node-id=4226-40657</t>
        </is>
      </c>
      <c r="I73" s="18" t="inlineStr">
        <is>
          <t>https://eutthan-admin-uat.mosje.in/manage-outcome</t>
        </is>
      </c>
      <c r="J73" s="18" t="inlineStr">
        <is>
          <t>Open</t>
        </is>
      </c>
      <c r="K73" s="18" t="inlineStr"/>
      <c r="L73" s="18" t="inlineStr">
        <is>
          <t>2026-06-09</t>
        </is>
      </c>
      <c r="M73" s="18" t="inlineStr">
        <is>
          <t>Board pin #11</t>
        </is>
      </c>
    </row>
    <row r="74">
      <c r="A74" s="17" t="inlineStr">
        <is>
          <t>UTH-MANAGE-OUTCOME-003</t>
        </is>
      </c>
      <c r="B74" s="17" t="inlineStr">
        <is>
          <t>Admin / Manage Outcome</t>
        </is>
      </c>
      <c r="C74" s="17" t="inlineStr">
        <is>
          <t>1440</t>
        </is>
      </c>
      <c r="D74" s="17" t="inlineStr">
        <is>
          <t>Color &amp; Token</t>
        </is>
      </c>
      <c r="E74" s="17" t="inlineStr">
        <is>
          <t>Minor</t>
        </is>
      </c>
      <c r="F74" s="17" t="inlineStr">
        <is>
          <t>Figma: #f9fafb (Neutral/50)  →  Live: effective bg rgb(243, 244, 246) = #f3f4f6 (Stroke/100)</t>
        </is>
      </c>
      <c r="G74" s="17" t="inlineStr">
        <is>
          <t>Set header background to #f9fafb (Neutral/50); currently #f3f4f6.</t>
        </is>
      </c>
      <c r="H74" s="17" t="inlineStr">
        <is>
          <t>https://www.figma.com/design/gH2vQ62cfg4677YKWuOpLc/MoSJE-Portal--Handoff-?node-id=4226-40657</t>
        </is>
      </c>
      <c r="I74" s="17" t="inlineStr">
        <is>
          <t>https://eutthan-admin-uat.mosje.in/manage-outcome</t>
        </is>
      </c>
      <c r="J74" s="17" t="inlineStr">
        <is>
          <t>Open</t>
        </is>
      </c>
      <c r="K74" s="17" t="inlineStr"/>
      <c r="L74" s="17" t="inlineStr">
        <is>
          <t>2026-06-09</t>
        </is>
      </c>
      <c r="M74" s="17" t="inlineStr">
        <is>
          <t>Board pin #12</t>
        </is>
      </c>
    </row>
    <row r="75">
      <c r="A75" s="18" t="inlineStr">
        <is>
          <t>UTH-MANAGE-OUTCOME-008</t>
        </is>
      </c>
      <c r="B75" s="18" t="inlineStr">
        <is>
          <t>Admin / Manage Outcome</t>
        </is>
      </c>
      <c r="C75" s="18" t="inlineStr">
        <is>
          <t>1440</t>
        </is>
      </c>
      <c r="D75" s="18" t="inlineStr">
        <is>
          <t>Layout &amp; Spacing</t>
        </is>
      </c>
      <c r="E75" s="18" t="inlineStr">
        <is>
          <t>Minor</t>
        </is>
      </c>
      <c r="F75" s="18" t="inlineStr">
        <is>
          <t>Figma: 24 all sides  →  Live: paddingTop 20px / paddingBottom 20px</t>
        </is>
      </c>
      <c r="G75" s="18" t="inlineStr">
        <is>
          <t>Increase cell vertical padding from 20px to 24px (delta 4px each side).</t>
        </is>
      </c>
      <c r="H75" s="18" t="inlineStr">
        <is>
          <t>https://www.figma.com/design/gH2vQ62cfg4677YKWuOpLc/MoSJE-Portal--Handoff-?node-id=4226-40657</t>
        </is>
      </c>
      <c r="I75" s="18" t="inlineStr">
        <is>
          <t>https://eutthan-admin-uat.mosje.in/manage-outcome</t>
        </is>
      </c>
      <c r="J75" s="18" t="inlineStr">
        <is>
          <t>Open</t>
        </is>
      </c>
      <c r="K75" s="18" t="inlineStr"/>
      <c r="L75" s="18" t="inlineStr">
        <is>
          <t>2026-06-09</t>
        </is>
      </c>
      <c r="M75" s="18" t="inlineStr">
        <is>
          <t>Board pin #13</t>
        </is>
      </c>
    </row>
    <row r="76">
      <c r="A76" s="17" t="inlineStr">
        <is>
          <t>UTH-MANAGE-OUTCOME-011</t>
        </is>
      </c>
      <c r="B76" s="17" t="inlineStr">
        <is>
          <t>Admin / Manage Outcome</t>
        </is>
      </c>
      <c r="C76" s="17" t="inlineStr">
        <is>
          <t>1440</t>
        </is>
      </c>
      <c r="D76" s="17" t="inlineStr">
        <is>
          <t>Typography</t>
        </is>
      </c>
      <c r="E76" s="17" t="inlineStr">
        <is>
          <t>Minor</t>
        </is>
      </c>
      <c r="F76" s="17" t="inlineStr">
        <is>
          <t>Figma: Medium 500  →  Live: fontWeight 600</t>
        </is>
      </c>
      <c r="G76" s="17" t="inlineStr">
        <is>
          <t>Set button label weight to Medium 500; live renders SemiBold 600.</t>
        </is>
      </c>
      <c r="H76" s="17" t="inlineStr">
        <is>
          <t>https://www.figma.com/design/gH2vQ62cfg4677YKWuOpLc/MoSJE-Portal--Handoff-?node-id=4226-40657</t>
        </is>
      </c>
      <c r="I76" s="17" t="inlineStr">
        <is>
          <t>https://eutthan-admin-uat.mosje.in/manage-outcome</t>
        </is>
      </c>
      <c r="J76" s="17" t="inlineStr">
        <is>
          <t>Open</t>
        </is>
      </c>
      <c r="K76" s="17" t="inlineStr"/>
      <c r="L76" s="17" t="inlineStr">
        <is>
          <t>2026-06-09</t>
        </is>
      </c>
      <c r="M76" s="17" t="inlineStr">
        <is>
          <t>Board pin #14</t>
        </is>
      </c>
    </row>
    <row r="77">
      <c r="A77" s="18" t="inlineStr">
        <is>
          <t>UTH-MANAGE-OUTCOME-012</t>
        </is>
      </c>
      <c r="B77" s="18" t="inlineStr">
        <is>
          <t>Admin / Manage Outcome</t>
        </is>
      </c>
      <c r="C77" s="18" t="inlineStr">
        <is>
          <t>1440</t>
        </is>
      </c>
      <c r="D77" s="18" t="inlineStr">
        <is>
          <t>Typography</t>
        </is>
      </c>
      <c r="E77" s="18" t="inlineStr">
        <is>
          <t>Minor</t>
        </is>
      </c>
      <c r="F77" s="18" t="inlineStr">
        <is>
          <t>Figma: line-height 20  →  Live: lineHeight 14px</t>
        </is>
      </c>
      <c r="G77" s="18" t="inlineStr">
        <is>
          <t>Set button label line-height to 20px (label-1); live uses 14px.</t>
        </is>
      </c>
      <c r="H77" s="18" t="inlineStr">
        <is>
          <t>https://www.figma.com/design/gH2vQ62cfg4677YKWuOpLc/MoSJE-Portal--Handoff-?node-id=4226-40657</t>
        </is>
      </c>
      <c r="I77" s="18" t="inlineStr">
        <is>
          <t>https://eutthan-admin-uat.mosje.in/manage-outcome</t>
        </is>
      </c>
      <c r="J77" s="18" t="inlineStr">
        <is>
          <t>Open</t>
        </is>
      </c>
      <c r="K77" s="18" t="inlineStr"/>
      <c r="L77" s="18" t="inlineStr">
        <is>
          <t>2026-06-09</t>
        </is>
      </c>
      <c r="M77" s="18" t="inlineStr">
        <is>
          <t>Board pin #15</t>
        </is>
      </c>
    </row>
    <row r="78">
      <c r="A78" s="17" t="inlineStr">
        <is>
          <t>UTH-MANAGE-OUTCOME-014</t>
        </is>
      </c>
      <c r="B78" s="17" t="inlineStr">
        <is>
          <t>Admin / Manage Outcome</t>
        </is>
      </c>
      <c r="C78" s="17" t="inlineStr">
        <is>
          <t>1440</t>
        </is>
      </c>
      <c r="D78" s="17" t="inlineStr">
        <is>
          <t>Color &amp; Token</t>
        </is>
      </c>
      <c r="E78" s="17" t="inlineStr">
        <is>
          <t>Minor</t>
        </is>
      </c>
      <c r="F78" s="17" t="inlineStr">
        <is>
          <t>Figma: radius 14px  →  Live: borderTopLeftRadius 12px</t>
        </is>
      </c>
      <c r="G78" s="17" t="inlineStr">
        <is>
          <t>Set card corner radius to 14px; live uses 12px (delta 2px).</t>
        </is>
      </c>
      <c r="H78" s="17" t="inlineStr">
        <is>
          <t>https://www.figma.com/design/gH2vQ62cfg4677YKWuOpLc/MoSJE-Portal--Handoff-?node-id=4226-40657</t>
        </is>
      </c>
      <c r="I78" s="17" t="inlineStr">
        <is>
          <t>https://eutthan-admin-uat.mosje.in/manage-outcome</t>
        </is>
      </c>
      <c r="J78" s="17" t="inlineStr">
        <is>
          <t>Open</t>
        </is>
      </c>
      <c r="K78" s="17" t="inlineStr"/>
      <c r="L78" s="17" t="inlineStr">
        <is>
          <t>2026-06-09</t>
        </is>
      </c>
      <c r="M78" s="17" t="inlineStr">
        <is>
          <t>Board pin #16</t>
        </is>
      </c>
    </row>
    <row r="79">
      <c r="A79" s="18" t="inlineStr">
        <is>
          <t>UTH-MANAGE-OUTCOME-015</t>
        </is>
      </c>
      <c r="B79" s="18" t="inlineStr">
        <is>
          <t>Admin / Manage Outcome</t>
        </is>
      </c>
      <c r="C79" s="18" t="inlineStr">
        <is>
          <t>1440</t>
        </is>
      </c>
      <c r="D79" s="18" t="inlineStr">
        <is>
          <t>Color &amp; Token</t>
        </is>
      </c>
      <c r="E79" s="18" t="inlineStr">
        <is>
          <t>Minor</t>
        </is>
      </c>
      <c r="F79" s="18" t="inlineStr">
        <is>
          <t>Figma: #e2e8f0 / 1px  →  Live: borderTopColor rgb(229, 231, 235) = #e5e7eb / 1px</t>
        </is>
      </c>
      <c r="G79" s="18" t="inlineStr">
        <is>
          <t>Set card border color to #e2e8f0; live uses #e5e7eb (token drift).</t>
        </is>
      </c>
      <c r="H79" s="18" t="inlineStr">
        <is>
          <t>https://www.figma.com/design/gH2vQ62cfg4677YKWuOpLc/MoSJE-Portal--Handoff-?node-id=4226-40657</t>
        </is>
      </c>
      <c r="I79" s="18" t="inlineStr">
        <is>
          <t>https://eutthan-admin-uat.mosje.in/manage-outcome</t>
        </is>
      </c>
      <c r="J79" s="18" t="inlineStr">
        <is>
          <t>Open</t>
        </is>
      </c>
      <c r="K79" s="18" t="inlineStr"/>
      <c r="L79" s="18" t="inlineStr">
        <is>
          <t>2026-06-09</t>
        </is>
      </c>
      <c r="M79" s="18" t="inlineStr">
        <is>
          <t>Board pin #17</t>
        </is>
      </c>
    </row>
    <row r="80">
      <c r="A80" s="17" t="inlineStr">
        <is>
          <t>UTH-MANAGE-OUTCOME-017</t>
        </is>
      </c>
      <c r="B80" s="17" t="inlineStr">
        <is>
          <t>Admin / Manage Outcome</t>
        </is>
      </c>
      <c r="C80" s="17" t="inlineStr">
        <is>
          <t>1440</t>
        </is>
      </c>
      <c r="D80" s="17" t="inlineStr">
        <is>
          <t>Typography</t>
        </is>
      </c>
      <c r="E80" s="17" t="inlineStr">
        <is>
          <t>Minor</t>
        </is>
      </c>
      <c r="F80" s="17" t="inlineStr">
        <is>
          <t>Figma: Regular 400  →  Live: fontWeight 700</t>
        </is>
      </c>
      <c r="G80" s="17" t="inlineStr">
        <is>
          <t>Set active sidebar label weight to Regular 400; live renders Bold 700.</t>
        </is>
      </c>
      <c r="H80" s="17" t="inlineStr">
        <is>
          <t>https://www.figma.com/design/gH2vQ62cfg4677YKWuOpLc/MoSJE-Portal--Handoff-?node-id=4226-40657</t>
        </is>
      </c>
      <c r="I80" s="17" t="inlineStr">
        <is>
          <t>https://eutthan-admin-uat.mosje.in/manage-outcome</t>
        </is>
      </c>
      <c r="J80" s="17" t="inlineStr">
        <is>
          <t>Open</t>
        </is>
      </c>
      <c r="K80" s="17" t="inlineStr"/>
      <c r="L80" s="17" t="inlineStr">
        <is>
          <t>2026-06-09</t>
        </is>
      </c>
      <c r="M80" s="17" t="inlineStr">
        <is>
          <t>Board pin #18</t>
        </is>
      </c>
    </row>
    <row r="81">
      <c r="A81" s="18" t="inlineStr">
        <is>
          <t>UTH-MANAGE-OUTCOME-018</t>
        </is>
      </c>
      <c r="B81" s="18" t="inlineStr">
        <is>
          <t>Admin / Manage Outcome</t>
        </is>
      </c>
      <c r="C81" s="18" t="inlineStr">
        <is>
          <t>1440</t>
        </is>
      </c>
      <c r="D81" s="18" t="inlineStr">
        <is>
          <t>Layout &amp; Spacing</t>
        </is>
      </c>
      <c r="E81" s="18" t="inlineStr">
        <is>
          <t>Minor</t>
        </is>
      </c>
      <c r="F81" s="18" t="inlineStr">
        <is>
          <t>Figma: radius 16px (radius-xl)  →  Live: 8px</t>
        </is>
      </c>
      <c r="G81" s="18" t="inlineStr">
        <is>
          <t>Set active item / sidebar row radius to 16px; live uses 8px (delta 8px).</t>
        </is>
      </c>
      <c r="H81" s="18" t="inlineStr">
        <is>
          <t>https://www.figma.com/design/gH2vQ62cfg4677YKWuOpLc/MoSJE-Portal--Handoff-?node-id=4226-40657</t>
        </is>
      </c>
      <c r="I81" s="18" t="inlineStr">
        <is>
          <t>https://eutthan-admin-uat.mosje.in/manage-outcome</t>
        </is>
      </c>
      <c r="J81" s="18" t="inlineStr">
        <is>
          <t>Open</t>
        </is>
      </c>
      <c r="K81" s="18" t="inlineStr"/>
      <c r="L81" s="18" t="inlineStr">
        <is>
          <t>2026-06-09</t>
        </is>
      </c>
      <c r="M81" s="18" t="inlineStr">
        <is>
          <t>Board pin #19</t>
        </is>
      </c>
    </row>
    <row r="82">
      <c r="A82" s="17" t="inlineStr">
        <is>
          <t>UTH-MANAGE-OUTCOME-021</t>
        </is>
      </c>
      <c r="B82" s="17" t="inlineStr">
        <is>
          <t>Admin / Manage Outcome</t>
        </is>
      </c>
      <c r="C82" s="17" t="inlineStr">
        <is>
          <t>1440</t>
        </is>
      </c>
      <c r="D82" s="17" t="inlineStr">
        <is>
          <t>Components &amp; States</t>
        </is>
      </c>
      <c r="E82" s="17" t="inlineStr">
        <is>
          <t>Minor</t>
        </is>
      </c>
      <c r="F82" s="17" t="inlineStr">
        <is>
          <t>Figma: items dropdown default "200"  →  Live: items dropdown default "10"</t>
        </is>
      </c>
      <c r="G82" s="17" t="inlineStr">
        <is>
          <t>Set default page-size to 200 to match Figma's pagination/large default (live defaults to 10). Note item counts (1500 vs 0) are DATA, not a defect.</t>
        </is>
      </c>
      <c r="H82" s="17" t="inlineStr">
        <is>
          <t>https://www.figma.com/design/gH2vQ62cfg4677YKWuOpLc/MoSJE-Portal--Handoff-?node-id=4226-40657</t>
        </is>
      </c>
      <c r="I82" s="17" t="inlineStr">
        <is>
          <t>https://eutthan-admin-uat.mosje.in/manage-outcome</t>
        </is>
      </c>
      <c r="J82" s="17" t="inlineStr">
        <is>
          <t>Open</t>
        </is>
      </c>
      <c r="K82" s="17" t="inlineStr"/>
      <c r="L82" s="17" t="inlineStr">
        <is>
          <t>2026-06-09</t>
        </is>
      </c>
      <c r="M82" s="17" t="inlineStr">
        <is>
          <t>Board pin #20</t>
        </is>
      </c>
    </row>
    <row r="83">
      <c r="A83" s="18" t="inlineStr">
        <is>
          <t>UTH-MANAGE-OUTCOME-020</t>
        </is>
      </c>
      <c r="B83" s="18" t="inlineStr">
        <is>
          <t>Admin / Manage Outcome</t>
        </is>
      </c>
      <c r="C83" s="18" t="inlineStr">
        <is>
          <t>1440</t>
        </is>
      </c>
      <c r="D83" s="18" t="inlineStr">
        <is>
          <t>Layout &amp; Spacing</t>
        </is>
      </c>
      <c r="E83" s="18" t="inlineStr">
        <is>
          <t>Nit</t>
        </is>
      </c>
      <c r="F83" s="18" t="inlineStr">
        <is>
          <t>Figma: ~40px  →  Live: 38px</t>
        </is>
      </c>
      <c r="G83" s="18" t="inlineStr">
        <is>
          <t>Govbar height 38px vs ~40px (delta ~2px); align to navbar spec.</t>
        </is>
      </c>
      <c r="H83" s="18" t="inlineStr">
        <is>
          <t>https://www.figma.com/design/gH2vQ62cfg4677YKWuOpLc/MoSJE-Portal--Handoff-?node-id=4226-40657</t>
        </is>
      </c>
      <c r="I83" s="18" t="inlineStr">
        <is>
          <t>https://eutthan-admin-uat.mosje.in/manage-outcome</t>
        </is>
      </c>
      <c r="J83" s="18" t="inlineStr">
        <is>
          <t>Open</t>
        </is>
      </c>
      <c r="K83" s="18" t="inlineStr"/>
      <c r="L83" s="18" t="inlineStr">
        <is>
          <t>2026-06-09</t>
        </is>
      </c>
      <c r="M83" s="18" t="inlineStr">
        <is>
          <t>Board pin #21</t>
        </is>
      </c>
    </row>
    <row r="84">
      <c r="A84" s="17" t="inlineStr">
        <is>
          <t>UTH-DOCUMENTS-001</t>
        </is>
      </c>
      <c r="B84" s="17" t="inlineStr">
        <is>
          <t>Admin / Documents</t>
        </is>
      </c>
      <c r="C84" s="17" t="inlineStr">
        <is>
          <t>1440</t>
        </is>
      </c>
      <c r="D84" s="17" t="inlineStr">
        <is>
          <t>Content &amp; Iconography</t>
        </is>
      </c>
      <c r="E84" s="17" t="inlineStr">
        <is>
          <t>Major</t>
        </is>
      </c>
      <c r="F84" s="17" t="inlineStr">
        <is>
          <t>Figma: Two masthead lines: line 1 'Ministry of Social Justice &amp; Empowerment' (Noto Sans 14px/500, #1f2937) + line 2 'Department of Social Justice &amp; Empowerment' (Noto Sans 20px/700, #374151)  →  Live: Single masthead line: 'Ministry of Social Justice &amp; Empowerment' (Noto Sans 20px/700, rgb(55,65,81)). The 'Department of Social Justice &amp; Empowerment' bold heading line is entirely absent.</t>
        </is>
      </c>
      <c r="G84" s="17" t="inlineStr">
        <is>
          <t>Add the second masthead line 'Department of Social Justice &amp; Empowerment' (Noto Sans 20px/700, #374151) and downgrade the Ministry line to 14px/500 #1f2937 letter-spacing 0.4px to match Figma.</t>
        </is>
      </c>
      <c r="H84" s="17" t="inlineStr">
        <is>
          <t>https://www.figma.com/design/gH2vQ62cfg4677YKWuOpLc/MoSJE-Portal--Handoff-?node-id=4226-42902</t>
        </is>
      </c>
      <c r="I84" s="17" t="inlineStr">
        <is>
          <t>https://eutthan-admin-uat.mosje.in/document-management</t>
        </is>
      </c>
      <c r="J84" s="17" t="inlineStr">
        <is>
          <t>Open</t>
        </is>
      </c>
      <c r="K84" s="17" t="inlineStr"/>
      <c r="L84" s="17" t="inlineStr">
        <is>
          <t>2026-06-09</t>
        </is>
      </c>
      <c r="M84" s="17" t="inlineStr">
        <is>
          <t>Board pin #1</t>
        </is>
      </c>
    </row>
    <row r="85">
      <c r="A85" s="18" t="inlineStr">
        <is>
          <t>UTH-DOCUMENTS-002</t>
        </is>
      </c>
      <c r="B85" s="18" t="inlineStr">
        <is>
          <t>Admin / Documents</t>
        </is>
      </c>
      <c r="C85" s="18" t="inlineStr">
        <is>
          <t>1440</t>
        </is>
      </c>
      <c r="D85" s="18" t="inlineStr">
        <is>
          <t>Content &amp; Iconography</t>
        </is>
      </c>
      <c r="E85" s="18" t="inlineStr">
        <is>
          <t>Major</t>
        </is>
      </c>
      <c r="F85" s="18" t="inlineStr">
        <is>
          <t>Figma: Masthead right region carries Digital India logo + SAMAVESH logo lockup ('Single Access Mechanism for All Verticals of Empowerment &amp; Social Harmony') before the profile chip.  →  Live: No Digital India or SAMAVESH logos rendered; masthead right region jumps straight to the profile chip.</t>
        </is>
      </c>
      <c r="G85" s="18" t="inlineStr">
        <is>
          <t>Add the Digital India and SAMAVESH logo lockups in the masthead right region per Figma node 4226:42902.</t>
        </is>
      </c>
      <c r="H85" s="18" t="inlineStr">
        <is>
          <t>https://www.figma.com/design/gH2vQ62cfg4677YKWuOpLc/MoSJE-Portal--Handoff-?node-id=4226-42902</t>
        </is>
      </c>
      <c r="I85" s="18" t="inlineStr">
        <is>
          <t>https://eutthan-admin-uat.mosje.in/document-management</t>
        </is>
      </c>
      <c r="J85" s="18" t="inlineStr">
        <is>
          <t>Open</t>
        </is>
      </c>
      <c r="K85" s="18" t="inlineStr"/>
      <c r="L85" s="18" t="inlineStr">
        <is>
          <t>2026-06-09</t>
        </is>
      </c>
      <c r="M85" s="18" t="inlineStr">
        <is>
          <t>Board pin #2</t>
        </is>
      </c>
    </row>
    <row r="86">
      <c r="A86" s="17" t="inlineStr">
        <is>
          <t>UTH-DOCUMENTS-007</t>
        </is>
      </c>
      <c r="B86" s="17" t="inlineStr">
        <is>
          <t>Admin / Documents</t>
        </is>
      </c>
      <c r="C86" s="17" t="inlineStr">
        <is>
          <t>1440</t>
        </is>
      </c>
      <c r="D86" s="17" t="inlineStr">
        <is>
          <t>Typography</t>
        </is>
      </c>
      <c r="E86" s="17" t="inlineStr">
        <is>
          <t>Major</t>
        </is>
      </c>
      <c r="F86" s="17" t="inlineStr">
        <is>
          <t>Figma: Column header text Noto Sans 16px / 600 (SemiBold) / line-height 24px (Body-1-semibold).  →  Live: Column header text Noto Sans 14px / 600 / line-height 21.7px.</t>
        </is>
      </c>
      <c r="G86" s="17" t="inlineStr">
        <is>
          <t>Set table column header font-size to 16px and line-height to 24px per Figma.</t>
        </is>
      </c>
      <c r="H86" s="17" t="inlineStr">
        <is>
          <t>https://www.figma.com/design/gH2vQ62cfg4677YKWuOpLc/MoSJE-Portal--Handoff-?node-id=4226-42902</t>
        </is>
      </c>
      <c r="I86" s="17" t="inlineStr">
        <is>
          <t>https://eutthan-admin-uat.mosje.in/document-management</t>
        </is>
      </c>
      <c r="J86" s="17" t="inlineStr">
        <is>
          <t>Open</t>
        </is>
      </c>
      <c r="K86" s="17" t="inlineStr"/>
      <c r="L86" s="17" t="inlineStr">
        <is>
          <t>2026-06-09</t>
        </is>
      </c>
      <c r="M86" s="17" t="inlineStr">
        <is>
          <t>Board pin #3</t>
        </is>
      </c>
    </row>
    <row r="87">
      <c r="A87" s="18" t="inlineStr">
        <is>
          <t>UTH-DOCUMENTS-008</t>
        </is>
      </c>
      <c r="B87" s="18" t="inlineStr">
        <is>
          <t>Admin / Documents</t>
        </is>
      </c>
      <c r="C87" s="18" t="inlineStr">
        <is>
          <t>1440</t>
        </is>
      </c>
      <c r="D87" s="18" t="inlineStr">
        <is>
          <t>Color &amp; Token</t>
        </is>
      </c>
      <c r="E87" s="18" t="inlineStr">
        <is>
          <t>Major</t>
        </is>
      </c>
      <c r="F87" s="18" t="inlineStr">
        <is>
          <t>Figma: Column header text color #6b7280 (rendered hint color).  →  Live: Column header text color rgb(55,65,81) (#374151).</t>
        </is>
      </c>
      <c r="G87" s="18" t="inlineStr">
        <is>
          <t>Change column header text color to #6b7280 to match Figma hint-text rendering.</t>
        </is>
      </c>
      <c r="H87" s="18" t="inlineStr">
        <is>
          <t>https://www.figma.com/design/gH2vQ62cfg4677YKWuOpLc/MoSJE-Portal--Handoff-?node-id=4226-42902</t>
        </is>
      </c>
      <c r="I87" s="18" t="inlineStr">
        <is>
          <t>https://eutthan-admin-uat.mosje.in/document-management</t>
        </is>
      </c>
      <c r="J87" s="18" t="inlineStr">
        <is>
          <t>Open</t>
        </is>
      </c>
      <c r="K87" s="18" t="inlineStr"/>
      <c r="L87" s="18" t="inlineStr">
        <is>
          <t>2026-06-09</t>
        </is>
      </c>
      <c r="M87" s="18" t="inlineStr">
        <is>
          <t>Board pin #4</t>
        </is>
      </c>
    </row>
    <row r="88">
      <c r="A88" s="17" t="inlineStr">
        <is>
          <t>UTH-DOCUMENTS-010</t>
        </is>
      </c>
      <c r="B88" s="17" t="inlineStr">
        <is>
          <t>Admin / Documents</t>
        </is>
      </c>
      <c r="C88" s="17" t="inlineStr">
        <is>
          <t>1440</t>
        </is>
      </c>
      <c r="D88" s="17" t="inlineStr">
        <is>
          <t>Typography</t>
        </is>
      </c>
      <c r="E88" s="17" t="inlineStr">
        <is>
          <t>Major</t>
        </is>
      </c>
      <c r="F88" s="17" t="inlineStr">
        <is>
          <t>Figma: Data cell text Noto Sans 16px / 400 / line-height 24px (Body-1).  →  Live: Data cell text Noto Sans 14px / 400 / line-height 21.7px.</t>
        </is>
      </c>
      <c r="G88" s="17" t="inlineStr">
        <is>
          <t>Set data cell font-size to 16px and line-height to 24px per Figma.</t>
        </is>
      </c>
      <c r="H88" s="17" t="inlineStr">
        <is>
          <t>https://www.figma.com/design/gH2vQ62cfg4677YKWuOpLc/MoSJE-Portal--Handoff-?node-id=4226-42902</t>
        </is>
      </c>
      <c r="I88" s="17" t="inlineStr">
        <is>
          <t>https://eutthan-admin-uat.mosje.in/document-management</t>
        </is>
      </c>
      <c r="J88" s="17" t="inlineStr">
        <is>
          <t>Open</t>
        </is>
      </c>
      <c r="K88" s="17" t="inlineStr"/>
      <c r="L88" s="17" t="inlineStr">
        <is>
          <t>2026-06-09</t>
        </is>
      </c>
      <c r="M88" s="17" t="inlineStr">
        <is>
          <t>Board pin #5</t>
        </is>
      </c>
    </row>
    <row r="89">
      <c r="A89" s="18" t="inlineStr">
        <is>
          <t>UTH-DOCUMENTS-011</t>
        </is>
      </c>
      <c r="B89" s="18" t="inlineStr">
        <is>
          <t>Admin / Documents</t>
        </is>
      </c>
      <c r="C89" s="18" t="inlineStr">
        <is>
          <t>1440</t>
        </is>
      </c>
      <c r="D89" s="18" t="inlineStr">
        <is>
          <t>Color &amp; Token</t>
        </is>
      </c>
      <c r="E89" s="18" t="inlineStr">
        <is>
          <t>Major</t>
        </is>
      </c>
      <c r="F89" s="18" t="inlineStr">
        <is>
          <t>Figma: Data cell text color #374151 (Text/Dark).  →  Live: Data cell text color rgb(75,85,99) (#4b5563 / Neutral-600).</t>
        </is>
      </c>
      <c r="G89" s="18" t="inlineStr">
        <is>
          <t>Change data cell text color to #374151 to match Figma.</t>
        </is>
      </c>
      <c r="H89" s="18" t="inlineStr">
        <is>
          <t>https://www.figma.com/design/gH2vQ62cfg4677YKWuOpLc/MoSJE-Portal--Handoff-?node-id=4226-42902</t>
        </is>
      </c>
      <c r="I89" s="18" t="inlineStr">
        <is>
          <t>https://eutthan-admin-uat.mosje.in/document-management</t>
        </is>
      </c>
      <c r="J89" s="18" t="inlineStr">
        <is>
          <t>Open</t>
        </is>
      </c>
      <c r="K89" s="18" t="inlineStr"/>
      <c r="L89" s="18" t="inlineStr">
        <is>
          <t>2026-06-09</t>
        </is>
      </c>
      <c r="M89" s="18" t="inlineStr">
        <is>
          <t>Board pin #6</t>
        </is>
      </c>
    </row>
    <row r="90">
      <c r="A90" s="17" t="inlineStr">
        <is>
          <t>UTH-DOCUMENTS-012</t>
        </is>
      </c>
      <c r="B90" s="17" t="inlineStr">
        <is>
          <t>Admin / Documents</t>
        </is>
      </c>
      <c r="C90" s="17" t="inlineStr">
        <is>
          <t>1440</t>
        </is>
      </c>
      <c r="D90" s="17" t="inlineStr">
        <is>
          <t>Layout &amp; Spacing</t>
        </is>
      </c>
      <c r="E90" s="17" t="inlineStr">
        <is>
          <t>Major</t>
        </is>
      </c>
      <c r="F90" s="17" t="inlineStr">
        <is>
          <t>Figma: Cell internal padding 24px all sides; data row height 116px.  →  Live: Cell padding px 16 / py 20; data row height 69px.</t>
        </is>
      </c>
      <c r="G90" s="17" t="inlineStr">
        <is>
          <t>Set cell padding to 24px on all sides (horizontal +8, vertical +4) and increase data row height to 116px (delta 47px) per Figma.</t>
        </is>
      </c>
      <c r="H90" s="17" t="inlineStr">
        <is>
          <t>https://www.figma.com/design/gH2vQ62cfg4677YKWuOpLc/MoSJE-Portal--Handoff-?node-id=4226-42902</t>
        </is>
      </c>
      <c r="I90" s="17" t="inlineStr">
        <is>
          <t>https://eutthan-admin-uat.mosje.in/document-management</t>
        </is>
      </c>
      <c r="J90" s="17" t="inlineStr">
        <is>
          <t>Open</t>
        </is>
      </c>
      <c r="K90" s="17" t="inlineStr"/>
      <c r="L90" s="17" t="inlineStr">
        <is>
          <t>2026-06-09</t>
        </is>
      </c>
      <c r="M90" s="17" t="inlineStr">
        <is>
          <t>Board pin #7</t>
        </is>
      </c>
    </row>
    <row r="91">
      <c r="A91" s="18" t="inlineStr">
        <is>
          <t>UTH-DOCUMENTS-015</t>
        </is>
      </c>
      <c r="B91" s="18" t="inlineStr">
        <is>
          <t>Admin / Documents</t>
        </is>
      </c>
      <c r="C91" s="18" t="inlineStr">
        <is>
          <t>1440</t>
        </is>
      </c>
      <c r="D91" s="18" t="inlineStr">
        <is>
          <t>Color &amp; Token</t>
        </is>
      </c>
      <c r="E91" s="18" t="inlineStr">
        <is>
          <t>Major</t>
        </is>
      </c>
      <c r="F91" s="18" t="inlineStr">
        <is>
          <t>Figma: Active item 'Manage Documents' text color #003366 (Primary/Source) on bg #e5eff9 (Primary/50).  →  Live: Active item text color rgb(55,65,81) (#374151) on bg rgb(229,239,249) (#e5eff9).</t>
        </is>
      </c>
      <c r="G91" s="18" t="inlineStr">
        <is>
          <t>Set active sidebar item text color to #003366 (Primary/Source); background #e5eff9 is correct.</t>
        </is>
      </c>
      <c r="H91" s="18" t="inlineStr">
        <is>
          <t>https://www.figma.com/design/gH2vQ62cfg4677YKWuOpLc/MoSJE-Portal--Handoff-?node-id=4226-42902</t>
        </is>
      </c>
      <c r="I91" s="18" t="inlineStr">
        <is>
          <t>https://eutthan-admin-uat.mosje.in/document-management</t>
        </is>
      </c>
      <c r="J91" s="18" t="inlineStr">
        <is>
          <t>Open</t>
        </is>
      </c>
      <c r="K91" s="18" t="inlineStr"/>
      <c r="L91" s="18" t="inlineStr">
        <is>
          <t>2026-06-09</t>
        </is>
      </c>
      <c r="M91" s="18" t="inlineStr">
        <is>
          <t>Board pin #8</t>
        </is>
      </c>
    </row>
    <row r="92">
      <c r="A92" s="17" t="inlineStr">
        <is>
          <t>UTH-DOCUMENTS-019</t>
        </is>
      </c>
      <c r="B92" s="17" t="inlineStr">
        <is>
          <t>Admin / Documents</t>
        </is>
      </c>
      <c r="C92" s="17" t="inlineStr">
        <is>
          <t>1440</t>
        </is>
      </c>
      <c r="D92" s="17" t="inlineStr">
        <is>
          <t>Components &amp; States</t>
        </is>
      </c>
      <c r="E92" s="17" t="inlineStr">
        <is>
          <t>Major</t>
        </is>
      </c>
      <c r="F92" s="17" t="inlineStr">
        <is>
          <t>Figma: Year filter chip '2024-25' (Noto Sans 14px/400 #374151) transparent fill, 1px #e5e7eb border, radius 6, 99 × 36, leading arrow-down icon 18×18, pl 8 / pr 16 / py 8.  →  Live: Year filter is a full dropdown showing '2026-2027' with a trailing clear (×) button and a chevron; styled as a bordered select ~140px wide, not the compact 99px chip with a leading caret.</t>
        </is>
      </c>
      <c r="G92" s="17" t="inlineStr">
        <is>
          <t>Replace the wide clearable select with the Figma compact filter chip (99×36, radius 6, leading arrow-down 18×18, #e5e7eb border). The displayed value '2024-25' vs '2026-2027' is DATA, but the component variant and the trailing × control are defects.</t>
        </is>
      </c>
      <c r="H92" s="17" t="inlineStr">
        <is>
          <t>https://www.figma.com/design/gH2vQ62cfg4677YKWuOpLc/MoSJE-Portal--Handoff-?node-id=4226-42902</t>
        </is>
      </c>
      <c r="I92" s="17" t="inlineStr">
        <is>
          <t>https://eutthan-admin-uat.mosje.in/document-management</t>
        </is>
      </c>
      <c r="J92" s="17" t="inlineStr">
        <is>
          <t>Open</t>
        </is>
      </c>
      <c r="K92" s="17" t="inlineStr"/>
      <c r="L92" s="17" t="inlineStr">
        <is>
          <t>2026-06-09</t>
        </is>
      </c>
      <c r="M92" s="17" t="inlineStr">
        <is>
          <t>Board pin #9</t>
        </is>
      </c>
    </row>
    <row r="93">
      <c r="A93" s="18" t="inlineStr">
        <is>
          <t>UTH-DOCUMENTS-003</t>
        </is>
      </c>
      <c r="B93" s="18" t="inlineStr">
        <is>
          <t>Admin / Documents</t>
        </is>
      </c>
      <c r="C93" s="18" t="inlineStr">
        <is>
          <t>1440</t>
        </is>
      </c>
      <c r="D93" s="18" t="inlineStr">
        <is>
          <t>Color &amp; Token</t>
        </is>
      </c>
      <c r="E93" s="18" t="inlineStr">
        <is>
          <t>Minor</t>
        </is>
      </c>
      <c r="F93" s="18" t="inlineStr">
        <is>
          <t>Figma: Top gov bar accent strip 52px tall (token Gov top bar accent #ffd323 recorded; rendered frame shows dark gov band with #ffd323 accent).  →  Live: Gov bar background rgb(0,51,102) (#003366), height 38px.</t>
        </is>
      </c>
      <c r="G93" s="18" t="inlineStr">
        <is>
          <t>Confirm gov-bar height against Figma (52px in spec vs 38px live = 14px short) and apply the #ffd323 accent token where Figma specifies it.</t>
        </is>
      </c>
      <c r="H93" s="18" t="inlineStr">
        <is>
          <t>https://www.figma.com/design/gH2vQ62cfg4677YKWuOpLc/MoSJE-Portal--Handoff-?node-id=4226-42902</t>
        </is>
      </c>
      <c r="I93" s="18" t="inlineStr">
        <is>
          <t>https://eutthan-admin-uat.mosje.in/document-management</t>
        </is>
      </c>
      <c r="J93" s="18" t="inlineStr">
        <is>
          <t>Open</t>
        </is>
      </c>
      <c r="K93" s="18" t="inlineStr"/>
      <c r="L93" s="18" t="inlineStr">
        <is>
          <t>2026-06-09</t>
        </is>
      </c>
      <c r="M93" s="18" t="inlineStr">
        <is>
          <t>Board pin #10</t>
        </is>
      </c>
    </row>
    <row r="94">
      <c r="A94" s="17" t="inlineStr">
        <is>
          <t>UTH-DOCUMENTS-004</t>
        </is>
      </c>
      <c r="B94" s="17" t="inlineStr">
        <is>
          <t>Admin / Documents</t>
        </is>
      </c>
      <c r="C94" s="17" t="inlineStr">
        <is>
          <t>1440</t>
        </is>
      </c>
      <c r="D94" s="17" t="inlineStr">
        <is>
          <t>Content &amp; Iconography</t>
        </is>
      </c>
      <c r="E94" s="17" t="inlineStr">
        <is>
          <t>Minor</t>
        </is>
      </c>
      <c r="F94" s="17" t="inlineStr">
        <is>
          <t>Figma: Profile name 'Vikas S' (Noto Sans 16px/24lh), role 'Admin' (Noto Sans 13px/20lh); avatar initials 'VS'.  →  Live: Profile name 'Admin User', role '(Super Admin)' in parentheses; avatar initials 'AU'.</t>
        </is>
      </c>
      <c r="G94" s="17" t="inlineStr">
        <is>
          <t>Profile identity is account-bound (DATA) but the role format differs: Figma uses plain 'Admin', live wraps role in parentheses '(Super Admin)'. Align role-label format to the Figma pattern (no parentheses).</t>
        </is>
      </c>
      <c r="H94" s="17" t="inlineStr">
        <is>
          <t>https://www.figma.com/design/gH2vQ62cfg4677YKWuOpLc/MoSJE-Portal--Handoff-?node-id=4226-42902</t>
        </is>
      </c>
      <c r="I94" s="17" t="inlineStr">
        <is>
          <t>https://eutthan-admin-uat.mosje.in/document-management</t>
        </is>
      </c>
      <c r="J94" s="17" t="inlineStr">
        <is>
          <t>Open</t>
        </is>
      </c>
      <c r="K94" s="17" t="inlineStr"/>
      <c r="L94" s="17" t="inlineStr">
        <is>
          <t>2026-06-09</t>
        </is>
      </c>
      <c r="M94" s="17" t="inlineStr">
        <is>
          <t>Board pin #11</t>
        </is>
      </c>
    </row>
    <row r="95">
      <c r="A95" s="18" t="inlineStr">
        <is>
          <t>UTH-DOCUMENTS-005</t>
        </is>
      </c>
      <c r="B95" s="18" t="inlineStr">
        <is>
          <t>Admin / Documents</t>
        </is>
      </c>
      <c r="C95" s="18" t="inlineStr">
        <is>
          <t>1440</t>
        </is>
      </c>
      <c r="D95" s="18" t="inlineStr">
        <is>
          <t>Typography</t>
        </is>
      </c>
      <c r="E95" s="18" t="inlineStr">
        <is>
          <t>Minor</t>
        </is>
      </c>
      <c r="F95" s="18" t="inlineStr">
        <is>
          <t>Figma: Noto Sans 14px / weight 500 (Medium) / line-height 20px, color #ffffff.  →  Live: Noto Sans 14px / weight 600 / line-height 14px, color rgb(255,255,255).</t>
        </is>
      </c>
      <c r="G95" s="18" t="inlineStr">
        <is>
          <t>Set button label weight 500 (not 600) and line-height 20px to match Figma.</t>
        </is>
      </c>
      <c r="H95" s="18" t="inlineStr">
        <is>
          <t>https://www.figma.com/design/gH2vQ62cfg4677YKWuOpLc/MoSJE-Portal--Handoff-?node-id=4226-42902</t>
        </is>
      </c>
      <c r="I95" s="18" t="inlineStr">
        <is>
          <t>https://eutthan-admin-uat.mosje.in/document-management</t>
        </is>
      </c>
      <c r="J95" s="18" t="inlineStr">
        <is>
          <t>Open</t>
        </is>
      </c>
      <c r="K95" s="18" t="inlineStr"/>
      <c r="L95" s="18" t="inlineStr">
        <is>
          <t>2026-06-09</t>
        </is>
      </c>
      <c r="M95" s="18" t="inlineStr">
        <is>
          <t>Board pin #12</t>
        </is>
      </c>
    </row>
    <row r="96">
      <c r="A96" s="17" t="inlineStr">
        <is>
          <t>UTH-DOCUMENTS-006</t>
        </is>
      </c>
      <c r="B96" s="17" t="inlineStr">
        <is>
          <t>Admin / Documents</t>
        </is>
      </c>
      <c r="C96" s="17" t="inlineStr">
        <is>
          <t>1440</t>
        </is>
      </c>
      <c r="D96" s="17" t="inlineStr">
        <is>
          <t>Layout &amp; Spacing</t>
        </is>
      </c>
      <c r="E96" s="17" t="inlineStr">
        <is>
          <t>Minor</t>
        </is>
      </c>
      <c r="F96" s="17" t="inlineStr">
        <is>
          <t>Figma: 165 × 40 px; padding pl 24 / pr 16 / py 8; radius 8px; icon 16×16 trailing, gap 8.  →  Live: 152 × 36 px; padding pl 18 / pr 12 / py 0; radius 8px.</t>
        </is>
      </c>
      <c r="G96" s="17" t="inlineStr">
        <is>
          <t>Increase button to 165×40 (height +4, width +13); set padding pl 24 / pr 16 / py 8 to match Figma.</t>
        </is>
      </c>
      <c r="H96" s="17" t="inlineStr">
        <is>
          <t>https://www.figma.com/design/gH2vQ62cfg4677YKWuOpLc/MoSJE-Portal--Handoff-?node-id=4226-42902</t>
        </is>
      </c>
      <c r="I96" s="17" t="inlineStr">
        <is>
          <t>https://eutthan-admin-uat.mosje.in/document-management</t>
        </is>
      </c>
      <c r="J96" s="17" t="inlineStr">
        <is>
          <t>Open</t>
        </is>
      </c>
      <c r="K96" s="17" t="inlineStr"/>
      <c r="L96" s="17" t="inlineStr">
        <is>
          <t>2026-06-09</t>
        </is>
      </c>
      <c r="M96" s="17" t="inlineStr">
        <is>
          <t>Board pin #13</t>
        </is>
      </c>
    </row>
    <row r="97">
      <c r="A97" s="18" t="inlineStr">
        <is>
          <t>UTH-DOCUMENTS-009</t>
        </is>
      </c>
      <c r="B97" s="18" t="inlineStr">
        <is>
          <t>Admin / Documents</t>
        </is>
      </c>
      <c r="C97" s="18" t="inlineStr">
        <is>
          <t>1440</t>
        </is>
      </c>
      <c r="D97" s="18" t="inlineStr">
        <is>
          <t>Layout &amp; Spacing</t>
        </is>
      </c>
      <c r="E97" s="18" t="inlineStr">
        <is>
          <t>Minor</t>
        </is>
      </c>
      <c r="F97" s="18" t="inlineStr">
        <is>
          <t>Figma: Header cell bg #f9fafb; padding px 24 / py 16; header row 56px tall.  →  Live: Header cell effective bg rgb(243,244,246) (#f3f4f6); padding px 16 / py 16; header row 54px tall.</t>
        </is>
      </c>
      <c r="G97" s="18" t="inlineStr">
        <is>
          <t>Set header background to #f9fafb (not #f3f4f6), horizontal cell padding to 24px (currently 16px), and row height to 56px.</t>
        </is>
      </c>
      <c r="H97" s="18" t="inlineStr">
        <is>
          <t>https://www.figma.com/design/gH2vQ62cfg4677YKWuOpLc/MoSJE-Portal--Handoff-?node-id=4226-42902</t>
        </is>
      </c>
      <c r="I97" s="18" t="inlineStr">
        <is>
          <t>https://eutthan-admin-uat.mosje.in/document-management</t>
        </is>
      </c>
      <c r="J97" s="18" t="inlineStr">
        <is>
          <t>Open</t>
        </is>
      </c>
      <c r="K97" s="18" t="inlineStr"/>
      <c r="L97" s="18" t="inlineStr">
        <is>
          <t>2026-06-09</t>
        </is>
      </c>
      <c r="M97" s="18" t="inlineStr">
        <is>
          <t>Board pin #14</t>
        </is>
      </c>
    </row>
    <row r="98">
      <c r="A98" s="17" t="inlineStr">
        <is>
          <t>UTH-DOCUMENTS-013</t>
        </is>
      </c>
      <c r="B98" s="17" t="inlineStr">
        <is>
          <t>Admin / Documents</t>
        </is>
      </c>
      <c r="C98" s="17" t="inlineStr">
        <is>
          <t>1440</t>
        </is>
      </c>
      <c r="D98" s="17" t="inlineStr">
        <is>
          <t>Color &amp; Token</t>
        </is>
      </c>
      <c r="E98" s="17" t="inlineStr">
        <is>
          <t>Minor</t>
        </is>
      </c>
      <c r="F98" s="17" t="inlineStr">
        <is>
          <t>Figma: Row/header bottom border #f3f4f6 / 1px (Stroke/100).  →  Live: Bottom border color rgb(229,231,235) (#e5e7eb / Stroke-200); borderBottomWidth reported 0px on cells.</t>
        </is>
      </c>
      <c r="G98" s="17" t="inlineStr">
        <is>
          <t>Set cell bottom border to 1px #f3f4f6 (currently #e5e7eb, and ensure 1px width is applied).</t>
        </is>
      </c>
      <c r="H98" s="17" t="inlineStr">
        <is>
          <t>https://www.figma.com/design/gH2vQ62cfg4677YKWuOpLc/MoSJE-Portal--Handoff-?node-id=4226-42902</t>
        </is>
      </c>
      <c r="I98" s="17" t="inlineStr">
        <is>
          <t>https://eutthan-admin-uat.mosje.in/document-management</t>
        </is>
      </c>
      <c r="J98" s="17" t="inlineStr">
        <is>
          <t>Open</t>
        </is>
      </c>
      <c r="K98" s="17" t="inlineStr"/>
      <c r="L98" s="17" t="inlineStr">
        <is>
          <t>2026-06-09</t>
        </is>
      </c>
      <c r="M98" s="17" t="inlineStr">
        <is>
          <t>Board pin #15</t>
        </is>
      </c>
    </row>
    <row r="99">
      <c r="A99" s="18" t="inlineStr">
        <is>
          <t>UTH-DOCUMENTS-014</t>
        </is>
      </c>
      <c r="B99" s="18" t="inlineStr">
        <is>
          <t>Admin / Documents</t>
        </is>
      </c>
      <c r="C99" s="18" t="inlineStr">
        <is>
          <t>1440</t>
        </is>
      </c>
      <c r="D99" s="18" t="inlineStr">
        <is>
          <t>Layout &amp; Spacing</t>
        </is>
      </c>
      <c r="E99" s="18" t="inlineStr">
        <is>
          <t>Minor</t>
        </is>
      </c>
      <c r="F99" s="18" t="inlineStr">
        <is>
          <t>Figma: Card is a white container (#ffffff) with shadow-s (0 1 3 1 #2121211A; 0 4 4 0 #2121211F), no top hairline border.  →  Live: Card effective bg rgb(255,255,255) with top border 1px rgb(229,231,235); border-radius 12px.</t>
        </is>
      </c>
      <c r="G99" s="18" t="inlineStr">
        <is>
          <t>Remove the top hairline border on the card and apply Figma shadow-s; keep radius per card token (Figma uses default card radius, not the live 12px top-left-only).</t>
        </is>
      </c>
      <c r="H99" s="18" t="inlineStr">
        <is>
          <t>https://www.figma.com/design/gH2vQ62cfg4677YKWuOpLc/MoSJE-Portal--Handoff-?node-id=4226-42902</t>
        </is>
      </c>
      <c r="I99" s="18" t="inlineStr">
        <is>
          <t>https://eutthan-admin-uat.mosje.in/document-management</t>
        </is>
      </c>
      <c r="J99" s="18" t="inlineStr">
        <is>
          <t>Open</t>
        </is>
      </c>
      <c r="K99" s="18" t="inlineStr"/>
      <c r="L99" s="18" t="inlineStr">
        <is>
          <t>2026-06-09</t>
        </is>
      </c>
      <c r="M99" s="18" t="inlineStr">
        <is>
          <t>Board pin #16</t>
        </is>
      </c>
    </row>
    <row r="100">
      <c r="A100" s="17" t="inlineStr">
        <is>
          <t>UTH-DOCUMENTS-016</t>
        </is>
      </c>
      <c r="B100" s="17" t="inlineStr">
        <is>
          <t>Admin / Documents</t>
        </is>
      </c>
      <c r="C100" s="17" t="inlineStr">
        <is>
          <t>1440</t>
        </is>
      </c>
      <c r="D100" s="17" t="inlineStr">
        <is>
          <t>Typography</t>
        </is>
      </c>
      <c r="E100" s="17" t="inlineStr">
        <is>
          <t>Minor</t>
        </is>
      </c>
      <c r="F100" s="17" t="inlineStr">
        <is>
          <t>Figma: Active item label Noto Sans 14px / weight 400 (regular).  →  Live: Active item label weight 700 (bold).</t>
        </is>
      </c>
      <c r="G100" s="17" t="inlineStr">
        <is>
          <t>Set active sidebar item font-weight to 400 to match Figma (Figma does not bold the active label).</t>
        </is>
      </c>
      <c r="H100" s="17" t="inlineStr">
        <is>
          <t>https://www.figma.com/design/gH2vQ62cfg4677YKWuOpLc/MoSJE-Portal--Handoff-?node-id=4226-42902</t>
        </is>
      </c>
      <c r="I100" s="17" t="inlineStr">
        <is>
          <t>https://eutthan-admin-uat.mosje.in/document-management</t>
        </is>
      </c>
      <c r="J100" s="17" t="inlineStr">
        <is>
          <t>Open</t>
        </is>
      </c>
      <c r="K100" s="17" t="inlineStr"/>
      <c r="L100" s="17" t="inlineStr">
        <is>
          <t>2026-06-09</t>
        </is>
      </c>
      <c r="M100" s="17" t="inlineStr">
        <is>
          <t>Board pin #17</t>
        </is>
      </c>
    </row>
    <row r="101">
      <c r="A101" s="18" t="inlineStr">
        <is>
          <t>UTH-DOCUMENTS-017</t>
        </is>
      </c>
      <c r="B101" s="18" t="inlineStr">
        <is>
          <t>Admin / Documents</t>
        </is>
      </c>
      <c r="C101" s="18" t="inlineStr">
        <is>
          <t>1440</t>
        </is>
      </c>
      <c r="D101" s="18" t="inlineStr">
        <is>
          <t>Layout &amp; Spacing</t>
        </is>
      </c>
      <c r="E101" s="18" t="inlineStr">
        <is>
          <t>Minor</t>
        </is>
      </c>
      <c r="F101" s="18" t="inlineStr">
        <is>
          <t>Figma: Sidebar item pill radius 16px (radius-xl).  →  Live: Sidebar item radius 8px.</t>
        </is>
      </c>
      <c r="G101" s="18" t="inlineStr">
        <is>
          <t>Set sidebar item border-radius to 16px per Figma.</t>
        </is>
      </c>
      <c r="H101" s="18" t="inlineStr">
        <is>
          <t>https://www.figma.com/design/gH2vQ62cfg4677YKWuOpLc/MoSJE-Portal--Handoff-?node-id=4226-42902</t>
        </is>
      </c>
      <c r="I101" s="18" t="inlineStr">
        <is>
          <t>https://eutthan-admin-uat.mosje.in/document-management</t>
        </is>
      </c>
      <c r="J101" s="18" t="inlineStr">
        <is>
          <t>Open</t>
        </is>
      </c>
      <c r="K101" s="18" t="inlineStr"/>
      <c r="L101" s="18" t="inlineStr">
        <is>
          <t>2026-06-09</t>
        </is>
      </c>
      <c r="M101" s="18" t="inlineStr">
        <is>
          <t>Board pin #18</t>
        </is>
      </c>
    </row>
    <row r="102">
      <c r="A102" s="17" t="inlineStr">
        <is>
          <t>UTH-DOCUMENTS-018</t>
        </is>
      </c>
      <c r="B102" s="17" t="inlineStr">
        <is>
          <t>Admin / Documents</t>
        </is>
      </c>
      <c r="C102" s="17" t="inlineStr">
        <is>
          <t>1440</t>
        </is>
      </c>
      <c r="D102" s="17" t="inlineStr">
        <is>
          <t>Color &amp; Token</t>
        </is>
      </c>
      <c r="E102" s="17" t="inlineStr">
        <is>
          <t>Minor</t>
        </is>
      </c>
      <c r="F102" s="17" t="inlineStr">
        <is>
          <t>Figma: Search field placeholder 'Search for ' Noto Sans 14px/400 #6b7280 on bg #f9fafb; field 577 × 40, radius 8, search icon 20×20.  →  Live: Search field spans nearly full card header width (~768px wide, not 577px); placeholder 'Search for' rendered very light gray (lower-contrast than #6b7280) on near-white bg.</t>
        </is>
      </c>
      <c r="G102" s="17" t="inlineStr">
        <is>
          <t>Constrain search field width toward Figma 577px (CardHeader is space-between: search left, filter chip right), and set placeholder color to #6b7280 on #f9fafb fill.</t>
        </is>
      </c>
      <c r="H102" s="17" t="inlineStr">
        <is>
          <t>https://www.figma.com/design/gH2vQ62cfg4677YKWuOpLc/MoSJE-Portal--Handoff-?node-id=4226-42902</t>
        </is>
      </c>
      <c r="I102" s="17" t="inlineStr">
        <is>
          <t>https://eutthan-admin-uat.mosje.in/document-management</t>
        </is>
      </c>
      <c r="J102" s="17" t="inlineStr">
        <is>
          <t>Open</t>
        </is>
      </c>
      <c r="K102" s="17" t="inlineStr"/>
      <c r="L102" s="17" t="inlineStr">
        <is>
          <t>2026-06-09</t>
        </is>
      </c>
      <c r="M102" s="17" t="inlineStr">
        <is>
          <t>Board pin #19</t>
        </is>
      </c>
    </row>
    <row r="103">
      <c r="A103" s="18" t="inlineStr">
        <is>
          <t>UTH-DOCUMENTS-020</t>
        </is>
      </c>
      <c r="B103" s="18" t="inlineStr">
        <is>
          <t>Admin / Documents</t>
        </is>
      </c>
      <c r="C103" s="18" t="inlineStr">
        <is>
          <t>1440</t>
        </is>
      </c>
      <c r="D103" s="18" t="inlineStr">
        <is>
          <t>Components &amp; States</t>
        </is>
      </c>
      <c r="E103" s="18" t="inlineStr">
        <is>
          <t>Minor</t>
        </is>
      </c>
      <c r="F103" s="18" t="inlineStr">
        <is>
          <t>Figma: Action cell contains a single more_vert (kebab) icon button (40×40, glyph 24×24); Edit/Delete live inside the kebab dropdown menu.  →  Live: Action cell shows a standalone eye (view) icon button in addition to the kebab more_vert icon.</t>
        </is>
      </c>
      <c r="G103" s="18" t="inlineStr">
        <is>
          <t>Remove the standalone eye icon from the action cell; keep only the more_vert kebab per Figma (or confirm view action belongs inside the dropdown).</t>
        </is>
      </c>
      <c r="H103" s="18" t="inlineStr">
        <is>
          <t>https://www.figma.com/design/gH2vQ62cfg4677YKWuOpLc/MoSJE-Portal--Handoff-?node-id=4226-42902</t>
        </is>
      </c>
      <c r="I103" s="18" t="inlineStr">
        <is>
          <t>https://eutthan-admin-uat.mosje.in/document-management</t>
        </is>
      </c>
      <c r="J103" s="18" t="inlineStr">
        <is>
          <t>Open</t>
        </is>
      </c>
      <c r="K103" s="18" t="inlineStr"/>
      <c r="L103" s="18" t="inlineStr">
        <is>
          <t>2026-06-09</t>
        </is>
      </c>
      <c r="M103" s="18" t="inlineStr">
        <is>
          <t>Board pin #20</t>
        </is>
      </c>
    </row>
    <row r="104">
      <c r="A104" s="17" t="inlineStr">
        <is>
          <t>UTH-DOCUMENTS-022</t>
        </is>
      </c>
      <c r="B104" s="17" t="inlineStr">
        <is>
          <t>Admin / Documents</t>
        </is>
      </c>
      <c r="C104" s="17" t="inlineStr">
        <is>
          <t>1440</t>
        </is>
      </c>
      <c r="D104" s="17" t="inlineStr">
        <is>
          <t>Components &amp; States</t>
        </is>
      </c>
      <c r="E104" s="17" t="inlineStr">
        <is>
          <t>Minor</t>
        </is>
      </c>
      <c r="F104" s="17" t="inlineStr">
        <is>
          <t>Figma: Sidebar header shows a collapse/menu toggle control (hamburger with chevron) at top-left of the masthead/sidebar junction.  →  Live: No visible sidebar collapse toggle in the masthead/sidebar header.</t>
        </is>
      </c>
      <c r="G104" s="17" t="inlineStr">
        <is>
          <t>Add the sidebar collapse toggle control present in the Figma masthead-left region.</t>
        </is>
      </c>
      <c r="H104" s="17" t="inlineStr">
        <is>
          <t>https://www.figma.com/design/gH2vQ62cfg4677YKWuOpLc/MoSJE-Portal--Handoff-?node-id=4226-42902</t>
        </is>
      </c>
      <c r="I104" s="17" t="inlineStr">
        <is>
          <t>https://eutthan-admin-uat.mosje.in/document-management</t>
        </is>
      </c>
      <c r="J104" s="17" t="inlineStr">
        <is>
          <t>Open</t>
        </is>
      </c>
      <c r="K104" s="17" t="inlineStr"/>
      <c r="L104" s="17" t="inlineStr">
        <is>
          <t>2026-06-09</t>
        </is>
      </c>
      <c r="M104" s="17" t="inlineStr">
        <is>
          <t>Board pin #21</t>
        </is>
      </c>
    </row>
    <row r="105">
      <c r="A105" s="18" t="inlineStr">
        <is>
          <t>UTH-DOCUMENTS-021</t>
        </is>
      </c>
      <c r="B105" s="18" t="inlineStr">
        <is>
          <t>Admin / Documents</t>
        </is>
      </c>
      <c r="C105" s="18" t="inlineStr">
        <is>
          <t>1440</t>
        </is>
      </c>
      <c r="D105" s="18" t="inlineStr">
        <is>
          <t>Content &amp; Iconography</t>
        </is>
      </c>
      <c r="E105" s="18" t="inlineStr">
        <is>
          <t>Nit</t>
        </is>
      </c>
      <c r="F105" s="18" t="inlineStr">
        <is>
          <t>Figma: Page-size dropdown default '200'; 'Showing 200 of 1500 items'.  →  Live: Page-size dropdown default '10'; 'Showing 10 of 1 items'.</t>
        </is>
      </c>
      <c r="G105" s="18" t="inlineStr">
        <is>
          <t>Item count and total are DATA (real records vs Figma placeholder), not a defect. Default page-size 10 vs 200 is a product decision; confirm intended default.</t>
        </is>
      </c>
      <c r="H105" s="18" t="inlineStr">
        <is>
          <t>https://www.figma.com/design/gH2vQ62cfg4677YKWuOpLc/MoSJE-Portal--Handoff-?node-id=4226-42902</t>
        </is>
      </c>
      <c r="I105" s="18" t="inlineStr">
        <is>
          <t>https://eutthan-admin-uat.mosje.in/document-management</t>
        </is>
      </c>
      <c r="J105" s="18" t="inlineStr">
        <is>
          <t>Open</t>
        </is>
      </c>
      <c r="K105" s="18" t="inlineStr"/>
      <c r="L105" s="18" t="inlineStr">
        <is>
          <t>2026-06-09</t>
        </is>
      </c>
      <c r="M105" s="18" t="inlineStr">
        <is>
          <t>Board pin #22</t>
        </is>
      </c>
    </row>
    <row r="106">
      <c r="A106" s="17" t="inlineStr">
        <is>
          <t>UTH-MAP-MINISTRY-001</t>
        </is>
      </c>
      <c r="B106" s="17" t="inlineStr">
        <is>
          <t>Admin / Map Ministry</t>
        </is>
      </c>
      <c r="C106" s="17" t="inlineStr">
        <is>
          <t>1440</t>
        </is>
      </c>
      <c r="D106" s="17" t="inlineStr">
        <is>
          <t>Components &amp; States</t>
        </is>
      </c>
      <c r="E106" s="17" t="inlineStr">
        <is>
          <t>Blocker</t>
        </is>
      </c>
      <c r="F106" s="17" t="inlineStr">
        <is>
          <t>Figma: Segmented 'tabs/primary' control above the heading: container 203x44, bg Neutral/200 #e5e7eb, 1px #d1d5db border, radius 8, padding 4. ACTIVE tab 'Ministry' = #ffffff text on #003366 fill, radius 4, px20/py8, shadow 0 2 3 1 rgba(33,33,33,0.12). Inactive tab 'Schemes' = #6b7280 text on transparent.  →  Live: No tabs rendered at all. Heading 'Mapped Ministry List' sits directly above the search card with no Ministry/Schemes segmented control present in the DOM or capture.</t>
        </is>
      </c>
      <c r="G106" s="17" t="inlineStr">
        <is>
          <t>Add the tabs/primary segmented control above the page heading with Ministry (active, #003366 fill, #fff text) and Schemes (inactive, transparent, #6b7280 text), container #e5e7eb / 1px #d1d5db / radius 8 / padding 4, per Figma node 4226-41073.</t>
        </is>
      </c>
      <c r="H106" s="17" t="inlineStr">
        <is>
          <t>https://www.figma.com/design/gH2vQ62cfg4677YKWuOpLc/MoSJE-Portal--Handoff-?node-id=4226-41073</t>
        </is>
      </c>
      <c r="I106" s="17" t="inlineStr">
        <is>
          <t>https://eutthan-admin-uat.mosje.in/map-ministry</t>
        </is>
      </c>
      <c r="J106" s="17" t="inlineStr">
        <is>
          <t>Open</t>
        </is>
      </c>
      <c r="K106" s="17" t="inlineStr"/>
      <c r="L106" s="17" t="inlineStr">
        <is>
          <t>2026-06-09</t>
        </is>
      </c>
      <c r="M106" s="17" t="inlineStr">
        <is>
          <t>Board pin #1</t>
        </is>
      </c>
    </row>
    <row r="107">
      <c r="A107" s="18" t="inlineStr">
        <is>
          <t>UTH-MAP-MINISTRY-002</t>
        </is>
      </c>
      <c r="B107" s="18" t="inlineStr">
        <is>
          <t>Admin / Map Ministry</t>
        </is>
      </c>
      <c r="C107" s="18" t="inlineStr">
        <is>
          <t>1440</t>
        </is>
      </c>
      <c r="D107" s="18" t="inlineStr">
        <is>
          <t>Color &amp; Token</t>
        </is>
      </c>
      <c r="E107" s="18" t="inlineStr">
        <is>
          <t>Major</t>
        </is>
      </c>
      <c r="F107" s="18" t="inlineStr">
        <is>
          <t>Figma: Ghost/text button 'Unmap', text color #003366 (Text/Primary), transparent fill, no border, trailing link_off icon 16px in #003366. Font Noto Sans 14 / Medium 500 / 20.  →  Live: 'Unmap' rendered in red (approx rgb(239,68,68) / #ef4444) with a red trailing link icon, transparent fill. Red is the danger color, signalling a destructive style not specified in the design.</t>
        </is>
      </c>
      <c r="G107" s="18" t="inlineStr">
        <is>
          <t>Recolor the Unmap text button and its trailing icon to #003366 (Text/Primary), not red. Keep transparent fill, no border, Noto Sans 14/500.</t>
        </is>
      </c>
      <c r="H107" s="18" t="inlineStr">
        <is>
          <t>https://www.figma.com/design/gH2vQ62cfg4677YKWuOpLc/MoSJE-Portal--Handoff-?node-id=4226-41073</t>
        </is>
      </c>
      <c r="I107" s="18" t="inlineStr">
        <is>
          <t>https://eutthan-admin-uat.mosje.in/map-ministry</t>
        </is>
      </c>
      <c r="J107" s="18" t="inlineStr">
        <is>
          <t>Open</t>
        </is>
      </c>
      <c r="K107" s="18" t="inlineStr"/>
      <c r="L107" s="18" t="inlineStr">
        <is>
          <t>2026-06-09</t>
        </is>
      </c>
      <c r="M107" s="18" t="inlineStr">
        <is>
          <t>Board pin #2</t>
        </is>
      </c>
    </row>
    <row r="108">
      <c r="A108" s="17" t="inlineStr">
        <is>
          <t>UTH-MAP-MINISTRY-003</t>
        </is>
      </c>
      <c r="B108" s="17" t="inlineStr">
        <is>
          <t>Admin / Map Ministry</t>
        </is>
      </c>
      <c r="C108" s="17" t="inlineStr">
        <is>
          <t>1440</t>
        </is>
      </c>
      <c r="D108" s="17" t="inlineStr">
        <is>
          <t>Color &amp; Token</t>
        </is>
      </c>
      <c r="E108" s="17" t="inlineStr">
        <is>
          <t>Major</t>
        </is>
      </c>
      <c r="F108" s="17" t="inlineStr">
        <is>
          <t>Figma: Body cell text color #374151 (Text/Dark) for all columns including Ministry Name. Noto Sans 16 / Regular 400 / 24.  →  Live: tableCell color = rgb(0, 51, 102) = #003366 (gov-blue). The 'Ministry Name' column renders as blue link-styled text; other cell text also reads #003366.</t>
        </is>
      </c>
      <c r="G108" s="17" t="inlineStr">
        <is>
          <t>Set table body cell text color to #374151. If Ministry Name is intentionally a link, the design specifies plain #374151 body text — confirm with design before introducing a blue link treatment.</t>
        </is>
      </c>
      <c r="H108" s="17" t="inlineStr">
        <is>
          <t>https://www.figma.com/design/gH2vQ62cfg4677YKWuOpLc/MoSJE-Portal--Handoff-?node-id=4226-41073</t>
        </is>
      </c>
      <c r="I108" s="17" t="inlineStr">
        <is>
          <t>https://eutthan-admin-uat.mosje.in/map-ministry</t>
        </is>
      </c>
      <c r="J108" s="17" t="inlineStr">
        <is>
          <t>Open</t>
        </is>
      </c>
      <c r="K108" s="17" t="inlineStr"/>
      <c r="L108" s="17" t="inlineStr">
        <is>
          <t>2026-06-09</t>
        </is>
      </c>
      <c r="M108" s="17" t="inlineStr">
        <is>
          <t>Board pin #3</t>
        </is>
      </c>
    </row>
    <row r="109">
      <c r="A109" s="18" t="inlineStr">
        <is>
          <t>UTH-MAP-MINISTRY-004</t>
        </is>
      </c>
      <c r="B109" s="18" t="inlineStr">
        <is>
          <t>Admin / Map Ministry</t>
        </is>
      </c>
      <c r="C109" s="18" t="inlineStr">
        <is>
          <t>1440</t>
        </is>
      </c>
      <c r="D109" s="18" t="inlineStr">
        <is>
          <t>Typography</t>
        </is>
      </c>
      <c r="E109" s="18" t="inlineStr">
        <is>
          <t>Major</t>
        </is>
      </c>
      <c r="F109" s="18" t="inlineStr">
        <is>
          <t>Figma: Body cell font-weight Regular 400.  →  Live: tableCell fontWeight = 500 (Medium).</t>
        </is>
      </c>
      <c r="G109" s="18" t="inlineStr">
        <is>
          <t>Set table body cell font-weight to 400 (Regular).</t>
        </is>
      </c>
      <c r="H109" s="18" t="inlineStr">
        <is>
          <t>https://www.figma.com/design/gH2vQ62cfg4677YKWuOpLc/MoSJE-Portal--Handoff-?node-id=4226-41073</t>
        </is>
      </c>
      <c r="I109" s="18" t="inlineStr">
        <is>
          <t>https://eutthan-admin-uat.mosje.in/map-ministry</t>
        </is>
      </c>
      <c r="J109" s="18" t="inlineStr">
        <is>
          <t>Open</t>
        </is>
      </c>
      <c r="K109" s="18" t="inlineStr"/>
      <c r="L109" s="18" t="inlineStr">
        <is>
          <t>2026-06-09</t>
        </is>
      </c>
      <c r="M109" s="18" t="inlineStr">
        <is>
          <t>Board pin #4</t>
        </is>
      </c>
    </row>
    <row r="110">
      <c r="A110" s="17" t="inlineStr">
        <is>
          <t>UTH-MAP-MINISTRY-008</t>
        </is>
      </c>
      <c r="B110" s="17" t="inlineStr">
        <is>
          <t>Admin / Map Ministry</t>
        </is>
      </c>
      <c r="C110" s="17" t="inlineStr">
        <is>
          <t>1440</t>
        </is>
      </c>
      <c r="D110" s="17" t="inlineStr">
        <is>
          <t>Layout &amp; Spacing</t>
        </is>
      </c>
      <c r="E110" s="17" t="inlineStr">
        <is>
          <t>Major</t>
        </is>
      </c>
      <c r="F110" s="17" t="inlineStr">
        <is>
          <t>Figma: Header row height 56px; cell padding px24 / py16.  →  Live: tableHeader h = 69px; paddingTop/Bottom = 14px (padding left/right 24 matches).</t>
        </is>
      </c>
      <c r="G110" s="17" t="inlineStr">
        <is>
          <t>Reduce header row to 56px and set vertical padding to 16px.</t>
        </is>
      </c>
      <c r="H110" s="17" t="inlineStr">
        <is>
          <t>https://www.figma.com/design/gH2vQ62cfg4677YKWuOpLc/MoSJE-Portal--Handoff-?node-id=4226-41073</t>
        </is>
      </c>
      <c r="I110" s="17" t="inlineStr">
        <is>
          <t>https://eutthan-admin-uat.mosje.in/map-ministry</t>
        </is>
      </c>
      <c r="J110" s="17" t="inlineStr">
        <is>
          <t>Open</t>
        </is>
      </c>
      <c r="K110" s="17" t="inlineStr"/>
      <c r="L110" s="17" t="inlineStr">
        <is>
          <t>2026-06-09</t>
        </is>
      </c>
      <c r="M110" s="17" t="inlineStr">
        <is>
          <t>Board pin #5</t>
        </is>
      </c>
    </row>
    <row r="111">
      <c r="A111" s="18" t="inlineStr">
        <is>
          <t>UTH-MAP-MINISTRY-009</t>
        </is>
      </c>
      <c r="B111" s="18" t="inlineStr">
        <is>
          <t>Admin / Map Ministry</t>
        </is>
      </c>
      <c r="C111" s="18" t="inlineStr">
        <is>
          <t>1440</t>
        </is>
      </c>
      <c r="D111" s="18" t="inlineStr">
        <is>
          <t>Layout &amp; Spacing</t>
        </is>
      </c>
      <c r="E111" s="18" t="inlineStr">
        <is>
          <t>Major</t>
        </is>
      </c>
      <c r="F111" s="18" t="inlineStr">
        <is>
          <t>Figma: Body row (cell) height 116px; cell padding 24px all sides.  →  Live: rowHeight = 73px; tableCell paddingTop/Bottom = 16px (padding left/right 24 matches).</t>
        </is>
      </c>
      <c r="G111" s="18" t="inlineStr">
        <is>
          <t>Increase body row height to 116px and set vertical cell padding to 24px to match the Figma row rhythm.</t>
        </is>
      </c>
      <c r="H111" s="18" t="inlineStr">
        <is>
          <t>https://www.figma.com/design/gH2vQ62cfg4677YKWuOpLc/MoSJE-Portal--Handoff-?node-id=4226-41073</t>
        </is>
      </c>
      <c r="I111" s="18" t="inlineStr">
        <is>
          <t>https://eutthan-admin-uat.mosje.in/map-ministry</t>
        </is>
      </c>
      <c r="J111" s="18" t="inlineStr">
        <is>
          <t>Open</t>
        </is>
      </c>
      <c r="K111" s="18" t="inlineStr"/>
      <c r="L111" s="18" t="inlineStr">
        <is>
          <t>2026-06-09</t>
        </is>
      </c>
      <c r="M111" s="18" t="inlineStr">
        <is>
          <t>Board pin #6</t>
        </is>
      </c>
    </row>
    <row r="112">
      <c r="A112" s="17" t="inlineStr">
        <is>
          <t>UTH-MAP-MINISTRY-010</t>
        </is>
      </c>
      <c r="B112" s="17" t="inlineStr">
        <is>
          <t>Admin / Map Ministry</t>
        </is>
      </c>
      <c r="C112" s="17" t="inlineStr">
        <is>
          <t>1440</t>
        </is>
      </c>
      <c r="D112" s="17" t="inlineStr">
        <is>
          <t>Color &amp; Token</t>
        </is>
      </c>
      <c r="E112" s="17" t="inlineStr">
        <is>
          <t>Major</t>
        </is>
      </c>
      <c r="F112" s="17" t="inlineStr">
        <is>
          <t>Figma: ACTIVE item 'Map Ministry/Schemes': text/icon color #003366 (Text/Primary), font-weight Regular 400, bg #e5eff9 (Primary/50), radius 16.  →  Live: sidebarActive color = rgb(55, 65, 81) = #374151, fontWeight = 700, bg rgb(229, 239, 249) = #e5eff9 (matches), radius 8px.</t>
        </is>
      </c>
      <c r="G112" s="17" t="inlineStr">
        <is>
          <t>Set active sidebar item text/icon color to #003366 and weight to 400 (Regular). Background color is correct.</t>
        </is>
      </c>
      <c r="H112" s="17" t="inlineStr">
        <is>
          <t>https://www.figma.com/design/gH2vQ62cfg4677YKWuOpLc/MoSJE-Portal--Handoff-?node-id=4226-41073</t>
        </is>
      </c>
      <c r="I112" s="17" t="inlineStr">
        <is>
          <t>https://eutthan-admin-uat.mosje.in/map-ministry</t>
        </is>
      </c>
      <c r="J112" s="17" t="inlineStr">
        <is>
          <t>Open</t>
        </is>
      </c>
      <c r="K112" s="17" t="inlineStr"/>
      <c r="L112" s="17" t="inlineStr">
        <is>
          <t>2026-06-09</t>
        </is>
      </c>
      <c r="M112" s="17" t="inlineStr">
        <is>
          <t>Board pin #7</t>
        </is>
      </c>
    </row>
    <row r="113">
      <c r="A113" s="18" t="inlineStr">
        <is>
          <t>UTH-MAP-MINISTRY-014</t>
        </is>
      </c>
      <c r="B113" s="18" t="inlineStr">
        <is>
          <t>Admin / Map Ministry</t>
        </is>
      </c>
      <c r="C113" s="18" t="inlineStr">
        <is>
          <t>1440</t>
        </is>
      </c>
      <c r="D113" s="18" t="inlineStr">
        <is>
          <t>Content &amp; Iconography</t>
        </is>
      </c>
      <c r="E113" s="18" t="inlineStr">
        <is>
          <t>Major</t>
        </is>
      </c>
      <c r="F113" s="18" t="inlineStr">
        <is>
          <t>Figma: Masthead right region shows Digital India logo, SAMAVESH logo (40x40) with title 'SAMAVESH' (Noto Sans 11.429/600) and subtitle 'Single Access Mechanism for All Verticals of Empowerment &amp; Social Harmony', before the profile block.  →  Live: Masthead shows only the emblem + ministry text on the left and the profile block on the right. No Digital India logo and no SAMAVESH logo/title/subtitle are rendered.</t>
        </is>
      </c>
      <c r="G113" s="18" t="inlineStr">
        <is>
          <t>Add the Digital India and SAMAVESH logo lockups to the masthead between the ministry titles and the profile, per Figma.</t>
        </is>
      </c>
      <c r="H113" s="18" t="inlineStr">
        <is>
          <t>https://www.figma.com/design/gH2vQ62cfg4677YKWuOpLc/MoSJE-Portal--Handoff-?node-id=4226-41073</t>
        </is>
      </c>
      <c r="I113" s="18" t="inlineStr">
        <is>
          <t>https://eutthan-admin-uat.mosje.in/map-ministry</t>
        </is>
      </c>
      <c r="J113" s="18" t="inlineStr">
        <is>
          <t>Open</t>
        </is>
      </c>
      <c r="K113" s="18" t="inlineStr"/>
      <c r="L113" s="18" t="inlineStr">
        <is>
          <t>2026-06-09</t>
        </is>
      </c>
      <c r="M113" s="18" t="inlineStr">
        <is>
          <t>Board pin #8</t>
        </is>
      </c>
    </row>
    <row r="114">
      <c r="A114" s="17" t="inlineStr">
        <is>
          <t>UTH-MAP-MINISTRY-005</t>
        </is>
      </c>
      <c r="B114" s="17" t="inlineStr">
        <is>
          <t>Admin / Map Ministry</t>
        </is>
      </c>
      <c r="C114" s="17" t="inlineStr">
        <is>
          <t>1440</t>
        </is>
      </c>
      <c r="D114" s="17" t="inlineStr">
        <is>
          <t>Typography</t>
        </is>
      </c>
      <c r="E114" s="17" t="inlineStr">
        <is>
          <t>Minor</t>
        </is>
      </c>
      <c r="F114" s="17" t="inlineStr">
        <is>
          <t>Figma: Body cell font-size 16px, line-height 24px (Body-1).  →  Live: tableCell fontSize = 14px, lineHeight = 20px.</t>
        </is>
      </c>
      <c r="G114" s="17" t="inlineStr">
        <is>
          <t>Set table body cell font-size to 16px / line-height 24px.</t>
        </is>
      </c>
      <c r="H114" s="17" t="inlineStr">
        <is>
          <t>https://www.figma.com/design/gH2vQ62cfg4677YKWuOpLc/MoSJE-Portal--Handoff-?node-id=4226-41073</t>
        </is>
      </c>
      <c r="I114" s="17" t="inlineStr">
        <is>
          <t>https://eutthan-admin-uat.mosje.in/map-ministry</t>
        </is>
      </c>
      <c r="J114" s="17" t="inlineStr">
        <is>
          <t>Open</t>
        </is>
      </c>
      <c r="K114" s="17" t="inlineStr"/>
      <c r="L114" s="17" t="inlineStr">
        <is>
          <t>2026-06-09</t>
        </is>
      </c>
      <c r="M114" s="17" t="inlineStr">
        <is>
          <t>Board pin #9</t>
        </is>
      </c>
    </row>
    <row r="115">
      <c r="A115" s="18" t="inlineStr">
        <is>
          <t>UTH-MAP-MINISTRY-006</t>
        </is>
      </c>
      <c r="B115" s="18" t="inlineStr">
        <is>
          <t>Admin / Map Ministry</t>
        </is>
      </c>
      <c r="C115" s="18" t="inlineStr">
        <is>
          <t>1440</t>
        </is>
      </c>
      <c r="D115" s="18" t="inlineStr">
        <is>
          <t>Typography</t>
        </is>
      </c>
      <c r="E115" s="18" t="inlineStr">
        <is>
          <t>Minor</t>
        </is>
      </c>
      <c r="F115" s="18" t="inlineStr">
        <is>
          <t>Figma: Column head font-size 16px, line-height 24px, weight SemiBold 600 (Body-1 semibold).  →  Live: tableHeader fontSize = 14px, lineHeight = 20px (weight 600 matches).</t>
        </is>
      </c>
      <c r="G115" s="18" t="inlineStr">
        <is>
          <t>Set column header font-size to 16px / line-height 24px.</t>
        </is>
      </c>
      <c r="H115" s="18" t="inlineStr">
        <is>
          <t>https://www.figma.com/design/gH2vQ62cfg4677YKWuOpLc/MoSJE-Portal--Handoff-?node-id=4226-41073</t>
        </is>
      </c>
      <c r="I115" s="18" t="inlineStr">
        <is>
          <t>https://eutthan-admin-uat.mosje.in/map-ministry</t>
        </is>
      </c>
      <c r="J115" s="18" t="inlineStr">
        <is>
          <t>Open</t>
        </is>
      </c>
      <c r="K115" s="18" t="inlineStr"/>
      <c r="L115" s="18" t="inlineStr">
        <is>
          <t>2026-06-09</t>
        </is>
      </c>
      <c r="M115" s="18" t="inlineStr">
        <is>
          <t>Board pin #10</t>
        </is>
      </c>
    </row>
    <row r="116">
      <c r="A116" s="17" t="inlineStr">
        <is>
          <t>UTH-MAP-MINISTRY-007</t>
        </is>
      </c>
      <c r="B116" s="17" t="inlineStr">
        <is>
          <t>Admin / Map Ministry</t>
        </is>
      </c>
      <c r="C116" s="17" t="inlineStr">
        <is>
          <t>1440</t>
        </is>
      </c>
      <c r="D116" s="17" t="inlineStr">
        <is>
          <t>Color &amp; Token</t>
        </is>
      </c>
      <c r="E116" s="17" t="inlineStr">
        <is>
          <t>Minor</t>
        </is>
      </c>
      <c r="F116" s="17" t="inlineStr">
        <is>
          <t>Figma: Column head text color #6b7280 (rendered hint gray).  →  Live: tableHeader color = rgb(75, 85, 99) = #4b5563 (Neutral/600).</t>
        </is>
      </c>
      <c r="G116" s="17" t="inlineStr">
        <is>
          <t>Set column header text color to #6b7280.</t>
        </is>
      </c>
      <c r="H116" s="17" t="inlineStr">
        <is>
          <t>https://www.figma.com/design/gH2vQ62cfg4677YKWuOpLc/MoSJE-Portal--Handoff-?node-id=4226-41073</t>
        </is>
      </c>
      <c r="I116" s="17" t="inlineStr">
        <is>
          <t>https://eutthan-admin-uat.mosje.in/map-ministry</t>
        </is>
      </c>
      <c r="J116" s="17" t="inlineStr">
        <is>
          <t>Open</t>
        </is>
      </c>
      <c r="K116" s="17" t="inlineStr"/>
      <c r="L116" s="17" t="inlineStr">
        <is>
          <t>2026-06-09</t>
        </is>
      </c>
      <c r="M116" s="17" t="inlineStr">
        <is>
          <t>Board pin #11</t>
        </is>
      </c>
    </row>
    <row r="117">
      <c r="A117" s="18" t="inlineStr">
        <is>
          <t>UTH-MAP-MINISTRY-011</t>
        </is>
      </c>
      <c r="B117" s="18" t="inlineStr">
        <is>
          <t>Admin / Map Ministry</t>
        </is>
      </c>
      <c r="C117" s="18" t="inlineStr">
        <is>
          <t>1440</t>
        </is>
      </c>
      <c r="D117" s="18" t="inlineStr">
        <is>
          <t>Layout &amp; Spacing</t>
        </is>
      </c>
      <c r="E117" s="18" t="inlineStr">
        <is>
          <t>Minor</t>
        </is>
      </c>
      <c r="F117" s="18" t="inlineStr">
        <is>
          <t>Figma: Active item corner radius 16 (radius-xl).  →  Live: sidebarActive r = 8px.</t>
        </is>
      </c>
      <c r="G117" s="18" t="inlineStr">
        <is>
          <t>Set active sidebar item border-radius to 16px.</t>
        </is>
      </c>
      <c r="H117" s="18" t="inlineStr">
        <is>
          <t>https://www.figma.com/design/gH2vQ62cfg4677YKWuOpLc/MoSJE-Portal--Handoff-?node-id=4226-41073</t>
        </is>
      </c>
      <c r="I117" s="18" t="inlineStr">
        <is>
          <t>https://eutthan-admin-uat.mosje.in/map-ministry</t>
        </is>
      </c>
      <c r="J117" s="18" t="inlineStr">
        <is>
          <t>Open</t>
        </is>
      </c>
      <c r="K117" s="18" t="inlineStr"/>
      <c r="L117" s="18" t="inlineStr">
        <is>
          <t>2026-06-09</t>
        </is>
      </c>
      <c r="M117" s="18" t="inlineStr">
        <is>
          <t>Board pin #12</t>
        </is>
      </c>
    </row>
    <row r="118">
      <c r="A118" s="17" t="inlineStr">
        <is>
          <t>UTH-MAP-MINISTRY-012</t>
        </is>
      </c>
      <c r="B118" s="17" t="inlineStr">
        <is>
          <t>Admin / Map Ministry</t>
        </is>
      </c>
      <c r="C118" s="17" t="inlineStr">
        <is>
          <t>1440</t>
        </is>
      </c>
      <c r="D118" s="17" t="inlineStr">
        <is>
          <t>Layout &amp; Spacing</t>
        </is>
      </c>
      <c r="E118" s="17" t="inlineStr">
        <is>
          <t>Minor</t>
        </is>
      </c>
      <c r="F118" s="17" t="inlineStr">
        <is>
          <t>Figma: Card has 1px inset border on all sides (content inset 1,1 -&gt; 1090 inner), rounded card.  →  Live: card borderTopWidth = 1px #e5e7eb only (top edge); no full surrounding inset border reported; borderTopLeftRadius 8px.</t>
        </is>
      </c>
      <c r="G118" s="17" t="inlineStr">
        <is>
          <t>Apply a full 1px #e5e7eb border on all four sides of the card, not just the top edge.</t>
        </is>
      </c>
      <c r="H118" s="17" t="inlineStr">
        <is>
          <t>https://www.figma.com/design/gH2vQ62cfg4677YKWuOpLc/MoSJE-Portal--Handoff-?node-id=4226-41073</t>
        </is>
      </c>
      <c r="I118" s="17" t="inlineStr">
        <is>
          <t>https://eutthan-admin-uat.mosje.in/map-ministry</t>
        </is>
      </c>
      <c r="J118" s="17" t="inlineStr">
        <is>
          <t>Open</t>
        </is>
      </c>
      <c r="K118" s="17" t="inlineStr"/>
      <c r="L118" s="17" t="inlineStr">
        <is>
          <t>2026-06-09</t>
        </is>
      </c>
      <c r="M118" s="17" t="inlineStr">
        <is>
          <t>Board pin #13</t>
        </is>
      </c>
    </row>
    <row r="119">
      <c r="A119" s="18" t="inlineStr">
        <is>
          <t>UTH-MAP-MINISTRY-013</t>
        </is>
      </c>
      <c r="B119" s="18" t="inlineStr">
        <is>
          <t>Admin / Map Ministry</t>
        </is>
      </c>
      <c r="C119" s="18" t="inlineStr">
        <is>
          <t>1440</t>
        </is>
      </c>
      <c r="D119" s="18" t="inlineStr">
        <is>
          <t>Layout &amp; Spacing</t>
        </is>
      </c>
      <c r="E119" s="18" t="inlineStr">
        <is>
          <t>Minor</t>
        </is>
      </c>
      <c r="F119" s="18" t="inlineStr">
        <is>
          <t>Figma: Accessibility/gov bar height 40px (1440x40), bg #003366.  →  Live: govbar h = 38px, bg rgb(0, 51, 102) = #003366 (color matches).</t>
        </is>
      </c>
      <c r="G119" s="18" t="inlineStr">
        <is>
          <t>Set gov bar height to 40px (delta 2px). Background color is correct.</t>
        </is>
      </c>
      <c r="H119" s="18" t="inlineStr">
        <is>
          <t>https://www.figma.com/design/gH2vQ62cfg4677YKWuOpLc/MoSJE-Portal--Handoff-?node-id=4226-41073</t>
        </is>
      </c>
      <c r="I119" s="18" t="inlineStr">
        <is>
          <t>https://eutthan-admin-uat.mosje.in/map-ministry</t>
        </is>
      </c>
      <c r="J119" s="18" t="inlineStr">
        <is>
          <t>Open</t>
        </is>
      </c>
      <c r="K119" s="18" t="inlineStr"/>
      <c r="L119" s="18" t="inlineStr">
        <is>
          <t>2026-06-09</t>
        </is>
      </c>
      <c r="M119" s="18" t="inlineStr">
        <is>
          <t>Board pin #14</t>
        </is>
      </c>
    </row>
    <row r="120">
      <c r="A120" s="17" t="inlineStr">
        <is>
          <t>UTH-MAP-MINISTRY-015</t>
        </is>
      </c>
      <c r="B120" s="17" t="inlineStr">
        <is>
          <t>Admin / Map Ministry</t>
        </is>
      </c>
      <c r="C120" s="17" t="inlineStr">
        <is>
          <t>1440</t>
        </is>
      </c>
      <c r="D120" s="17" t="inlineStr">
        <is>
          <t>Components &amp; States</t>
        </is>
      </c>
      <c r="E120" s="17" t="inlineStr">
        <is>
          <t>Minor</t>
        </is>
      </c>
      <c r="F120" s="17" t="inlineStr">
        <is>
          <t>Figma: Pagination shows 1 (active) 2 3 4 5 6 ... 150 with prev/next arrows; active page 1 has #003366 1px border, radius 8, white fill.  →  Live: Pagination shows 1 (active, blue 1px border) 2 3 4 with next arrow; no ellipsis/last-page (because only 37 items / 10 per page). Active-page border treatment matches.</t>
        </is>
      </c>
      <c r="G120" s="17" t="inlineStr">
        <is>
          <t>Page count difference (4 vs 150) is driven by live data volume (37 vs 1500 items) and the items-per-page value, so it is DATA, not a defect. Verify the ellipsis + last-page jump renders when total pages exceed the visible window.</t>
        </is>
      </c>
      <c r="H120" s="17" t="inlineStr">
        <is>
          <t>https://www.figma.com/design/gH2vQ62cfg4677YKWuOpLc/MoSJE-Portal--Handoff-?node-id=4226-41073</t>
        </is>
      </c>
      <c r="I120" s="17" t="inlineStr">
        <is>
          <t>https://eutthan-admin-uat.mosje.in/map-ministry</t>
        </is>
      </c>
      <c r="J120" s="17" t="inlineStr">
        <is>
          <t>Open</t>
        </is>
      </c>
      <c r="K120" s="17" t="inlineStr"/>
      <c r="L120" s="17" t="inlineStr">
        <is>
          <t>2026-06-09</t>
        </is>
      </c>
      <c r="M120" s="17" t="inlineStr">
        <is>
          <t>Board pin #15</t>
        </is>
      </c>
    </row>
    <row r="121">
      <c r="A121" s="18" t="inlineStr">
        <is>
          <t>UTH-MANAGE-USER-001</t>
        </is>
      </c>
      <c r="B121" s="18" t="inlineStr">
        <is>
          <t>Admin / Manage User</t>
        </is>
      </c>
      <c r="C121" s="18" t="inlineStr">
        <is>
          <t>1440</t>
        </is>
      </c>
      <c r="D121" s="18" t="inlineStr">
        <is>
          <t>Color &amp; Token</t>
        </is>
      </c>
      <c r="E121" s="18" t="inlineStr">
        <is>
          <t>Major</t>
        </is>
      </c>
      <c r="F121" s="18" t="inlineStr">
        <is>
          <t>Figma: text color #003366 (Primary/Source / text-primary) on active item  →  Live: text color rgb(55, 65, 81) = #374151 (Neutral/Text-Dark)</t>
        </is>
      </c>
      <c r="G121" s="18" t="inlineStr">
        <is>
          <t>Set active sidebar item label color to #003366 (Primary/Source); the active state must read as primary-colored, not neutral dark.</t>
        </is>
      </c>
      <c r="H121" s="18" t="inlineStr">
        <is>
          <t>https://www.figma.com/design/gH2vQ62cfg4677YKWuOpLc/MoSJE-Portal--Handoff-?node-id=4226-40870</t>
        </is>
      </c>
      <c r="I121" s="18" t="inlineStr">
        <is>
          <t>https://eutthan-admin-uat.mosje.in/user-management</t>
        </is>
      </c>
      <c r="J121" s="18" t="inlineStr">
        <is>
          <t>Open</t>
        </is>
      </c>
      <c r="K121" s="18" t="inlineStr"/>
      <c r="L121" s="18" t="inlineStr">
        <is>
          <t>2026-06-09</t>
        </is>
      </c>
      <c r="M121" s="18" t="inlineStr">
        <is>
          <t>Board pin #1</t>
        </is>
      </c>
    </row>
    <row r="122">
      <c r="A122" s="17" t="inlineStr">
        <is>
          <t>UTH-MANAGE-USER-002</t>
        </is>
      </c>
      <c r="B122" s="17" t="inlineStr">
        <is>
          <t>Admin / Manage User</t>
        </is>
      </c>
      <c r="C122" s="17" t="inlineStr">
        <is>
          <t>1440</t>
        </is>
      </c>
      <c r="D122" s="17" t="inlineStr">
        <is>
          <t>Typography</t>
        </is>
      </c>
      <c r="E122" s="17" t="inlineStr">
        <is>
          <t>Major</t>
        </is>
      </c>
      <c r="F122" s="17" t="inlineStr">
        <is>
          <t>Figma: font-weight 400 (Regular) — active item differs from default only by bg + primary text color, not weight  →  Live: font-weight 700 (Bold)</t>
        </is>
      </c>
      <c r="G122" s="17" t="inlineStr">
        <is>
          <t>Set active sidebar item font-weight to 400 (Regular). Bold is not how Figma differentiates the active state.</t>
        </is>
      </c>
      <c r="H122" s="17" t="inlineStr">
        <is>
          <t>https://www.figma.com/design/gH2vQ62cfg4677YKWuOpLc/MoSJE-Portal--Handoff-?node-id=4226-40870</t>
        </is>
      </c>
      <c r="I122" s="17" t="inlineStr">
        <is>
          <t>https://eutthan-admin-uat.mosje.in/user-management</t>
        </is>
      </c>
      <c r="J122" s="17" t="inlineStr">
        <is>
          <t>Open</t>
        </is>
      </c>
      <c r="K122" s="17" t="inlineStr"/>
      <c r="L122" s="17" t="inlineStr">
        <is>
          <t>2026-06-09</t>
        </is>
      </c>
      <c r="M122" s="17" t="inlineStr">
        <is>
          <t>Board pin #2</t>
        </is>
      </c>
    </row>
    <row r="123">
      <c r="A123" s="18" t="inlineStr">
        <is>
          <t>UTH-MANAGE-USER-004</t>
        </is>
      </c>
      <c r="B123" s="18" t="inlineStr">
        <is>
          <t>Admin / Manage User</t>
        </is>
      </c>
      <c r="C123" s="18" t="inlineStr">
        <is>
          <t>1440</t>
        </is>
      </c>
      <c r="D123" s="18" t="inlineStr">
        <is>
          <t>Typography</t>
        </is>
      </c>
      <c r="E123" s="18" t="inlineStr">
        <is>
          <t>Major</t>
        </is>
      </c>
      <c r="F123" s="18" t="inlineStr">
        <is>
          <t>Figma: font-size 16px, line-height 24px (Body/body-1-semibold)  →  Live: font-size 14px, line-height 21.7px</t>
        </is>
      </c>
      <c r="G123" s="18" t="inlineStr">
        <is>
          <t>Set column header font-size to 16px / line-height 24px.</t>
        </is>
      </c>
      <c r="H123" s="18" t="inlineStr">
        <is>
          <t>https://www.figma.com/design/gH2vQ62cfg4677YKWuOpLc/MoSJE-Portal--Handoff-?node-id=4226-40870</t>
        </is>
      </c>
      <c r="I123" s="18" t="inlineStr">
        <is>
          <t>https://eutthan-admin-uat.mosje.in/user-management</t>
        </is>
      </c>
      <c r="J123" s="18" t="inlineStr">
        <is>
          <t>Open</t>
        </is>
      </c>
      <c r="K123" s="18" t="inlineStr"/>
      <c r="L123" s="18" t="inlineStr">
        <is>
          <t>2026-06-09</t>
        </is>
      </c>
      <c r="M123" s="18" t="inlineStr">
        <is>
          <t>Board pin #3</t>
        </is>
      </c>
    </row>
    <row r="124">
      <c r="A124" s="17" t="inlineStr">
        <is>
          <t>UTH-MANAGE-USER-005</t>
        </is>
      </c>
      <c r="B124" s="17" t="inlineStr">
        <is>
          <t>Admin / Manage User</t>
        </is>
      </c>
      <c r="C124" s="17" t="inlineStr">
        <is>
          <t>1440</t>
        </is>
      </c>
      <c r="D124" s="17" t="inlineStr">
        <is>
          <t>Color &amp; Token</t>
        </is>
      </c>
      <c r="E124" s="17" t="inlineStr">
        <is>
          <t>Major</t>
        </is>
      </c>
      <c r="F124" s="17" t="inlineStr">
        <is>
          <t>Figma: color #6b7280 (Text/Hint)  →  Live: color rgb(55, 65, 81) = #374151</t>
        </is>
      </c>
      <c r="G124" s="17" t="inlineStr">
        <is>
          <t>Set column header text color to #6b7280 (Text/Hint).</t>
        </is>
      </c>
      <c r="H124" s="17" t="inlineStr">
        <is>
          <t>https://www.figma.com/design/gH2vQ62cfg4677YKWuOpLc/MoSJE-Portal--Handoff-?node-id=4226-40870</t>
        </is>
      </c>
      <c r="I124" s="17" t="inlineStr">
        <is>
          <t>https://eutthan-admin-uat.mosje.in/user-management</t>
        </is>
      </c>
      <c r="J124" s="17" t="inlineStr">
        <is>
          <t>Open</t>
        </is>
      </c>
      <c r="K124" s="17" t="inlineStr"/>
      <c r="L124" s="17" t="inlineStr">
        <is>
          <t>2026-06-09</t>
        </is>
      </c>
      <c r="M124" s="17" t="inlineStr">
        <is>
          <t>Board pin #4</t>
        </is>
      </c>
    </row>
    <row r="125">
      <c r="A125" s="18" t="inlineStr">
        <is>
          <t>UTH-MANAGE-USER-009</t>
        </is>
      </c>
      <c r="B125" s="18" t="inlineStr">
        <is>
          <t>Admin / Manage User</t>
        </is>
      </c>
      <c r="C125" s="18" t="inlineStr">
        <is>
          <t>1440</t>
        </is>
      </c>
      <c r="D125" s="18" t="inlineStr">
        <is>
          <t>Typography</t>
        </is>
      </c>
      <c r="E125" s="18" t="inlineStr">
        <is>
          <t>Major</t>
        </is>
      </c>
      <c r="F125" s="18" t="inlineStr">
        <is>
          <t>Figma: font-size 16px, line-height 24px (Body/body-1)  →  Live: font-size 14px, line-height 21.7px</t>
        </is>
      </c>
      <c r="G125" s="18" t="inlineStr">
        <is>
          <t>Set data cell font-size to 16px / line-height 24px.</t>
        </is>
      </c>
      <c r="H125" s="18" t="inlineStr">
        <is>
          <t>https://www.figma.com/design/gH2vQ62cfg4677YKWuOpLc/MoSJE-Portal--Handoff-?node-id=4226-40870</t>
        </is>
      </c>
      <c r="I125" s="18" t="inlineStr">
        <is>
          <t>https://eutthan-admin-uat.mosje.in/user-management</t>
        </is>
      </c>
      <c r="J125" s="18" t="inlineStr">
        <is>
          <t>Open</t>
        </is>
      </c>
      <c r="K125" s="18" t="inlineStr"/>
      <c r="L125" s="18" t="inlineStr">
        <is>
          <t>2026-06-09</t>
        </is>
      </c>
      <c r="M125" s="18" t="inlineStr">
        <is>
          <t>Board pin #5</t>
        </is>
      </c>
    </row>
    <row r="126">
      <c r="A126" s="17" t="inlineStr">
        <is>
          <t>UTH-MANAGE-USER-011</t>
        </is>
      </c>
      <c r="B126" s="17" t="inlineStr">
        <is>
          <t>Admin / Manage User</t>
        </is>
      </c>
      <c r="C126" s="17" t="inlineStr">
        <is>
          <t>1440</t>
        </is>
      </c>
      <c r="D126" s="17" t="inlineStr">
        <is>
          <t>Layout &amp; Spacing</t>
        </is>
      </c>
      <c r="E126" s="17" t="inlineStr">
        <is>
          <t>Major</t>
        </is>
      </c>
      <c r="F126" s="17" t="inlineStr">
        <is>
          <t>Figma: padding 24px all sides  →  Live: padding-top/bottom 20px, padding-left/right 16px</t>
        </is>
      </c>
      <c r="G126" s="17" t="inlineStr">
        <is>
          <t>Set data cell padding to 24px on all sides (vertical off 4px, horizontal off 8px).</t>
        </is>
      </c>
      <c r="H126" s="17" t="inlineStr">
        <is>
          <t>https://www.figma.com/design/gH2vQ62cfg4677YKWuOpLc/MoSJE-Portal--Handoff-?node-id=4226-40870</t>
        </is>
      </c>
      <c r="I126" s="17" t="inlineStr">
        <is>
          <t>https://eutthan-admin-uat.mosje.in/user-management</t>
        </is>
      </c>
      <c r="J126" s="17" t="inlineStr">
        <is>
          <t>Open</t>
        </is>
      </c>
      <c r="K126" s="17" t="inlineStr"/>
      <c r="L126" s="17" t="inlineStr">
        <is>
          <t>2026-06-09</t>
        </is>
      </c>
      <c r="M126" s="17" t="inlineStr">
        <is>
          <t>Board pin #6</t>
        </is>
      </c>
    </row>
    <row r="127">
      <c r="A127" s="18" t="inlineStr">
        <is>
          <t>UTH-MANAGE-USER-012</t>
        </is>
      </c>
      <c r="B127" s="18" t="inlineStr">
        <is>
          <t>Admin / Manage User</t>
        </is>
      </c>
      <c r="C127" s="18" t="inlineStr">
        <is>
          <t>1440</t>
        </is>
      </c>
      <c r="D127" s="18" t="inlineStr">
        <is>
          <t>Layout &amp; Spacing</t>
        </is>
      </c>
      <c r="E127" s="18" t="inlineStr">
        <is>
          <t>Major</t>
        </is>
      </c>
      <c r="F127" s="18" t="inlineStr">
        <is>
          <t>Figma: data row height 116px  →  Live: row height 77px</t>
        </is>
      </c>
      <c r="G127" s="18" t="inlineStr">
        <is>
          <t>Increase data row height to 116px (delta 39px); driven by reduced cell padding (24→20) and font-size (16→14). Rows are far denser than the design.</t>
        </is>
      </c>
      <c r="H127" s="18" t="inlineStr">
        <is>
          <t>https://www.figma.com/design/gH2vQ62cfg4677YKWuOpLc/MoSJE-Portal--Handoff-?node-id=4226-40870</t>
        </is>
      </c>
      <c r="I127" s="18" t="inlineStr">
        <is>
          <t>https://eutthan-admin-uat.mosje.in/user-management</t>
        </is>
      </c>
      <c r="J127" s="18" t="inlineStr">
        <is>
          <t>Open</t>
        </is>
      </c>
      <c r="K127" s="18" t="inlineStr"/>
      <c r="L127" s="18" t="inlineStr">
        <is>
          <t>2026-06-09</t>
        </is>
      </c>
      <c r="M127" s="18" t="inlineStr">
        <is>
          <t>Board pin #7</t>
        </is>
      </c>
    </row>
    <row r="128">
      <c r="A128" s="17" t="inlineStr">
        <is>
          <t>UTH-MANAGE-USER-016</t>
        </is>
      </c>
      <c r="B128" s="17" t="inlineStr">
        <is>
          <t>Admin / Manage User</t>
        </is>
      </c>
      <c r="C128" s="17" t="inlineStr">
        <is>
          <t>1440</t>
        </is>
      </c>
      <c r="D128" s="17" t="inlineStr">
        <is>
          <t>Components &amp; States</t>
        </is>
      </c>
      <c r="E128" s="17" t="inlineStr">
        <is>
          <t>Major</t>
        </is>
      </c>
      <c r="F128" s="17" t="inlineStr">
        <is>
          <t>Figma: three Default Chips with 1px #e5e7eb (Stroke/200) border, radius 6, arrow-down 18px icon: '2024-25', 'All Schemes', 'All Department', group gap 12  →  Live: a single native-style select dropdown 'All Years'; the 'All Schemes' and 'All Department' chips are absent</t>
        </is>
      </c>
      <c r="G128" s="17" t="inlineStr">
        <is>
          <t>Render three filter chips (Financial Year, Schemes, Department) using the Default Chip component (border #e5e7eb, radius 6) instead of one dropdown; add the two missing filters. [Verify: confirm Figma filter-chips were a visible state, not a hidden frame.]</t>
        </is>
      </c>
      <c r="H128" s="17" t="inlineStr">
        <is>
          <t>https://www.figma.com/design/gH2vQ62cfg4677YKWuOpLc/MoSJE-Portal--Handoff-?node-id=4226-40870</t>
        </is>
      </c>
      <c r="I128" s="17" t="inlineStr">
        <is>
          <t>https://eutthan-admin-uat.mosje.in/user-management</t>
        </is>
      </c>
      <c r="J128" s="17" t="inlineStr">
        <is>
          <t>Open</t>
        </is>
      </c>
      <c r="K128" s="17" t="inlineStr"/>
      <c r="L128" s="17" t="inlineStr">
        <is>
          <t>2026-06-09</t>
        </is>
      </c>
      <c r="M128" s="17" t="inlineStr">
        <is>
          <t>Board pin #8</t>
        </is>
      </c>
    </row>
    <row r="129">
      <c r="A129" s="18" t="inlineStr">
        <is>
          <t>UTH-MANAGE-USER-003</t>
        </is>
      </c>
      <c r="B129" s="18" t="inlineStr">
        <is>
          <t>Admin / Manage User</t>
        </is>
      </c>
      <c r="C129" s="18" t="inlineStr">
        <is>
          <t>1440</t>
        </is>
      </c>
      <c r="D129" s="18" t="inlineStr">
        <is>
          <t>Layout &amp; Spacing</t>
        </is>
      </c>
      <c r="E129" s="18" t="inlineStr">
        <is>
          <t>Minor</t>
        </is>
      </c>
      <c r="F129" s="18" t="inlineStr">
        <is>
          <t>Figma: border-radius 16px (xl)  →  Live: border-radius 8px</t>
        </is>
      </c>
      <c r="G129" s="18" t="inlineStr">
        <is>
          <t>Set active sidebar item background pill radius to 16px (xl) to match the rounded Figma highlight.</t>
        </is>
      </c>
      <c r="H129" s="18" t="inlineStr">
        <is>
          <t>https://www.figma.com/design/gH2vQ62cfg4677YKWuOpLc/MoSJE-Portal--Handoff-?node-id=4226-40870</t>
        </is>
      </c>
      <c r="I129" s="18" t="inlineStr">
        <is>
          <t>https://eutthan-admin-uat.mosje.in/user-management</t>
        </is>
      </c>
      <c r="J129" s="18" t="inlineStr">
        <is>
          <t>Open</t>
        </is>
      </c>
      <c r="K129" s="18" t="inlineStr"/>
      <c r="L129" s="18" t="inlineStr">
        <is>
          <t>2026-06-09</t>
        </is>
      </c>
      <c r="M129" s="18" t="inlineStr">
        <is>
          <t>Board pin #9</t>
        </is>
      </c>
    </row>
    <row r="130">
      <c r="A130" s="17" t="inlineStr">
        <is>
          <t>UTH-MANAGE-USER-006</t>
        </is>
      </c>
      <c r="B130" s="17" t="inlineStr">
        <is>
          <t>Admin / Manage User</t>
        </is>
      </c>
      <c r="C130" s="17" t="inlineStr">
        <is>
          <t>1440</t>
        </is>
      </c>
      <c r="D130" s="17" t="inlineStr">
        <is>
          <t>Color &amp; Token</t>
        </is>
      </c>
      <c r="E130" s="17" t="inlineStr">
        <is>
          <t>Minor</t>
        </is>
      </c>
      <c r="F130" s="17" t="inlineStr">
        <is>
          <t>Figma: background #f9fafb (Neutral/50)  →  Live: effective background rgb(243, 244, 246) = #f3f4f6 (Stroke/100)</t>
        </is>
      </c>
      <c r="G130" s="17" t="inlineStr">
        <is>
          <t>Set header row background to #f9fafb (Neutral/50); current #f3f4f6 is one step too dark (token drift).</t>
        </is>
      </c>
      <c r="H130" s="17" t="inlineStr">
        <is>
          <t>https://www.figma.com/design/gH2vQ62cfg4677YKWuOpLc/MoSJE-Portal--Handoff-?node-id=4226-40870</t>
        </is>
      </c>
      <c r="I130" s="17" t="inlineStr">
        <is>
          <t>https://eutthan-admin-uat.mosje.in/user-management</t>
        </is>
      </c>
      <c r="J130" s="17" t="inlineStr">
        <is>
          <t>Open</t>
        </is>
      </c>
      <c r="K130" s="17" t="inlineStr"/>
      <c r="L130" s="17" t="inlineStr">
        <is>
          <t>2026-06-09</t>
        </is>
      </c>
      <c r="M130" s="17" t="inlineStr">
        <is>
          <t>Board pin #10</t>
        </is>
      </c>
    </row>
    <row r="131">
      <c r="A131" s="18" t="inlineStr">
        <is>
          <t>UTH-MANAGE-USER-007</t>
        </is>
      </c>
      <c r="B131" s="18" t="inlineStr">
        <is>
          <t>Admin / Manage User</t>
        </is>
      </c>
      <c r="C131" s="18" t="inlineStr">
        <is>
          <t>1440</t>
        </is>
      </c>
      <c r="D131" s="18" t="inlineStr">
        <is>
          <t>Layout &amp; Spacing</t>
        </is>
      </c>
      <c r="E131" s="18" t="inlineStr">
        <is>
          <t>Minor</t>
        </is>
      </c>
      <c r="F131" s="18" t="inlineStr">
        <is>
          <t>Figma: padding-left 24px / padding-right 24px  →  Live: padding-left 16px / padding-right 16px</t>
        </is>
      </c>
      <c r="G131" s="18" t="inlineStr">
        <is>
          <t>Set header cell horizontal padding to 24px.</t>
        </is>
      </c>
      <c r="H131" s="18" t="inlineStr">
        <is>
          <t>https://www.figma.com/design/gH2vQ62cfg4677YKWuOpLc/MoSJE-Portal--Handoff-?node-id=4226-40870</t>
        </is>
      </c>
      <c r="I131" s="18" t="inlineStr">
        <is>
          <t>https://eutthan-admin-uat.mosje.in/user-management</t>
        </is>
      </c>
      <c r="J131" s="18" t="inlineStr">
        <is>
          <t>Open</t>
        </is>
      </c>
      <c r="K131" s="18" t="inlineStr"/>
      <c r="L131" s="18" t="inlineStr">
        <is>
          <t>2026-06-09</t>
        </is>
      </c>
      <c r="M131" s="18" t="inlineStr">
        <is>
          <t>Board pin #11</t>
        </is>
      </c>
    </row>
    <row r="132">
      <c r="A132" s="17" t="inlineStr">
        <is>
          <t>UTH-MANAGE-USER-008</t>
        </is>
      </c>
      <c r="B132" s="17" t="inlineStr">
        <is>
          <t>Admin / Manage User</t>
        </is>
      </c>
      <c r="C132" s="17" t="inlineStr">
        <is>
          <t>1440</t>
        </is>
      </c>
      <c r="D132" s="17" t="inlineStr">
        <is>
          <t>Layout &amp; Spacing</t>
        </is>
      </c>
      <c r="E132" s="17" t="inlineStr">
        <is>
          <t>Minor</t>
        </is>
      </c>
      <c r="F132" s="17" t="inlineStr">
        <is>
          <t>Figma: header row height 56px (py 16 + 16px/24 content)  →  Live: height 54px</t>
        </is>
      </c>
      <c r="G132" s="17" t="inlineStr">
        <is>
          <t>Header row height should be 56px; 2px short due to reduced font-size — fixes with size correction (UTH-MANAGE-USER-004).</t>
        </is>
      </c>
      <c r="H132" s="17" t="inlineStr">
        <is>
          <t>https://www.figma.com/design/gH2vQ62cfg4677YKWuOpLc/MoSJE-Portal--Handoff-?node-id=4226-40870</t>
        </is>
      </c>
      <c r="I132" s="17" t="inlineStr">
        <is>
          <t>https://eutthan-admin-uat.mosje.in/user-management</t>
        </is>
      </c>
      <c r="J132" s="17" t="inlineStr">
        <is>
          <t>Open</t>
        </is>
      </c>
      <c r="K132" s="17" t="inlineStr"/>
      <c r="L132" s="17" t="inlineStr">
        <is>
          <t>2026-06-09</t>
        </is>
      </c>
      <c r="M132" s="17" t="inlineStr">
        <is>
          <t>Board pin #12</t>
        </is>
      </c>
    </row>
    <row r="133">
      <c r="A133" s="18" t="inlineStr">
        <is>
          <t>UTH-MANAGE-USER-010</t>
        </is>
      </c>
      <c r="B133" s="18" t="inlineStr">
        <is>
          <t>Admin / Manage User</t>
        </is>
      </c>
      <c r="C133" s="18" t="inlineStr">
        <is>
          <t>1440</t>
        </is>
      </c>
      <c r="D133" s="18" t="inlineStr">
        <is>
          <t>Color &amp; Token</t>
        </is>
      </c>
      <c r="E133" s="18" t="inlineStr">
        <is>
          <t>Minor</t>
        </is>
      </c>
      <c r="F133" s="18" t="inlineStr">
        <is>
          <t>Figma: color #374151 (Text/Dark)  →  Live: color rgb(75, 85, 99) = #4b5563 (Neutral/600)</t>
        </is>
      </c>
      <c r="G133" s="18" t="inlineStr">
        <is>
          <t>Set data cell text color to #374151 (Text/Dark); current #4b5563 is one step too light (token drift).</t>
        </is>
      </c>
      <c r="H133" s="18" t="inlineStr">
        <is>
          <t>https://www.figma.com/design/gH2vQ62cfg4677YKWuOpLc/MoSJE-Portal--Handoff-?node-id=4226-40870</t>
        </is>
      </c>
      <c r="I133" s="18" t="inlineStr">
        <is>
          <t>https://eutthan-admin-uat.mosje.in/user-management</t>
        </is>
      </c>
      <c r="J133" s="18" t="inlineStr">
        <is>
          <t>Open</t>
        </is>
      </c>
      <c r="K133" s="18" t="inlineStr"/>
      <c r="L133" s="18" t="inlineStr">
        <is>
          <t>2026-06-09</t>
        </is>
      </c>
      <c r="M133" s="18" t="inlineStr">
        <is>
          <t>Board pin #13</t>
        </is>
      </c>
    </row>
    <row r="134">
      <c r="A134" s="17" t="inlineStr">
        <is>
          <t>UTH-MANAGE-USER-013</t>
        </is>
      </c>
      <c r="B134" s="17" t="inlineStr">
        <is>
          <t>Admin / Manage User</t>
        </is>
      </c>
      <c r="C134" s="17" t="inlineStr">
        <is>
          <t>1440</t>
        </is>
      </c>
      <c r="D134" s="17" t="inlineStr">
        <is>
          <t>Typography</t>
        </is>
      </c>
      <c r="E134" s="17" t="inlineStr">
        <is>
          <t>Minor</t>
        </is>
      </c>
      <c r="F134" s="17" t="inlineStr">
        <is>
          <t>Figma: font-weight 500 (Medium), line-height 20px (label-1)  →  Live: font-weight 600 (SemiBold), line-height 14px</t>
        </is>
      </c>
      <c r="G134" s="17" t="inlineStr">
        <is>
          <t>Set Add user button label to font-weight 500 / line-height 20px.</t>
        </is>
      </c>
      <c r="H134" s="17" t="inlineStr">
        <is>
          <t>https://www.figma.com/design/gH2vQ62cfg4677YKWuOpLc/MoSJE-Portal--Handoff-?node-id=4226-40870</t>
        </is>
      </c>
      <c r="I134" s="17" t="inlineStr">
        <is>
          <t>https://eutthan-admin-uat.mosje.in/user-management</t>
        </is>
      </c>
      <c r="J134" s="17" t="inlineStr">
        <is>
          <t>Open</t>
        </is>
      </c>
      <c r="K134" s="17" t="inlineStr"/>
      <c r="L134" s="17" t="inlineStr">
        <is>
          <t>2026-06-09</t>
        </is>
      </c>
      <c r="M134" s="17" t="inlineStr">
        <is>
          <t>Board pin #14</t>
        </is>
      </c>
    </row>
    <row r="135">
      <c r="A135" s="18" t="inlineStr">
        <is>
          <t>UTH-MANAGE-USER-014</t>
        </is>
      </c>
      <c r="B135" s="18" t="inlineStr">
        <is>
          <t>Admin / Manage User</t>
        </is>
      </c>
      <c r="C135" s="18" t="inlineStr">
        <is>
          <t>1440</t>
        </is>
      </c>
      <c r="D135" s="18" t="inlineStr">
        <is>
          <t>Layout &amp; Spacing</t>
        </is>
      </c>
      <c r="E135" s="18" t="inlineStr">
        <is>
          <t>Minor</t>
        </is>
      </c>
      <c r="F135" s="18" t="inlineStr">
        <is>
          <t>Figma: padding-left 24px / padding-right 16px / padding-top+bottom 8px  →  Live: padding-left 18px / padding-right 12px / padding-top+bottom 0px</t>
        </is>
      </c>
      <c r="G135" s="18" t="inlineStr">
        <is>
          <t>Set button padding to pl 24 / pr 16 / py 8 to match Figma (label-leading add-trailing layout).</t>
        </is>
      </c>
      <c r="H135" s="18" t="inlineStr">
        <is>
          <t>https://www.figma.com/design/gH2vQ62cfg4677YKWuOpLc/MoSJE-Portal--Handoff-?node-id=4226-40870</t>
        </is>
      </c>
      <c r="I135" s="18" t="inlineStr">
        <is>
          <t>https://eutthan-admin-uat.mosje.in/user-management</t>
        </is>
      </c>
      <c r="J135" s="18" t="inlineStr">
        <is>
          <t>Open</t>
        </is>
      </c>
      <c r="K135" s="18" t="inlineStr"/>
      <c r="L135" s="18" t="inlineStr">
        <is>
          <t>2026-06-09</t>
        </is>
      </c>
      <c r="M135" s="18" t="inlineStr">
        <is>
          <t>Board pin #15</t>
        </is>
      </c>
    </row>
    <row r="136">
      <c r="A136" s="17" t="inlineStr">
        <is>
          <t>UTH-MANAGE-USER-015</t>
        </is>
      </c>
      <c r="B136" s="17" t="inlineStr">
        <is>
          <t>Admin / Manage User</t>
        </is>
      </c>
      <c r="C136" s="17" t="inlineStr">
        <is>
          <t>1440</t>
        </is>
      </c>
      <c r="D136" s="17" t="inlineStr">
        <is>
          <t>Layout &amp; Spacing</t>
        </is>
      </c>
      <c r="E136" s="17" t="inlineStr">
        <is>
          <t>Minor</t>
        </is>
      </c>
      <c r="F136" s="17" t="inlineStr">
        <is>
          <t>Figma: 124 × 40 px  →  Live: 113 × 36 px</t>
        </is>
      </c>
      <c r="G136" s="17" t="inlineStr">
        <is>
          <t>Button should measure 124×40 (W −11px, H −4px); resolves once padding (UTH-MANAGE-USER-014) is corrected.</t>
        </is>
      </c>
      <c r="H136" s="17" t="inlineStr">
        <is>
          <t>https://www.figma.com/design/gH2vQ62cfg4677YKWuOpLc/MoSJE-Portal--Handoff-?node-id=4226-40870</t>
        </is>
      </c>
      <c r="I136" s="17" t="inlineStr">
        <is>
          <t>https://eutthan-admin-uat.mosje.in/user-management</t>
        </is>
      </c>
      <c r="J136" s="17" t="inlineStr">
        <is>
          <t>Open</t>
        </is>
      </c>
      <c r="K136" s="17" t="inlineStr"/>
      <c r="L136" s="17" t="inlineStr">
        <is>
          <t>2026-06-09</t>
        </is>
      </c>
      <c r="M136" s="17" t="inlineStr">
        <is>
          <t>Board pin #16</t>
        </is>
      </c>
    </row>
    <row r="137">
      <c r="A137" s="18" t="inlineStr">
        <is>
          <t>UTH-MANAGE-USER-017</t>
        </is>
      </c>
      <c r="B137" s="18" t="inlineStr">
        <is>
          <t>Admin / Manage User</t>
        </is>
      </c>
      <c r="C137" s="18" t="inlineStr">
        <is>
          <t>1440</t>
        </is>
      </c>
      <c r="D137" s="18" t="inlineStr">
        <is>
          <t>Components &amp; States</t>
        </is>
      </c>
      <c r="E137" s="18" t="inlineStr">
        <is>
          <t>Minor</t>
        </is>
      </c>
      <c r="F137" s="18" t="inlineStr">
        <is>
          <t>Figma: no row selection / highlight state exists; rows have white bg with #f3f4f6 bottom dividers only (no zebra, no selected fill)  →  Live: one row (Sample User) is rendered with a blue-tinted (~#e5eff9) selected/hover fill spanning the full row</t>
        </is>
      </c>
      <c r="G137" s="18" t="inlineStr">
        <is>
          <t>Remove the persistent blue row-highlight state (or confirm it is an intended hover-only state); Figma defines no selected-row fill for this table.</t>
        </is>
      </c>
      <c r="H137" s="18" t="inlineStr">
        <is>
          <t>https://www.figma.com/design/gH2vQ62cfg4677YKWuOpLc/MoSJE-Portal--Handoff-?node-id=4226-40870</t>
        </is>
      </c>
      <c r="I137" s="18" t="inlineStr">
        <is>
          <t>https://eutthan-admin-uat.mosje.in/user-management</t>
        </is>
      </c>
      <c r="J137" s="18" t="inlineStr">
        <is>
          <t>Open</t>
        </is>
      </c>
      <c r="K137" s="18" t="inlineStr"/>
      <c r="L137" s="18" t="inlineStr">
        <is>
          <t>2026-06-09</t>
        </is>
      </c>
      <c r="M137" s="18" t="inlineStr">
        <is>
          <t>Board pin #17</t>
        </is>
      </c>
    </row>
    <row r="138">
      <c r="A138" s="17" t="inlineStr">
        <is>
          <t>UTH-MANAGE-USER-018</t>
        </is>
      </c>
      <c r="B138" s="17" t="inlineStr">
        <is>
          <t>Admin / Manage User</t>
        </is>
      </c>
      <c r="C138" s="17" t="inlineStr">
        <is>
          <t>1440</t>
        </is>
      </c>
      <c r="D138" s="17" t="inlineStr">
        <is>
          <t>Layout &amp; Spacing</t>
        </is>
      </c>
      <c r="E138" s="17" t="inlineStr">
        <is>
          <t>Minor</t>
        </is>
      </c>
      <c r="F138" s="17" t="inlineStr">
        <is>
          <t>Figma: card width 1092px  →  Live: card width 1062px</t>
        </is>
      </c>
      <c r="G138" s="17" t="inlineStr">
        <is>
          <t>Set card width to 1092px (delta 30px); content area is narrower than design.</t>
        </is>
      </c>
      <c r="H138" s="17" t="inlineStr">
        <is>
          <t>https://www.figma.com/design/gH2vQ62cfg4677YKWuOpLc/MoSJE-Portal--Handoff-?node-id=4226-40870</t>
        </is>
      </c>
      <c r="I138" s="17" t="inlineStr">
        <is>
          <t>https://eutthan-admin-uat.mosje.in/user-management</t>
        </is>
      </c>
      <c r="J138" s="17" t="inlineStr">
        <is>
          <t>Open</t>
        </is>
      </c>
      <c r="K138" s="17" t="inlineStr"/>
      <c r="L138" s="17" t="inlineStr">
        <is>
          <t>2026-06-09</t>
        </is>
      </c>
      <c r="M138" s="17" t="inlineStr">
        <is>
          <t>Board pin #18</t>
        </is>
      </c>
    </row>
    <row r="139">
      <c r="A139" s="18" t="inlineStr">
        <is>
          <t>UTH-MANAGE-USER-020</t>
        </is>
      </c>
      <c r="B139" s="18" t="inlineStr">
        <is>
          <t>Admin / Manage User</t>
        </is>
      </c>
      <c r="C139" s="18" t="inlineStr">
        <is>
          <t>1440</t>
        </is>
      </c>
      <c r="D139" s="18" t="inlineStr">
        <is>
          <t>Content &amp; Iconography</t>
        </is>
      </c>
      <c r="E139" s="18" t="inlineStr">
        <is>
          <t>Minor</t>
        </is>
      </c>
      <c r="F139" s="18" t="inlineStr">
        <is>
          <t>Figma: headline-4 line reads 'Department of Social Justice &amp; Empowerment' (20px/700/#374151); 'Ministry of Social Justice &amp; Empowerment' is the secondary 14px/500 line above it  →  Live: the 20px/700/#374151 prominent line reads 'Ministry of Social Justice &amp; Empowerment'</t>
        </is>
      </c>
      <c r="G139" s="18" t="inlineStr">
        <is>
          <t>Confirm masthead hierarchy: the bold 20px line should be the Department line per Figma. Live promotes the Ministry text into the headline slot.</t>
        </is>
      </c>
      <c r="H139" s="18" t="inlineStr">
        <is>
          <t>https://www.figma.com/design/gH2vQ62cfg4677YKWuOpLc/MoSJE-Portal--Handoff-?node-id=4226-40870</t>
        </is>
      </c>
      <c r="I139" s="18" t="inlineStr">
        <is>
          <t>https://eutthan-admin-uat.mosje.in/user-management</t>
        </is>
      </c>
      <c r="J139" s="18" t="inlineStr">
        <is>
          <t>Open</t>
        </is>
      </c>
      <c r="K139" s="18" t="inlineStr"/>
      <c r="L139" s="18" t="inlineStr">
        <is>
          <t>2026-06-09</t>
        </is>
      </c>
      <c r="M139" s="18" t="inlineStr">
        <is>
          <t>Board pin #19</t>
        </is>
      </c>
    </row>
    <row r="140">
      <c r="A140" s="17" t="inlineStr">
        <is>
          <t>UTH-MANAGE-USER-019</t>
        </is>
      </c>
      <c r="B140" s="17" t="inlineStr">
        <is>
          <t>Admin / Manage User</t>
        </is>
      </c>
      <c r="C140" s="17" t="inlineStr">
        <is>
          <t>1440</t>
        </is>
      </c>
      <c r="D140" s="17" t="inlineStr">
        <is>
          <t>Layout &amp; Spacing</t>
        </is>
      </c>
      <c r="E140" s="17" t="inlineStr">
        <is>
          <t>Nit</t>
        </is>
      </c>
      <c r="F140" s="17" t="inlineStr">
        <is>
          <t>Figma: height 40px, background #003366  →  Live: height 38px, background rgb(0, 51, 102) = #003366</t>
        </is>
      </c>
      <c r="G140" s="17" t="inlineStr">
        <is>
          <t>Set top gov bar height to 40px (2px short); background color is correct.</t>
        </is>
      </c>
      <c r="H140" s="17" t="inlineStr">
        <is>
          <t>https://www.figma.com/design/gH2vQ62cfg4677YKWuOpLc/MoSJE-Portal--Handoff-?node-id=4226-40870</t>
        </is>
      </c>
      <c r="I140" s="17" t="inlineStr">
        <is>
          <t>https://eutthan-admin-uat.mosje.in/user-management</t>
        </is>
      </c>
      <c r="J140" s="17" t="inlineStr">
        <is>
          <t>Open</t>
        </is>
      </c>
      <c r="K140" s="17" t="inlineStr"/>
      <c r="L140" s="17" t="inlineStr">
        <is>
          <t>2026-06-09</t>
        </is>
      </c>
      <c r="M140" s="17" t="inlineStr">
        <is>
          <t>Board pin #20</t>
        </is>
      </c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  <c r="L141" s="18" t="n"/>
      <c r="M141" s="18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  <c r="M143" s="18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  <c r="L145" s="18" t="n"/>
      <c r="M145" s="18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  <c r="M147" s="18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  <c r="L149" s="18" t="n"/>
      <c r="M149" s="18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  <c r="L151" s="18" t="n"/>
      <c r="M151" s="18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  <c r="L153" s="18" t="n"/>
      <c r="M153" s="18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  <c r="L155" s="18" t="n"/>
      <c r="M155" s="18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  <c r="M157" s="18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  <c r="L159" s="18" t="n"/>
      <c r="M159" s="18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  <c r="L161" s="18" t="n"/>
      <c r="M161" s="18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  <c r="M163" s="18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  <c r="L165" s="18" t="n"/>
      <c r="M165" s="18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  <c r="L167" s="18" t="n"/>
      <c r="M167" s="18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  <c r="L169" s="18" t="n"/>
      <c r="M169" s="18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  <c r="L171" s="18" t="n"/>
      <c r="M171" s="18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  <c r="L173" s="18" t="n"/>
      <c r="M173" s="18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  <c r="L175" s="18" t="n"/>
      <c r="M175" s="18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  <c r="L177" s="18" t="n"/>
      <c r="M177" s="18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  <c r="L179" s="18" t="n"/>
      <c r="M179" s="18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  <c r="M181" s="18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  <c r="L183" s="18" t="n"/>
      <c r="M183" s="18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  <c r="L185" s="18" t="n"/>
      <c r="M185" s="18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  <c r="M187" s="18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  <c r="L189" s="18" t="n"/>
      <c r="M189" s="18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  <c r="L191" s="18" t="n"/>
      <c r="M191" s="18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  <c r="L193" s="18" t="n"/>
      <c r="M193" s="18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  <c r="L195" s="18" t="n"/>
      <c r="M195" s="18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  <c r="L197" s="18" t="n"/>
      <c r="M197" s="18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  <c r="M199" s="18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</row>
    <row r="20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  <c r="L201" s="18" t="n"/>
      <c r="M201" s="18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  <c r="M203" s="18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</row>
    <row r="205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  <c r="L205" s="18" t="n"/>
      <c r="M205" s="18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</row>
    <row r="207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  <c r="L207" s="18" t="n"/>
      <c r="M207" s="18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</row>
    <row r="209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  <c r="L209" s="18" t="n"/>
      <c r="M209" s="18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</row>
    <row r="211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  <c r="L211" s="18" t="n"/>
      <c r="M211" s="18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</row>
    <row r="213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  <c r="M213" s="18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</row>
    <row r="215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  <c r="L215" s="18" t="n"/>
      <c r="M215" s="18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</row>
    <row r="217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  <c r="L217" s="18" t="n"/>
      <c r="M217" s="18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</row>
    <row r="219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  <c r="M219" s="18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</row>
    <row r="221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8" t="n"/>
      <c r="L221" s="18" t="n"/>
      <c r="M221" s="18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</row>
    <row r="223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8" t="n"/>
      <c r="L223" s="18" t="n"/>
      <c r="M223" s="18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</row>
    <row r="225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8" t="n"/>
      <c r="L225" s="18" t="n"/>
      <c r="M225" s="18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</row>
    <row r="227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8" t="n"/>
      <c r="L227" s="18" t="n"/>
      <c r="M227" s="18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</row>
    <row r="229">
      <c r="A229" s="18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8" t="n"/>
      <c r="L229" s="18" t="n"/>
      <c r="M229" s="18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</row>
    <row r="231">
      <c r="A231" s="18" t="n"/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18" t="n"/>
      <c r="L231" s="18" t="n"/>
      <c r="M231" s="18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</row>
    <row r="233">
      <c r="A233" s="18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8" t="n"/>
      <c r="K233" s="18" t="n"/>
      <c r="L233" s="18" t="n"/>
      <c r="M233" s="18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</row>
    <row r="235">
      <c r="A235" s="18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8" t="n"/>
      <c r="L235" s="18" t="n"/>
      <c r="M235" s="18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</row>
    <row r="237">
      <c r="A237" s="18" t="n"/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8" t="n"/>
      <c r="L237" s="18" t="n"/>
      <c r="M237" s="18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</row>
    <row r="239">
      <c r="A239" s="18" t="n"/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8" t="n"/>
      <c r="L239" s="18" t="n"/>
      <c r="M239" s="18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</row>
    <row r="241">
      <c r="A241" s="18" t="n"/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8" t="n"/>
      <c r="L241" s="18" t="n"/>
      <c r="M241" s="18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</row>
    <row r="243">
      <c r="A243" s="18" t="n"/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8" t="n"/>
      <c r="L243" s="18" t="n"/>
      <c r="M243" s="18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</row>
    <row r="245">
      <c r="A245" s="18" t="n"/>
      <c r="B245" s="18" t="n"/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8" t="n"/>
      <c r="L245" s="18" t="n"/>
      <c r="M245" s="18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</row>
    <row r="247">
      <c r="A247" s="18" t="n"/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8" t="n"/>
      <c r="L247" s="18" t="n"/>
      <c r="M247" s="18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</row>
    <row r="249">
      <c r="A249" s="18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8" t="n"/>
      <c r="L249" s="18" t="n"/>
      <c r="M249" s="18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</row>
    <row r="251">
      <c r="A251" s="18" t="n"/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8" t="n"/>
      <c r="L251" s="18" t="n"/>
      <c r="M251" s="18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</row>
    <row r="253">
      <c r="A253" s="18" t="n"/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8" t="n"/>
      <c r="L253" s="18" t="n"/>
      <c r="M253" s="18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</row>
    <row r="255">
      <c r="A255" s="18" t="n"/>
      <c r="B255" s="18" t="n"/>
      <c r="C255" s="18" t="n"/>
      <c r="D255" s="18" t="n"/>
      <c r="E255" s="18" t="n"/>
      <c r="F255" s="18" t="n"/>
      <c r="G255" s="18" t="n"/>
      <c r="H255" s="18" t="n"/>
      <c r="I255" s="18" t="n"/>
      <c r="J255" s="18" t="n"/>
      <c r="K255" s="18" t="n"/>
      <c r="L255" s="18" t="n"/>
      <c r="M255" s="18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</row>
    <row r="257">
      <c r="A257" s="18" t="n"/>
      <c r="B257" s="18" t="n"/>
      <c r="C257" s="18" t="n"/>
      <c r="D257" s="18" t="n"/>
      <c r="E257" s="18" t="n"/>
      <c r="F257" s="18" t="n"/>
      <c r="G257" s="18" t="n"/>
      <c r="H257" s="18" t="n"/>
      <c r="I257" s="18" t="n"/>
      <c r="J257" s="18" t="n"/>
      <c r="K257" s="18" t="n"/>
      <c r="L257" s="18" t="n"/>
      <c r="M257" s="18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</row>
    <row r="259">
      <c r="A259" s="18" t="n"/>
      <c r="B259" s="18" t="n"/>
      <c r="C259" s="18" t="n"/>
      <c r="D259" s="18" t="n"/>
      <c r="E259" s="18" t="n"/>
      <c r="F259" s="18" t="n"/>
      <c r="G259" s="18" t="n"/>
      <c r="H259" s="18" t="n"/>
      <c r="I259" s="18" t="n"/>
      <c r="J259" s="18" t="n"/>
      <c r="K259" s="18" t="n"/>
      <c r="L259" s="18" t="n"/>
      <c r="M259" s="18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</row>
    <row r="261">
      <c r="A261" s="18" t="n"/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8" t="n"/>
      <c r="L261" s="18" t="n"/>
      <c r="M261" s="18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</row>
    <row r="263">
      <c r="A263" s="18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8" t="n"/>
      <c r="K263" s="18" t="n"/>
      <c r="L263" s="18" t="n"/>
      <c r="M263" s="18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</row>
    <row r="265">
      <c r="A265" s="18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18" t="n"/>
      <c r="L265" s="18" t="n"/>
      <c r="M265" s="18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</row>
    <row r="267">
      <c r="A267" s="18" t="n"/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8" t="n"/>
      <c r="K267" s="18" t="n"/>
      <c r="L267" s="18" t="n"/>
      <c r="M267" s="18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</row>
    <row r="269">
      <c r="A269" s="18" t="n"/>
      <c r="B269" s="18" t="n"/>
      <c r="C269" s="18" t="n"/>
      <c r="D269" s="18" t="n"/>
      <c r="E269" s="18" t="n"/>
      <c r="F269" s="18" t="n"/>
      <c r="G269" s="18" t="n"/>
      <c r="H269" s="18" t="n"/>
      <c r="I269" s="18" t="n"/>
      <c r="J269" s="18" t="n"/>
      <c r="K269" s="18" t="n"/>
      <c r="L269" s="18" t="n"/>
      <c r="M269" s="18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</row>
    <row r="271">
      <c r="A271" s="18" t="n"/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8" t="n"/>
      <c r="K271" s="18" t="n"/>
      <c r="L271" s="18" t="n"/>
      <c r="M271" s="18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</row>
    <row r="273">
      <c r="A273" s="18" t="n"/>
      <c r="B273" s="18" t="n"/>
      <c r="C273" s="18" t="n"/>
      <c r="D273" s="18" t="n"/>
      <c r="E273" s="18" t="n"/>
      <c r="F273" s="18" t="n"/>
      <c r="G273" s="18" t="n"/>
      <c r="H273" s="18" t="n"/>
      <c r="I273" s="18" t="n"/>
      <c r="J273" s="18" t="n"/>
      <c r="K273" s="18" t="n"/>
      <c r="L273" s="18" t="n"/>
      <c r="M273" s="18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</row>
    <row r="275">
      <c r="A275" s="18" t="n"/>
      <c r="B275" s="18" t="n"/>
      <c r="C275" s="18" t="n"/>
      <c r="D275" s="18" t="n"/>
      <c r="E275" s="18" t="n"/>
      <c r="F275" s="18" t="n"/>
      <c r="G275" s="18" t="n"/>
      <c r="H275" s="18" t="n"/>
      <c r="I275" s="18" t="n"/>
      <c r="J275" s="18" t="n"/>
      <c r="K275" s="18" t="n"/>
      <c r="L275" s="18" t="n"/>
      <c r="M275" s="18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</row>
    <row r="277">
      <c r="A277" s="18" t="n"/>
      <c r="B277" s="18" t="n"/>
      <c r="C277" s="18" t="n"/>
      <c r="D277" s="18" t="n"/>
      <c r="E277" s="18" t="n"/>
      <c r="F277" s="18" t="n"/>
      <c r="G277" s="18" t="n"/>
      <c r="H277" s="18" t="n"/>
      <c r="I277" s="18" t="n"/>
      <c r="J277" s="18" t="n"/>
      <c r="K277" s="18" t="n"/>
      <c r="L277" s="18" t="n"/>
      <c r="M277" s="18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</row>
    <row r="279">
      <c r="A279" s="18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18" t="n"/>
      <c r="L279" s="18" t="n"/>
      <c r="M279" s="18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</row>
    <row r="281">
      <c r="A281" s="18" t="n"/>
      <c r="B281" s="18" t="n"/>
      <c r="C281" s="18" t="n"/>
      <c r="D281" s="18" t="n"/>
      <c r="E281" s="18" t="n"/>
      <c r="F281" s="18" t="n"/>
      <c r="G281" s="18" t="n"/>
      <c r="H281" s="18" t="n"/>
      <c r="I281" s="18" t="n"/>
      <c r="J281" s="18" t="n"/>
      <c r="K281" s="18" t="n"/>
      <c r="L281" s="18" t="n"/>
      <c r="M281" s="18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</row>
    <row r="283">
      <c r="A283" s="18" t="n"/>
      <c r="B283" s="18" t="n"/>
      <c r="C283" s="18" t="n"/>
      <c r="D283" s="18" t="n"/>
      <c r="E283" s="18" t="n"/>
      <c r="F283" s="18" t="n"/>
      <c r="G283" s="18" t="n"/>
      <c r="H283" s="18" t="n"/>
      <c r="I283" s="18" t="n"/>
      <c r="J283" s="18" t="n"/>
      <c r="K283" s="18" t="n"/>
      <c r="L283" s="18" t="n"/>
      <c r="M283" s="18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</row>
    <row r="285">
      <c r="A285" s="18" t="n"/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8" t="n"/>
      <c r="L285" s="18" t="n"/>
      <c r="M285" s="18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</row>
    <row r="287">
      <c r="A287" s="18" t="n"/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8" t="n"/>
      <c r="K287" s="18" t="n"/>
      <c r="L287" s="18" t="n"/>
      <c r="M287" s="18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</row>
    <row r="289">
      <c r="A289" s="18" t="n"/>
      <c r="B289" s="18" t="n"/>
      <c r="C289" s="18" t="n"/>
      <c r="D289" s="18" t="n"/>
      <c r="E289" s="18" t="n"/>
      <c r="F289" s="18" t="n"/>
      <c r="G289" s="18" t="n"/>
      <c r="H289" s="18" t="n"/>
      <c r="I289" s="18" t="n"/>
      <c r="J289" s="18" t="n"/>
      <c r="K289" s="18" t="n"/>
      <c r="L289" s="18" t="n"/>
      <c r="M289" s="18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</row>
    <row r="291">
      <c r="A291" s="18" t="n"/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8" t="n"/>
      <c r="K291" s="18" t="n"/>
      <c r="L291" s="18" t="n"/>
      <c r="M291" s="18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</row>
    <row r="293">
      <c r="A293" s="18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8" t="n"/>
      <c r="K293" s="18" t="n"/>
      <c r="L293" s="18" t="n"/>
      <c r="M293" s="18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</row>
    <row r="295">
      <c r="A295" s="18" t="n"/>
      <c r="B295" s="18" t="n"/>
      <c r="C295" s="18" t="n"/>
      <c r="D295" s="18" t="n"/>
      <c r="E295" s="18" t="n"/>
      <c r="F295" s="18" t="n"/>
      <c r="G295" s="18" t="n"/>
      <c r="H295" s="18" t="n"/>
      <c r="I295" s="18" t="n"/>
      <c r="J295" s="18" t="n"/>
      <c r="K295" s="18" t="n"/>
      <c r="L295" s="18" t="n"/>
      <c r="M295" s="18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</row>
    <row r="297">
      <c r="A297" s="18" t="n"/>
      <c r="B297" s="18" t="n"/>
      <c r="C297" s="18" t="n"/>
      <c r="D297" s="18" t="n"/>
      <c r="E297" s="18" t="n"/>
      <c r="F297" s="18" t="n"/>
      <c r="G297" s="18" t="n"/>
      <c r="H297" s="18" t="n"/>
      <c r="I297" s="18" t="n"/>
      <c r="J297" s="18" t="n"/>
      <c r="K297" s="18" t="n"/>
      <c r="L297" s="18" t="n"/>
      <c r="M297" s="18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</row>
    <row r="299">
      <c r="A299" s="18" t="n"/>
      <c r="B299" s="18" t="n"/>
      <c r="C299" s="18" t="n"/>
      <c r="D299" s="18" t="n"/>
      <c r="E299" s="18" t="n"/>
      <c r="F299" s="18" t="n"/>
      <c r="G299" s="18" t="n"/>
      <c r="H299" s="18" t="n"/>
      <c r="I299" s="18" t="n"/>
      <c r="J299" s="18" t="n"/>
      <c r="K299" s="18" t="n"/>
      <c r="L299" s="18" t="n"/>
      <c r="M299" s="18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</row>
    <row r="301">
      <c r="A301" s="18" t="n"/>
      <c r="B301" s="18" t="n"/>
      <c r="C301" s="18" t="n"/>
      <c r="D301" s="18" t="n"/>
      <c r="E301" s="18" t="n"/>
      <c r="F301" s="18" t="n"/>
      <c r="G301" s="18" t="n"/>
      <c r="H301" s="18" t="n"/>
      <c r="I301" s="18" t="n"/>
      <c r="J301" s="18" t="n"/>
      <c r="K301" s="18" t="n"/>
      <c r="L301" s="18" t="n"/>
      <c r="M301" s="18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</row>
    <row r="303">
      <c r="A303" s="18" t="n"/>
      <c r="B303" s="18" t="n"/>
      <c r="C303" s="18" t="n"/>
      <c r="D303" s="18" t="n"/>
      <c r="E303" s="18" t="n"/>
      <c r="F303" s="18" t="n"/>
      <c r="G303" s="18" t="n"/>
      <c r="H303" s="18" t="n"/>
      <c r="I303" s="18" t="n"/>
      <c r="J303" s="18" t="n"/>
      <c r="K303" s="18" t="n"/>
      <c r="L303" s="18" t="n"/>
      <c r="M303" s="18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</row>
    <row r="305">
      <c r="A305" s="18" t="n"/>
      <c r="B305" s="18" t="n"/>
      <c r="C305" s="18" t="n"/>
      <c r="D305" s="18" t="n"/>
      <c r="E305" s="18" t="n"/>
      <c r="F305" s="18" t="n"/>
      <c r="G305" s="18" t="n"/>
      <c r="H305" s="18" t="n"/>
      <c r="I305" s="18" t="n"/>
      <c r="J305" s="18" t="n"/>
      <c r="K305" s="18" t="n"/>
      <c r="L305" s="18" t="n"/>
      <c r="M305" s="18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17" t="n"/>
      <c r="L306" s="17" t="n"/>
      <c r="M306" s="17" t="n"/>
    </row>
    <row r="307">
      <c r="A307" s="18" t="n"/>
      <c r="B307" s="18" t="n"/>
      <c r="C307" s="18" t="n"/>
      <c r="D307" s="18" t="n"/>
      <c r="E307" s="18" t="n"/>
      <c r="F307" s="18" t="n"/>
      <c r="G307" s="18" t="n"/>
      <c r="H307" s="18" t="n"/>
      <c r="I307" s="18" t="n"/>
      <c r="J307" s="18" t="n"/>
      <c r="K307" s="18" t="n"/>
      <c r="L307" s="18" t="n"/>
      <c r="M307" s="18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17" t="n"/>
      <c r="L308" s="17" t="n"/>
      <c r="M308" s="17" t="n"/>
    </row>
    <row r="309">
      <c r="A309" s="18" t="n"/>
      <c r="B309" s="18" t="n"/>
      <c r="C309" s="18" t="n"/>
      <c r="D309" s="18" t="n"/>
      <c r="E309" s="18" t="n"/>
      <c r="F309" s="18" t="n"/>
      <c r="G309" s="18" t="n"/>
      <c r="H309" s="18" t="n"/>
      <c r="I309" s="18" t="n"/>
      <c r="J309" s="18" t="n"/>
      <c r="K309" s="18" t="n"/>
      <c r="L309" s="18" t="n"/>
      <c r="M309" s="18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17" t="n"/>
      <c r="L310" s="17" t="n"/>
      <c r="M310" s="17" t="n"/>
    </row>
    <row r="311">
      <c r="A311" s="18" t="n"/>
      <c r="B311" s="18" t="n"/>
      <c r="C311" s="18" t="n"/>
      <c r="D311" s="18" t="n"/>
      <c r="E311" s="18" t="n"/>
      <c r="F311" s="18" t="n"/>
      <c r="G311" s="18" t="n"/>
      <c r="H311" s="18" t="n"/>
      <c r="I311" s="18" t="n"/>
      <c r="J311" s="18" t="n"/>
      <c r="K311" s="18" t="n"/>
      <c r="L311" s="18" t="n"/>
      <c r="M311" s="18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17" t="n"/>
      <c r="L312" s="17" t="n"/>
      <c r="M312" s="17" t="n"/>
    </row>
    <row r="313">
      <c r="A313" s="18" t="n"/>
      <c r="B313" s="18" t="n"/>
      <c r="C313" s="18" t="n"/>
      <c r="D313" s="18" t="n"/>
      <c r="E313" s="18" t="n"/>
      <c r="F313" s="18" t="n"/>
      <c r="G313" s="18" t="n"/>
      <c r="H313" s="18" t="n"/>
      <c r="I313" s="18" t="n"/>
      <c r="J313" s="18" t="n"/>
      <c r="K313" s="18" t="n"/>
      <c r="L313" s="18" t="n"/>
      <c r="M313" s="18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17" t="n"/>
      <c r="L314" s="17" t="n"/>
      <c r="M314" s="17" t="n"/>
    </row>
    <row r="315">
      <c r="A315" s="18" t="n"/>
      <c r="B315" s="18" t="n"/>
      <c r="C315" s="18" t="n"/>
      <c r="D315" s="18" t="n"/>
      <c r="E315" s="18" t="n"/>
      <c r="F315" s="18" t="n"/>
      <c r="G315" s="18" t="n"/>
      <c r="H315" s="18" t="n"/>
      <c r="I315" s="18" t="n"/>
      <c r="J315" s="18" t="n"/>
      <c r="K315" s="18" t="n"/>
      <c r="L315" s="18" t="n"/>
      <c r="M315" s="18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17" t="n"/>
      <c r="L316" s="17" t="n"/>
      <c r="M316" s="17" t="n"/>
    </row>
    <row r="317">
      <c r="A317" s="18" t="n"/>
      <c r="B317" s="18" t="n"/>
      <c r="C317" s="18" t="n"/>
      <c r="D317" s="18" t="n"/>
      <c r="E317" s="18" t="n"/>
      <c r="F317" s="18" t="n"/>
      <c r="G317" s="18" t="n"/>
      <c r="H317" s="18" t="n"/>
      <c r="I317" s="18" t="n"/>
      <c r="J317" s="18" t="n"/>
      <c r="K317" s="18" t="n"/>
      <c r="L317" s="18" t="n"/>
      <c r="M317" s="18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17" t="n"/>
      <c r="L318" s="17" t="n"/>
      <c r="M318" s="17" t="n"/>
    </row>
    <row r="319">
      <c r="A319" s="18" t="n"/>
      <c r="B319" s="18" t="n"/>
      <c r="C319" s="18" t="n"/>
      <c r="D319" s="18" t="n"/>
      <c r="E319" s="18" t="n"/>
      <c r="F319" s="18" t="n"/>
      <c r="G319" s="18" t="n"/>
      <c r="H319" s="18" t="n"/>
      <c r="I319" s="18" t="n"/>
      <c r="J319" s="18" t="n"/>
      <c r="K319" s="18" t="n"/>
      <c r="L319" s="18" t="n"/>
      <c r="M319" s="18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17" t="n"/>
      <c r="L320" s="17" t="n"/>
      <c r="M320" s="17" t="n"/>
    </row>
    <row r="321">
      <c r="A321" s="18" t="n"/>
      <c r="B321" s="18" t="n"/>
      <c r="C321" s="18" t="n"/>
      <c r="D321" s="18" t="n"/>
      <c r="E321" s="18" t="n"/>
      <c r="F321" s="18" t="n"/>
      <c r="G321" s="18" t="n"/>
      <c r="H321" s="18" t="n"/>
      <c r="I321" s="18" t="n"/>
      <c r="J321" s="18" t="n"/>
      <c r="K321" s="18" t="n"/>
      <c r="L321" s="18" t="n"/>
      <c r="M321" s="18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17" t="n"/>
      <c r="L322" s="17" t="n"/>
      <c r="M322" s="17" t="n"/>
    </row>
    <row r="323">
      <c r="A323" s="18" t="n"/>
      <c r="B323" s="18" t="n"/>
      <c r="C323" s="18" t="n"/>
      <c r="D323" s="18" t="n"/>
      <c r="E323" s="18" t="n"/>
      <c r="F323" s="18" t="n"/>
      <c r="G323" s="18" t="n"/>
      <c r="H323" s="18" t="n"/>
      <c r="I323" s="18" t="n"/>
      <c r="J323" s="18" t="n"/>
      <c r="K323" s="18" t="n"/>
      <c r="L323" s="18" t="n"/>
      <c r="M323" s="18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17" t="n"/>
      <c r="L324" s="17" t="n"/>
      <c r="M324" s="17" t="n"/>
    </row>
    <row r="325">
      <c r="A325" s="18" t="n"/>
      <c r="B325" s="18" t="n"/>
      <c r="C325" s="18" t="n"/>
      <c r="D325" s="18" t="n"/>
      <c r="E325" s="18" t="n"/>
      <c r="F325" s="18" t="n"/>
      <c r="G325" s="18" t="n"/>
      <c r="H325" s="18" t="n"/>
      <c r="I325" s="18" t="n"/>
      <c r="J325" s="18" t="n"/>
      <c r="K325" s="18" t="n"/>
      <c r="L325" s="18" t="n"/>
      <c r="M325" s="18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17" t="n"/>
      <c r="L326" s="17" t="n"/>
      <c r="M326" s="17" t="n"/>
    </row>
    <row r="327">
      <c r="A327" s="18" t="n"/>
      <c r="B327" s="18" t="n"/>
      <c r="C327" s="18" t="n"/>
      <c r="D327" s="18" t="n"/>
      <c r="E327" s="18" t="n"/>
      <c r="F327" s="18" t="n"/>
      <c r="G327" s="18" t="n"/>
      <c r="H327" s="18" t="n"/>
      <c r="I327" s="18" t="n"/>
      <c r="J327" s="18" t="n"/>
      <c r="K327" s="18" t="n"/>
      <c r="L327" s="18" t="n"/>
      <c r="M327" s="18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17" t="n"/>
      <c r="L328" s="17" t="n"/>
      <c r="M328" s="17" t="n"/>
    </row>
    <row r="329">
      <c r="A329" s="18" t="n"/>
      <c r="B329" s="18" t="n"/>
      <c r="C329" s="18" t="n"/>
      <c r="D329" s="18" t="n"/>
      <c r="E329" s="18" t="n"/>
      <c r="F329" s="18" t="n"/>
      <c r="G329" s="18" t="n"/>
      <c r="H329" s="18" t="n"/>
      <c r="I329" s="18" t="n"/>
      <c r="J329" s="18" t="n"/>
      <c r="K329" s="18" t="n"/>
      <c r="L329" s="18" t="n"/>
      <c r="M329" s="18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17" t="n"/>
      <c r="L330" s="17" t="n"/>
      <c r="M330" s="17" t="n"/>
    </row>
    <row r="331">
      <c r="A331" s="18" t="n"/>
      <c r="B331" s="18" t="n"/>
      <c r="C331" s="18" t="n"/>
      <c r="D331" s="18" t="n"/>
      <c r="E331" s="18" t="n"/>
      <c r="F331" s="18" t="n"/>
      <c r="G331" s="18" t="n"/>
      <c r="H331" s="18" t="n"/>
      <c r="I331" s="18" t="n"/>
      <c r="J331" s="18" t="n"/>
      <c r="K331" s="18" t="n"/>
      <c r="L331" s="18" t="n"/>
      <c r="M331" s="18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17" t="n"/>
      <c r="L332" s="17" t="n"/>
      <c r="M332" s="17" t="n"/>
    </row>
    <row r="333">
      <c r="A333" s="18" t="n"/>
      <c r="B333" s="18" t="n"/>
      <c r="C333" s="18" t="n"/>
      <c r="D333" s="18" t="n"/>
      <c r="E333" s="18" t="n"/>
      <c r="F333" s="18" t="n"/>
      <c r="G333" s="18" t="n"/>
      <c r="H333" s="18" t="n"/>
      <c r="I333" s="18" t="n"/>
      <c r="J333" s="18" t="n"/>
      <c r="K333" s="18" t="n"/>
      <c r="L333" s="18" t="n"/>
      <c r="M333" s="18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17" t="n"/>
      <c r="L334" s="17" t="n"/>
      <c r="M334" s="17" t="n"/>
    </row>
    <row r="335">
      <c r="A335" s="18" t="n"/>
      <c r="B335" s="18" t="n"/>
      <c r="C335" s="18" t="n"/>
      <c r="D335" s="18" t="n"/>
      <c r="E335" s="18" t="n"/>
      <c r="F335" s="18" t="n"/>
      <c r="G335" s="18" t="n"/>
      <c r="H335" s="18" t="n"/>
      <c r="I335" s="18" t="n"/>
      <c r="J335" s="18" t="n"/>
      <c r="K335" s="18" t="n"/>
      <c r="L335" s="18" t="n"/>
      <c r="M335" s="18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17" t="n"/>
      <c r="L336" s="17" t="n"/>
      <c r="M336" s="17" t="n"/>
    </row>
    <row r="337">
      <c r="A337" s="18" t="n"/>
      <c r="B337" s="18" t="n"/>
      <c r="C337" s="18" t="n"/>
      <c r="D337" s="18" t="n"/>
      <c r="E337" s="18" t="n"/>
      <c r="F337" s="18" t="n"/>
      <c r="G337" s="18" t="n"/>
      <c r="H337" s="18" t="n"/>
      <c r="I337" s="18" t="n"/>
      <c r="J337" s="18" t="n"/>
      <c r="K337" s="18" t="n"/>
      <c r="L337" s="18" t="n"/>
      <c r="M337" s="18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</row>
    <row r="339">
      <c r="A339" s="18" t="n"/>
      <c r="B339" s="18" t="n"/>
      <c r="C339" s="18" t="n"/>
      <c r="D339" s="18" t="n"/>
      <c r="E339" s="18" t="n"/>
      <c r="F339" s="18" t="n"/>
      <c r="G339" s="18" t="n"/>
      <c r="H339" s="18" t="n"/>
      <c r="I339" s="18" t="n"/>
      <c r="J339" s="18" t="n"/>
      <c r="K339" s="18" t="n"/>
      <c r="L339" s="18" t="n"/>
      <c r="M339" s="18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17" t="n"/>
      <c r="L340" s="17" t="n"/>
      <c r="M340" s="17" t="n"/>
    </row>
    <row r="341">
      <c r="A341" s="18" t="n"/>
      <c r="B341" s="18" t="n"/>
      <c r="C341" s="18" t="n"/>
      <c r="D341" s="18" t="n"/>
      <c r="E341" s="18" t="n"/>
      <c r="F341" s="18" t="n"/>
      <c r="G341" s="18" t="n"/>
      <c r="H341" s="18" t="n"/>
      <c r="I341" s="18" t="n"/>
      <c r="J341" s="18" t="n"/>
      <c r="K341" s="18" t="n"/>
      <c r="L341" s="18" t="n"/>
      <c r="M341" s="18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17" t="n"/>
      <c r="L342" s="17" t="n"/>
      <c r="M342" s="17" t="n"/>
    </row>
    <row r="343">
      <c r="A343" s="18" t="n"/>
      <c r="B343" s="18" t="n"/>
      <c r="C343" s="18" t="n"/>
      <c r="D343" s="18" t="n"/>
      <c r="E343" s="18" t="n"/>
      <c r="F343" s="18" t="n"/>
      <c r="G343" s="18" t="n"/>
      <c r="H343" s="18" t="n"/>
      <c r="I343" s="18" t="n"/>
      <c r="J343" s="18" t="n"/>
      <c r="K343" s="18" t="n"/>
      <c r="L343" s="18" t="n"/>
      <c r="M343" s="18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17" t="n"/>
      <c r="L344" s="17" t="n"/>
      <c r="M344" s="17" t="n"/>
    </row>
    <row r="345">
      <c r="A345" s="18" t="n"/>
      <c r="B345" s="18" t="n"/>
      <c r="C345" s="18" t="n"/>
      <c r="D345" s="18" t="n"/>
      <c r="E345" s="18" t="n"/>
      <c r="F345" s="18" t="n"/>
      <c r="G345" s="18" t="n"/>
      <c r="H345" s="18" t="n"/>
      <c r="I345" s="18" t="n"/>
      <c r="J345" s="18" t="n"/>
      <c r="K345" s="18" t="n"/>
      <c r="L345" s="18" t="n"/>
      <c r="M345" s="18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17" t="n"/>
      <c r="L346" s="17" t="n"/>
      <c r="M346" s="17" t="n"/>
    </row>
    <row r="347">
      <c r="A347" s="18" t="n"/>
      <c r="B347" s="18" t="n"/>
      <c r="C347" s="18" t="n"/>
      <c r="D347" s="18" t="n"/>
      <c r="E347" s="18" t="n"/>
      <c r="F347" s="18" t="n"/>
      <c r="G347" s="18" t="n"/>
      <c r="H347" s="18" t="n"/>
      <c r="I347" s="18" t="n"/>
      <c r="J347" s="18" t="n"/>
      <c r="K347" s="18" t="n"/>
      <c r="L347" s="18" t="n"/>
      <c r="M347" s="18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17" t="n"/>
      <c r="L348" s="17" t="n"/>
      <c r="M348" s="17" t="n"/>
    </row>
    <row r="349">
      <c r="A349" s="18" t="n"/>
      <c r="B349" s="18" t="n"/>
      <c r="C349" s="18" t="n"/>
      <c r="D349" s="18" t="n"/>
      <c r="E349" s="18" t="n"/>
      <c r="F349" s="18" t="n"/>
      <c r="G349" s="18" t="n"/>
      <c r="H349" s="18" t="n"/>
      <c r="I349" s="18" t="n"/>
      <c r="J349" s="18" t="n"/>
      <c r="K349" s="18" t="n"/>
      <c r="L349" s="18" t="n"/>
      <c r="M349" s="18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17" t="n"/>
      <c r="L350" s="17" t="n"/>
      <c r="M350" s="17" t="n"/>
    </row>
    <row r="351">
      <c r="A351" s="18" t="n"/>
      <c r="B351" s="18" t="n"/>
      <c r="C351" s="18" t="n"/>
      <c r="D351" s="18" t="n"/>
      <c r="E351" s="18" t="n"/>
      <c r="F351" s="18" t="n"/>
      <c r="G351" s="18" t="n"/>
      <c r="H351" s="18" t="n"/>
      <c r="I351" s="18" t="n"/>
      <c r="J351" s="18" t="n"/>
      <c r="K351" s="18" t="n"/>
      <c r="L351" s="18" t="n"/>
      <c r="M351" s="18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17" t="n"/>
      <c r="L352" s="17" t="n"/>
      <c r="M352" s="17" t="n"/>
    </row>
    <row r="353">
      <c r="A353" s="18" t="n"/>
      <c r="B353" s="18" t="n"/>
      <c r="C353" s="18" t="n"/>
      <c r="D353" s="18" t="n"/>
      <c r="E353" s="18" t="n"/>
      <c r="F353" s="18" t="n"/>
      <c r="G353" s="18" t="n"/>
      <c r="H353" s="18" t="n"/>
      <c r="I353" s="18" t="n"/>
      <c r="J353" s="18" t="n"/>
      <c r="K353" s="18" t="n"/>
      <c r="L353" s="18" t="n"/>
      <c r="M353" s="18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17" t="n"/>
      <c r="L354" s="17" t="n"/>
      <c r="M354" s="17" t="n"/>
    </row>
    <row r="355">
      <c r="A355" s="18" t="n"/>
      <c r="B355" s="18" t="n"/>
      <c r="C355" s="18" t="n"/>
      <c r="D355" s="18" t="n"/>
      <c r="E355" s="18" t="n"/>
      <c r="F355" s="18" t="n"/>
      <c r="G355" s="18" t="n"/>
      <c r="H355" s="18" t="n"/>
      <c r="I355" s="18" t="n"/>
      <c r="J355" s="18" t="n"/>
      <c r="K355" s="18" t="n"/>
      <c r="L355" s="18" t="n"/>
      <c r="M355" s="18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17" t="n"/>
      <c r="L356" s="17" t="n"/>
      <c r="M356" s="17" t="n"/>
    </row>
    <row r="357">
      <c r="A357" s="18" t="n"/>
      <c r="B357" s="18" t="n"/>
      <c r="C357" s="18" t="n"/>
      <c r="D357" s="18" t="n"/>
      <c r="E357" s="18" t="n"/>
      <c r="F357" s="18" t="n"/>
      <c r="G357" s="18" t="n"/>
      <c r="H357" s="18" t="n"/>
      <c r="I357" s="18" t="n"/>
      <c r="J357" s="18" t="n"/>
      <c r="K357" s="18" t="n"/>
      <c r="L357" s="18" t="n"/>
      <c r="M357" s="18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17" t="n"/>
      <c r="L358" s="17" t="n"/>
      <c r="M358" s="17" t="n"/>
    </row>
    <row r="359">
      <c r="A359" s="18" t="n"/>
      <c r="B359" s="18" t="n"/>
      <c r="C359" s="18" t="n"/>
      <c r="D359" s="18" t="n"/>
      <c r="E359" s="18" t="n"/>
      <c r="F359" s="18" t="n"/>
      <c r="G359" s="18" t="n"/>
      <c r="H359" s="18" t="n"/>
      <c r="I359" s="18" t="n"/>
      <c r="J359" s="18" t="n"/>
      <c r="K359" s="18" t="n"/>
      <c r="L359" s="18" t="n"/>
      <c r="M359" s="18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17" t="n"/>
      <c r="L360" s="17" t="n"/>
      <c r="M360" s="17" t="n"/>
    </row>
    <row r="361">
      <c r="A361" s="18" t="n"/>
      <c r="B361" s="18" t="n"/>
      <c r="C361" s="18" t="n"/>
      <c r="D361" s="18" t="n"/>
      <c r="E361" s="18" t="n"/>
      <c r="F361" s="18" t="n"/>
      <c r="G361" s="18" t="n"/>
      <c r="H361" s="18" t="n"/>
      <c r="I361" s="18" t="n"/>
      <c r="J361" s="18" t="n"/>
      <c r="K361" s="18" t="n"/>
      <c r="L361" s="18" t="n"/>
      <c r="M361" s="18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17" t="n"/>
      <c r="L362" s="17" t="n"/>
      <c r="M362" s="17" t="n"/>
    </row>
    <row r="363">
      <c r="A363" s="18" t="n"/>
      <c r="B363" s="18" t="n"/>
      <c r="C363" s="18" t="n"/>
      <c r="D363" s="18" t="n"/>
      <c r="E363" s="18" t="n"/>
      <c r="F363" s="18" t="n"/>
      <c r="G363" s="18" t="n"/>
      <c r="H363" s="18" t="n"/>
      <c r="I363" s="18" t="n"/>
      <c r="J363" s="18" t="n"/>
      <c r="K363" s="18" t="n"/>
      <c r="L363" s="18" t="n"/>
      <c r="M363" s="18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17" t="n"/>
      <c r="L364" s="17" t="n"/>
      <c r="M364" s="17" t="n"/>
    </row>
    <row r="365">
      <c r="A365" s="18" t="n"/>
      <c r="B365" s="18" t="n"/>
      <c r="C365" s="18" t="n"/>
      <c r="D365" s="18" t="n"/>
      <c r="E365" s="18" t="n"/>
      <c r="F365" s="18" t="n"/>
      <c r="G365" s="18" t="n"/>
      <c r="H365" s="18" t="n"/>
      <c r="I365" s="18" t="n"/>
      <c r="J365" s="18" t="n"/>
      <c r="K365" s="18" t="n"/>
      <c r="L365" s="18" t="n"/>
      <c r="M365" s="18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17" t="n"/>
      <c r="L366" s="17" t="n"/>
      <c r="M366" s="17" t="n"/>
    </row>
    <row r="367">
      <c r="A367" s="18" t="n"/>
      <c r="B367" s="18" t="n"/>
      <c r="C367" s="18" t="n"/>
      <c r="D367" s="18" t="n"/>
      <c r="E367" s="18" t="n"/>
      <c r="F367" s="18" t="n"/>
      <c r="G367" s="18" t="n"/>
      <c r="H367" s="18" t="n"/>
      <c r="I367" s="18" t="n"/>
      <c r="J367" s="18" t="n"/>
      <c r="K367" s="18" t="n"/>
      <c r="L367" s="18" t="n"/>
      <c r="M367" s="18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17" t="n"/>
      <c r="L368" s="17" t="n"/>
      <c r="M368" s="17" t="n"/>
    </row>
    <row r="369">
      <c r="A369" s="18" t="n"/>
      <c r="B369" s="18" t="n"/>
      <c r="C369" s="18" t="n"/>
      <c r="D369" s="18" t="n"/>
      <c r="E369" s="18" t="n"/>
      <c r="F369" s="18" t="n"/>
      <c r="G369" s="18" t="n"/>
      <c r="H369" s="18" t="n"/>
      <c r="I369" s="18" t="n"/>
      <c r="J369" s="18" t="n"/>
      <c r="K369" s="18" t="n"/>
      <c r="L369" s="18" t="n"/>
      <c r="M369" s="18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17" t="n"/>
      <c r="L370" s="17" t="n"/>
      <c r="M370" s="17" t="n"/>
    </row>
    <row r="371">
      <c r="A371" s="18" t="n"/>
      <c r="B371" s="18" t="n"/>
      <c r="C371" s="18" t="n"/>
      <c r="D371" s="18" t="n"/>
      <c r="E371" s="18" t="n"/>
      <c r="F371" s="18" t="n"/>
      <c r="G371" s="18" t="n"/>
      <c r="H371" s="18" t="n"/>
      <c r="I371" s="18" t="n"/>
      <c r="J371" s="18" t="n"/>
      <c r="K371" s="18" t="n"/>
      <c r="L371" s="18" t="n"/>
      <c r="M371" s="18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17" t="n"/>
      <c r="L372" s="17" t="n"/>
      <c r="M372" s="17" t="n"/>
    </row>
    <row r="373">
      <c r="A373" s="18" t="n"/>
      <c r="B373" s="18" t="n"/>
      <c r="C373" s="18" t="n"/>
      <c r="D373" s="18" t="n"/>
      <c r="E373" s="18" t="n"/>
      <c r="F373" s="18" t="n"/>
      <c r="G373" s="18" t="n"/>
      <c r="H373" s="18" t="n"/>
      <c r="I373" s="18" t="n"/>
      <c r="J373" s="18" t="n"/>
      <c r="K373" s="18" t="n"/>
      <c r="L373" s="18" t="n"/>
      <c r="M373" s="18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17" t="n"/>
      <c r="L374" s="17" t="n"/>
      <c r="M374" s="17" t="n"/>
    </row>
    <row r="375">
      <c r="A375" s="18" t="n"/>
      <c r="B375" s="18" t="n"/>
      <c r="C375" s="18" t="n"/>
      <c r="D375" s="18" t="n"/>
      <c r="E375" s="18" t="n"/>
      <c r="F375" s="18" t="n"/>
      <c r="G375" s="18" t="n"/>
      <c r="H375" s="18" t="n"/>
      <c r="I375" s="18" t="n"/>
      <c r="J375" s="18" t="n"/>
      <c r="K375" s="18" t="n"/>
      <c r="L375" s="18" t="n"/>
      <c r="M375" s="18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17" t="n"/>
      <c r="L376" s="17" t="n"/>
      <c r="M376" s="17" t="n"/>
    </row>
    <row r="377">
      <c r="A377" s="18" t="n"/>
      <c r="B377" s="18" t="n"/>
      <c r="C377" s="18" t="n"/>
      <c r="D377" s="18" t="n"/>
      <c r="E377" s="18" t="n"/>
      <c r="F377" s="18" t="n"/>
      <c r="G377" s="18" t="n"/>
      <c r="H377" s="18" t="n"/>
      <c r="I377" s="18" t="n"/>
      <c r="J377" s="18" t="n"/>
      <c r="K377" s="18" t="n"/>
      <c r="L377" s="18" t="n"/>
      <c r="M377" s="18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17" t="n"/>
      <c r="L378" s="17" t="n"/>
      <c r="M378" s="17" t="n"/>
    </row>
    <row r="379">
      <c r="A379" s="18" t="n"/>
      <c r="B379" s="18" t="n"/>
      <c r="C379" s="18" t="n"/>
      <c r="D379" s="18" t="n"/>
      <c r="E379" s="18" t="n"/>
      <c r="F379" s="18" t="n"/>
      <c r="G379" s="18" t="n"/>
      <c r="H379" s="18" t="n"/>
      <c r="I379" s="18" t="n"/>
      <c r="J379" s="18" t="n"/>
      <c r="K379" s="18" t="n"/>
      <c r="L379" s="18" t="n"/>
      <c r="M379" s="18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17" t="n"/>
      <c r="L380" s="17" t="n"/>
      <c r="M380" s="17" t="n"/>
    </row>
    <row r="381">
      <c r="A381" s="18" t="n"/>
      <c r="B381" s="18" t="n"/>
      <c r="C381" s="18" t="n"/>
      <c r="D381" s="18" t="n"/>
      <c r="E381" s="18" t="n"/>
      <c r="F381" s="18" t="n"/>
      <c r="G381" s="18" t="n"/>
      <c r="H381" s="18" t="n"/>
      <c r="I381" s="18" t="n"/>
      <c r="J381" s="18" t="n"/>
      <c r="K381" s="18" t="n"/>
      <c r="L381" s="18" t="n"/>
      <c r="M381" s="18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17" t="n"/>
      <c r="L382" s="17" t="n"/>
      <c r="M382" s="17" t="n"/>
    </row>
    <row r="383">
      <c r="A383" s="18" t="n"/>
      <c r="B383" s="18" t="n"/>
      <c r="C383" s="18" t="n"/>
      <c r="D383" s="18" t="n"/>
      <c r="E383" s="18" t="n"/>
      <c r="F383" s="18" t="n"/>
      <c r="G383" s="18" t="n"/>
      <c r="H383" s="18" t="n"/>
      <c r="I383" s="18" t="n"/>
      <c r="J383" s="18" t="n"/>
      <c r="K383" s="18" t="n"/>
      <c r="L383" s="18" t="n"/>
      <c r="M383" s="18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17" t="n"/>
      <c r="L384" s="17" t="n"/>
      <c r="M384" s="17" t="n"/>
    </row>
    <row r="385">
      <c r="A385" s="18" t="n"/>
      <c r="B385" s="18" t="n"/>
      <c r="C385" s="18" t="n"/>
      <c r="D385" s="18" t="n"/>
      <c r="E385" s="18" t="n"/>
      <c r="F385" s="18" t="n"/>
      <c r="G385" s="18" t="n"/>
      <c r="H385" s="18" t="n"/>
      <c r="I385" s="18" t="n"/>
      <c r="J385" s="18" t="n"/>
      <c r="K385" s="18" t="n"/>
      <c r="L385" s="18" t="n"/>
      <c r="M385" s="18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17" t="n"/>
      <c r="L386" s="17" t="n"/>
      <c r="M386" s="17" t="n"/>
    </row>
    <row r="387">
      <c r="A387" s="18" t="n"/>
      <c r="B387" s="18" t="n"/>
      <c r="C387" s="18" t="n"/>
      <c r="D387" s="18" t="n"/>
      <c r="E387" s="18" t="n"/>
      <c r="F387" s="18" t="n"/>
      <c r="G387" s="18" t="n"/>
      <c r="H387" s="18" t="n"/>
      <c r="I387" s="18" t="n"/>
      <c r="J387" s="18" t="n"/>
      <c r="K387" s="18" t="n"/>
      <c r="L387" s="18" t="n"/>
      <c r="M387" s="18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17" t="n"/>
      <c r="L388" s="17" t="n"/>
      <c r="M388" s="17" t="n"/>
    </row>
    <row r="389">
      <c r="A389" s="18" t="n"/>
      <c r="B389" s="18" t="n"/>
      <c r="C389" s="18" t="n"/>
      <c r="D389" s="18" t="n"/>
      <c r="E389" s="18" t="n"/>
      <c r="F389" s="18" t="n"/>
      <c r="G389" s="18" t="n"/>
      <c r="H389" s="18" t="n"/>
      <c r="I389" s="18" t="n"/>
      <c r="J389" s="18" t="n"/>
      <c r="K389" s="18" t="n"/>
      <c r="L389" s="18" t="n"/>
      <c r="M389" s="18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17" t="n"/>
      <c r="L390" s="17" t="n"/>
      <c r="M390" s="17" t="n"/>
    </row>
    <row r="391">
      <c r="A391" s="18" t="n"/>
      <c r="B391" s="18" t="n"/>
      <c r="C391" s="18" t="n"/>
      <c r="D391" s="18" t="n"/>
      <c r="E391" s="18" t="n"/>
      <c r="F391" s="18" t="n"/>
      <c r="G391" s="18" t="n"/>
      <c r="H391" s="18" t="n"/>
      <c r="I391" s="18" t="n"/>
      <c r="J391" s="18" t="n"/>
      <c r="K391" s="18" t="n"/>
      <c r="L391" s="18" t="n"/>
      <c r="M391" s="18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17" t="n"/>
      <c r="L392" s="17" t="n"/>
      <c r="M392" s="17" t="n"/>
    </row>
    <row r="393">
      <c r="A393" s="18" t="n"/>
      <c r="B393" s="18" t="n"/>
      <c r="C393" s="18" t="n"/>
      <c r="D393" s="18" t="n"/>
      <c r="E393" s="18" t="n"/>
      <c r="F393" s="18" t="n"/>
      <c r="G393" s="18" t="n"/>
      <c r="H393" s="18" t="n"/>
      <c r="I393" s="18" t="n"/>
      <c r="J393" s="18" t="n"/>
      <c r="K393" s="18" t="n"/>
      <c r="L393" s="18" t="n"/>
      <c r="M393" s="18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17" t="n"/>
      <c r="L394" s="17" t="n"/>
      <c r="M394" s="17" t="n"/>
    </row>
    <row r="395">
      <c r="A395" s="18" t="n"/>
      <c r="B395" s="18" t="n"/>
      <c r="C395" s="18" t="n"/>
      <c r="D395" s="18" t="n"/>
      <c r="E395" s="18" t="n"/>
      <c r="F395" s="18" t="n"/>
      <c r="G395" s="18" t="n"/>
      <c r="H395" s="18" t="n"/>
      <c r="I395" s="18" t="n"/>
      <c r="J395" s="18" t="n"/>
      <c r="K395" s="18" t="n"/>
      <c r="L395" s="18" t="n"/>
      <c r="M395" s="18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17" t="n"/>
      <c r="L396" s="17" t="n"/>
      <c r="M396" s="17" t="n"/>
    </row>
    <row r="397">
      <c r="A397" s="18" t="n"/>
      <c r="B397" s="18" t="n"/>
      <c r="C397" s="18" t="n"/>
      <c r="D397" s="18" t="n"/>
      <c r="E397" s="18" t="n"/>
      <c r="F397" s="18" t="n"/>
      <c r="G397" s="18" t="n"/>
      <c r="H397" s="18" t="n"/>
      <c r="I397" s="18" t="n"/>
      <c r="J397" s="18" t="n"/>
      <c r="K397" s="18" t="n"/>
      <c r="L397" s="18" t="n"/>
      <c r="M397" s="18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17" t="n"/>
      <c r="L398" s="17" t="n"/>
      <c r="M398" s="17" t="n"/>
    </row>
    <row r="399">
      <c r="A399" s="18" t="n"/>
      <c r="B399" s="18" t="n"/>
      <c r="C399" s="18" t="n"/>
      <c r="D399" s="18" t="n"/>
      <c r="E399" s="18" t="n"/>
      <c r="F399" s="18" t="n"/>
      <c r="G399" s="18" t="n"/>
      <c r="H399" s="18" t="n"/>
      <c r="I399" s="18" t="n"/>
      <c r="J399" s="18" t="n"/>
      <c r="K399" s="18" t="n"/>
      <c r="L399" s="18" t="n"/>
      <c r="M399" s="18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17" t="n"/>
      <c r="L400" s="17" t="n"/>
      <c r="M400" s="17" t="n"/>
    </row>
  </sheetData>
  <autoFilter ref="A1:M1"/>
  <conditionalFormatting sqref="E2:E400">
    <cfRule type="cellIs" priority="1" operator="equal" dxfId="0">
      <formula>"Blocker"</formula>
    </cfRule>
    <cfRule type="cellIs" priority="2" operator="equal" dxfId="1">
      <formula>"Major"</formula>
    </cfRule>
    <cfRule type="cellIs" priority="3" operator="equal" dxfId="2">
      <formula>"Minor"</formula>
    </cfRule>
    <cfRule type="cellIs" priority="4" operator="equal" dxfId="3">
      <formula>"Nit"</formula>
    </cfRule>
  </conditionalFormatting>
  <dataValidations count="3">
    <dataValidation sqref="E2:E400" showDropDown="0" showInputMessage="0" showErrorMessage="0" allowBlank="1" type="list">
      <formula1>"Blocker,Major,Minor,Nit"</formula1>
    </dataValidation>
    <dataValidation sqref="D2:D400" showDropDown="0" showInputMessage="0" showErrorMessage="0" allowBlank="1" type="list">
      <formula1>"Layout &amp; Spacing,Color &amp; Token,Typography,Components &amp; States,Content &amp; Iconography,Responsive &amp; A11y"</formula1>
    </dataValidation>
    <dataValidation sqref="J2:J400" showDropDown="0" showInputMessage="0" showErrorMessage="0" allowBlank="1" type="list">
      <formula1>"Open,In Progress,Fixed,Won't Fix,Verified"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46" customWidth="1" min="3" max="3"/>
    <col width="12" customWidth="1" min="4" max="4"/>
    <col width="10" customWidth="1" min="5" max="5"/>
    <col width="14" customWidth="1" min="6" max="6"/>
    <col width="11" customWidth="1" min="7" max="7"/>
    <col width="34" customWidth="1" min="8" max="8"/>
  </cols>
  <sheetData>
    <row r="1" ht="26" customHeight="1">
      <c r="A1" s="11" t="inlineStr">
        <is>
          <t>Screen</t>
        </is>
      </c>
      <c r="B1" s="11" t="inlineStr">
        <is>
          <t>Section</t>
        </is>
      </c>
      <c r="C1" s="11" t="inlineStr">
        <is>
          <t>Figma URL</t>
        </is>
      </c>
      <c r="D1" s="11" t="inlineStr">
        <is>
          <t>Has Design?</t>
        </is>
      </c>
      <c r="E1" s="11" t="inlineStr">
        <is>
          <t>Built?</t>
        </is>
      </c>
      <c r="F1" s="11" t="inlineStr">
        <is>
          <t>QC Status</t>
        </is>
      </c>
      <c r="G1" s="11" t="inlineStr">
        <is>
          <t># Findings</t>
        </is>
      </c>
      <c r="H1" s="11" t="inlineStr">
        <is>
          <t>Notes</t>
        </is>
      </c>
    </row>
    <row r="2">
      <c r="A2" s="16" t="inlineStr">
        <is>
          <t>Ministry / Dashboard</t>
        </is>
      </c>
      <c r="B2" s="16" t="inlineStr">
        <is>
          <t>Ministry</t>
        </is>
      </c>
      <c r="C2" s="16" t="inlineStr">
        <is>
          <t>https://www.figma.com/design/gH2vQ62cfg4677YKWuOpLc/MoSJE-Portal--Handoff-?node-id=4226-37114</t>
        </is>
      </c>
      <c r="D2" s="16" t="inlineStr">
        <is>
          <t>Yes</t>
        </is>
      </c>
      <c r="E2" s="16" t="n"/>
      <c r="F2" s="16" t="inlineStr">
        <is>
          <t>Not Started</t>
        </is>
      </c>
      <c r="G2" s="16">
        <f>COUNTIF('eUtthan Admin'!$B:$B,$A2)</f>
        <v/>
      </c>
      <c r="H2" s="16" t="n"/>
    </row>
    <row r="3">
      <c r="A3" s="16" t="inlineStr">
        <is>
          <t>Ministry / Manage Scheme</t>
        </is>
      </c>
      <c r="B3" s="16" t="inlineStr">
        <is>
          <t>Ministry</t>
        </is>
      </c>
      <c r="C3" s="16" t="inlineStr">
        <is>
          <t>https://www.figma.com/design/gH2vQ62cfg4677YKWuOpLc/MoSJE-Portal--Handoff-?node-id=4226-37360</t>
        </is>
      </c>
      <c r="D3" s="16" t="inlineStr">
        <is>
          <t>Yes</t>
        </is>
      </c>
      <c r="E3" s="16" t="n"/>
      <c r="F3" s="16" t="inlineStr">
        <is>
          <t>Not Started</t>
        </is>
      </c>
      <c r="G3" s="16">
        <f>COUNTIF('eUtthan Admin'!$B:$B,$A3)</f>
        <v/>
      </c>
      <c r="H3" s="16" t="n"/>
    </row>
    <row r="4">
      <c r="A4" s="16" t="inlineStr">
        <is>
          <t>Ministry / Manage Scheme (scrolled)</t>
        </is>
      </c>
      <c r="B4" s="16" t="inlineStr">
        <is>
          <t>Ministry</t>
        </is>
      </c>
      <c r="C4" s="16" t="inlineStr">
        <is>
          <t>https://www.figma.com/design/gH2vQ62cfg4677YKWuOpLc/MoSJE-Portal--Handoff-?node-id=4226-37568</t>
        </is>
      </c>
      <c r="D4" s="16" t="inlineStr">
        <is>
          <t>Yes</t>
        </is>
      </c>
      <c r="E4" s="16" t="n"/>
      <c r="F4" s="16" t="inlineStr">
        <is>
          <t>Not Started</t>
        </is>
      </c>
      <c r="G4" s="16">
        <f>COUNTIF('eUtthan Admin'!$B:$B,$A4)</f>
        <v/>
      </c>
      <c r="H4" s="16" t="n"/>
    </row>
    <row r="5">
      <c r="A5" s="16" t="inlineStr">
        <is>
          <t>Ministry / Add</t>
        </is>
      </c>
      <c r="B5" s="16" t="inlineStr">
        <is>
          <t>Ministry</t>
        </is>
      </c>
      <c r="C5" s="16" t="inlineStr">
        <is>
          <t>https://www.figma.com/design/gH2vQ62cfg4677YKWuOpLc/MoSJE-Portal--Handoff-?node-id=4226-38254</t>
        </is>
      </c>
      <c r="D5" s="16" t="inlineStr">
        <is>
          <t>Yes</t>
        </is>
      </c>
      <c r="E5" s="16" t="n"/>
      <c r="F5" s="16" t="inlineStr">
        <is>
          <t>Not Started</t>
        </is>
      </c>
      <c r="G5" s="16">
        <f>COUNTIF('eUtthan Admin'!$B:$B,$A5)</f>
        <v/>
      </c>
      <c r="H5" s="16" t="n"/>
    </row>
    <row r="6">
      <c r="A6" s="16" t="inlineStr">
        <is>
          <t>Ministry / Physical Progress Data</t>
        </is>
      </c>
      <c r="B6" s="16" t="inlineStr">
        <is>
          <t>Ministry</t>
        </is>
      </c>
      <c r="C6" s="16" t="inlineStr">
        <is>
          <t>https://www.figma.com/design/gH2vQ62cfg4677YKWuOpLc/MoSJE-Portal--Handoff-?node-id=4226-38368</t>
        </is>
      </c>
      <c r="D6" s="16" t="inlineStr">
        <is>
          <t>Yes</t>
        </is>
      </c>
      <c r="E6" s="16" t="n"/>
      <c r="F6" s="16" t="inlineStr">
        <is>
          <t>Not Started</t>
        </is>
      </c>
      <c r="G6" s="16">
        <f>COUNTIF('eUtthan Admin'!$B:$B,$A6)</f>
        <v/>
      </c>
      <c r="H6" s="16" t="n"/>
    </row>
    <row r="7">
      <c r="A7" s="16" t="inlineStr">
        <is>
          <t>Ministry / Manage Scheme (scrolled)</t>
        </is>
      </c>
      <c r="B7" s="16" t="inlineStr">
        <is>
          <t>Ministry</t>
        </is>
      </c>
      <c r="C7" s="16" t="inlineStr">
        <is>
          <t>https://www.figma.com/design/gH2vQ62cfg4677YKWuOpLc/MoSJE-Portal--Handoff-?node-id=4226-37796</t>
        </is>
      </c>
      <c r="D7" s="16" t="inlineStr">
        <is>
          <t>Yes</t>
        </is>
      </c>
      <c r="E7" s="16" t="n"/>
      <c r="F7" s="16" t="inlineStr">
        <is>
          <t>Not Started</t>
        </is>
      </c>
      <c r="G7" s="16">
        <f>COUNTIF('eUtthan Admin'!$B:$B,$A7)</f>
        <v/>
      </c>
      <c r="H7" s="16" t="n"/>
    </row>
    <row r="8">
      <c r="A8" s="16" t="inlineStr">
        <is>
          <t>Ministry / Manage Scheme (scrolled)</t>
        </is>
      </c>
      <c r="B8" s="16" t="inlineStr">
        <is>
          <t>Ministry</t>
        </is>
      </c>
      <c r="C8" s="16" t="inlineStr">
        <is>
          <t>https://www.figma.com/design/gH2vQ62cfg4677YKWuOpLc/MoSJE-Portal--Handoff-?node-id=4226-38041</t>
        </is>
      </c>
      <c r="D8" s="16" t="inlineStr">
        <is>
          <t>Yes</t>
        </is>
      </c>
      <c r="E8" s="16" t="n"/>
      <c r="F8" s="16" t="inlineStr">
        <is>
          <t>Not Started</t>
        </is>
      </c>
      <c r="G8" s="16">
        <f>COUNTIF('eUtthan Admin'!$B:$B,$A8)</f>
        <v/>
      </c>
      <c r="H8" s="16" t="n"/>
    </row>
    <row r="9">
      <c r="A9" s="16" t="inlineStr">
        <is>
          <t>Ministry / Physical Progress Data / Add</t>
        </is>
      </c>
      <c r="B9" s="16" t="inlineStr">
        <is>
          <t>Ministry</t>
        </is>
      </c>
      <c r="C9" s="16" t="inlineStr">
        <is>
          <t>https://www.figma.com/design/gH2vQ62cfg4677YKWuOpLc/MoSJE-Portal--Handoff-?node-id=4226-39568</t>
        </is>
      </c>
      <c r="D9" s="16" t="inlineStr">
        <is>
          <t>Yes</t>
        </is>
      </c>
      <c r="E9" s="16" t="n"/>
      <c r="F9" s="16" t="inlineStr">
        <is>
          <t>Not Started</t>
        </is>
      </c>
      <c r="G9" s="16">
        <f>COUNTIF('eUtthan Admin'!$B:$B,$A9)</f>
        <v/>
      </c>
      <c r="H9" s="16" t="n"/>
    </row>
    <row r="10">
      <c r="A10" s="16" t="inlineStr">
        <is>
          <t>Ministry / Physical Progress Data / Import Excel</t>
        </is>
      </c>
      <c r="B10" s="16" t="inlineStr">
        <is>
          <t>Ministry</t>
        </is>
      </c>
      <c r="C10" s="16" t="inlineStr">
        <is>
          <t>https://www.figma.com/design/gH2vQ62cfg4677YKWuOpLc/MoSJE-Portal--Handoff-?node-id=4226-39128</t>
        </is>
      </c>
      <c r="D10" s="16" t="inlineStr">
        <is>
          <t>Yes</t>
        </is>
      </c>
      <c r="E10" s="16" t="n"/>
      <c r="F10" s="16" t="inlineStr">
        <is>
          <t>Not Started</t>
        </is>
      </c>
      <c r="G10" s="16">
        <f>COUNTIF('eUtthan Admin'!$B:$B,$A10)</f>
        <v/>
      </c>
      <c r="H10" s="16" t="n"/>
    </row>
    <row r="11">
      <c r="A11" s="16" t="inlineStr">
        <is>
          <t>Ministry / Physical Progress Data / Import Excel (uploaded)</t>
        </is>
      </c>
      <c r="B11" s="16" t="inlineStr">
        <is>
          <t>Ministry</t>
        </is>
      </c>
      <c r="C11" s="16" t="inlineStr">
        <is>
          <t>https://www.figma.com/design/gH2vQ62cfg4677YKWuOpLc/MoSJE-Portal--Handoff-?node-id=4226-39348</t>
        </is>
      </c>
      <c r="D11" s="16" t="inlineStr">
        <is>
          <t>Yes</t>
        </is>
      </c>
      <c r="E11" s="16" t="n"/>
      <c r="F11" s="16" t="inlineStr">
        <is>
          <t>Not Started</t>
        </is>
      </c>
      <c r="G11" s="16">
        <f>COUNTIF('eUtthan Admin'!$B:$B,$A11)</f>
        <v/>
      </c>
      <c r="H11" s="16" t="n"/>
    </row>
    <row r="12">
      <c r="A12" s="16" t="inlineStr">
        <is>
          <t>Ministry / Manage Outcome</t>
        </is>
      </c>
      <c r="B12" s="16" t="inlineStr">
        <is>
          <t>Ministry</t>
        </is>
      </c>
      <c r="C12" s="16" t="inlineStr">
        <is>
          <t>https://www.figma.com/design/gH2vQ62cfg4677YKWuOpLc/MoSJE-Portal--Handoff-?node-id=4226-38577</t>
        </is>
      </c>
      <c r="D12" s="16" t="inlineStr">
        <is>
          <t>Yes</t>
        </is>
      </c>
      <c r="E12" s="16" t="n"/>
      <c r="F12" s="16" t="inlineStr">
        <is>
          <t>Not Started</t>
        </is>
      </c>
      <c r="G12" s="16">
        <f>COUNTIF('eUtthan Admin'!$B:$B,$A12)</f>
        <v/>
      </c>
      <c r="H12" s="16" t="n"/>
    </row>
    <row r="13">
      <c r="A13" s="16" t="inlineStr">
        <is>
          <t>Ministry / Manage Outcome</t>
        </is>
      </c>
      <c r="B13" s="16" t="inlineStr">
        <is>
          <t>Ministry</t>
        </is>
      </c>
      <c r="C13" s="16" t="inlineStr">
        <is>
          <t>https://www.figma.com/design/gH2vQ62cfg4677YKWuOpLc/MoSJE-Portal--Handoff-?node-id=4226-38785</t>
        </is>
      </c>
      <c r="D13" s="16" t="inlineStr">
        <is>
          <t>Yes</t>
        </is>
      </c>
      <c r="E13" s="16" t="n"/>
      <c r="F13" s="16" t="inlineStr">
        <is>
          <t>Not Started</t>
        </is>
      </c>
      <c r="G13" s="16">
        <f>COUNTIF('eUtthan Admin'!$B:$B,$A13)</f>
        <v/>
      </c>
      <c r="H13" s="16" t="n"/>
    </row>
    <row r="14">
      <c r="A14" s="16" t="inlineStr">
        <is>
          <t>Ministry / Manage Outcome / Add</t>
        </is>
      </c>
      <c r="B14" s="16" t="inlineStr">
        <is>
          <t>Ministry</t>
        </is>
      </c>
      <c r="C14" s="16" t="inlineStr">
        <is>
          <t>https://www.figma.com/design/gH2vQ62cfg4677YKWuOpLc/MoSJE-Portal--Handoff-?node-id=4226-39013</t>
        </is>
      </c>
      <c r="D14" s="16" t="inlineStr">
        <is>
          <t>Yes</t>
        </is>
      </c>
      <c r="E14" s="16" t="n"/>
      <c r="F14" s="16" t="inlineStr">
        <is>
          <t>Not Started</t>
        </is>
      </c>
      <c r="G14" s="16">
        <f>COUNTIF('eUtthan Admin'!$B:$B,$A14)</f>
        <v/>
      </c>
      <c r="H14" s="16" t="n"/>
    </row>
    <row r="15">
      <c r="A15" s="16" t="inlineStr">
        <is>
          <t>Admin / Dashboard</t>
        </is>
      </c>
      <c r="B15" s="16" t="inlineStr">
        <is>
          <t>Admin</t>
        </is>
      </c>
      <c r="C15" s="16" t="inlineStr">
        <is>
          <t>https://www.figma.com/design/gH2vQ62cfg4677YKWuOpLc/MoSJE-Portal--Handoff-?node-id=4226-39685</t>
        </is>
      </c>
      <c r="D15" s="16" t="inlineStr">
        <is>
          <t>Yes</t>
        </is>
      </c>
      <c r="E15" s="16" t="inlineStr">
        <is>
          <t>Yes</t>
        </is>
      </c>
      <c r="F15" s="16" t="inlineStr">
        <is>
          <t>Done</t>
        </is>
      </c>
      <c r="G15" s="16">
        <f>COUNTIF('eUtthan Admin'!$B:$B,$A15)</f>
        <v/>
      </c>
      <c r="H15" s="16" t="n"/>
    </row>
    <row r="16">
      <c r="A16" s="16" t="inlineStr">
        <is>
          <t>Admin / Financial Year</t>
        </is>
      </c>
      <c r="B16" s="16" t="inlineStr">
        <is>
          <t>Admin</t>
        </is>
      </c>
      <c r="C16" s="16" t="inlineStr">
        <is>
          <t>https://www.figma.com/design/gH2vQ62cfg4677YKWuOpLc/MoSJE-Portal--Handoff-?node-id=4226-40009</t>
        </is>
      </c>
      <c r="D16" s="16" t="inlineStr">
        <is>
          <t>Yes</t>
        </is>
      </c>
      <c r="E16" s="16" t="inlineStr">
        <is>
          <t>Yes</t>
        </is>
      </c>
      <c r="F16" s="16" t="inlineStr">
        <is>
          <t>Done</t>
        </is>
      </c>
      <c r="G16" s="16">
        <f>COUNTIF('eUtthan Admin'!$B:$B,$A16)</f>
        <v/>
      </c>
      <c r="H16" s="16" t="n"/>
    </row>
    <row r="17">
      <c r="A17" s="16" t="inlineStr">
        <is>
          <t>Admin / Financial Year / Add</t>
        </is>
      </c>
      <c r="B17" s="16" t="inlineStr">
        <is>
          <t>Admin</t>
        </is>
      </c>
      <c r="C17" s="16" t="inlineStr">
        <is>
          <t>https://www.figma.com/design/gH2vQ62cfg4677YKWuOpLc/MoSJE-Portal--Handoff-?node-id=4226-43777</t>
        </is>
      </c>
      <c r="D17" s="16" t="inlineStr">
        <is>
          <t>Yes</t>
        </is>
      </c>
      <c r="E17" s="16" t="n"/>
      <c r="F17" s="16" t="inlineStr">
        <is>
          <t>Not Started</t>
        </is>
      </c>
      <c r="G17" s="16">
        <f>COUNTIF('eUtthan Admin'!$B:$B,$A17)</f>
        <v/>
      </c>
      <c r="H17" s="16" t="n"/>
    </row>
    <row r="18">
      <c r="A18" s="16" t="inlineStr">
        <is>
          <t>Admin / Financial Year</t>
        </is>
      </c>
      <c r="B18" s="16" t="inlineStr">
        <is>
          <t>Admin</t>
        </is>
      </c>
      <c r="C18" s="16" t="inlineStr">
        <is>
          <t>https://www.figma.com/design/gH2vQ62cfg4677YKWuOpLc/MoSJE-Portal--Handoff-?node-id=4226-40148</t>
        </is>
      </c>
      <c r="D18" s="16" t="inlineStr">
        <is>
          <t>Yes</t>
        </is>
      </c>
      <c r="E18" s="16" t="inlineStr">
        <is>
          <t>Yes</t>
        </is>
      </c>
      <c r="F18" s="16" t="inlineStr">
        <is>
          <t>Done</t>
        </is>
      </c>
      <c r="G18" s="16">
        <f>COUNTIF('eUtthan Admin'!$B:$B,$A18)</f>
        <v/>
      </c>
      <c r="H18" s="16" t="n"/>
    </row>
    <row r="19">
      <c r="A19" s="16" t="inlineStr">
        <is>
          <t>Admin / Financial Year / Edit</t>
        </is>
      </c>
      <c r="B19" s="16" t="inlineStr">
        <is>
          <t>Admin</t>
        </is>
      </c>
      <c r="C19" s="16" t="inlineStr">
        <is>
          <t>https://www.figma.com/design/gH2vQ62cfg4677YKWuOpLc/MoSJE-Portal--Handoff-?node-id=4226-44550</t>
        </is>
      </c>
      <c r="D19" s="16" t="inlineStr">
        <is>
          <t>Yes</t>
        </is>
      </c>
      <c r="E19" s="16" t="n"/>
      <c r="F19" s="16" t="inlineStr">
        <is>
          <t>Not Started</t>
        </is>
      </c>
      <c r="G19" s="16">
        <f>COUNTIF('eUtthan Admin'!$B:$B,$A19)</f>
        <v/>
      </c>
      <c r="H19" s="16" t="n"/>
    </row>
    <row r="20">
      <c r="A20" s="16" t="inlineStr">
        <is>
          <t>Admin / Manage Ministry</t>
        </is>
      </c>
      <c r="B20" s="16" t="inlineStr">
        <is>
          <t>Admin</t>
        </is>
      </c>
      <c r="C20" s="16" t="inlineStr">
        <is>
          <t>https://www.figma.com/design/gH2vQ62cfg4677YKWuOpLc/MoSJE-Portal--Handoff-?node-id=4226-40288</t>
        </is>
      </c>
      <c r="D20" s="16" t="inlineStr">
        <is>
          <t>Yes</t>
        </is>
      </c>
      <c r="E20" s="16" t="inlineStr">
        <is>
          <t>Yes</t>
        </is>
      </c>
      <c r="F20" s="16" t="inlineStr">
        <is>
          <t>Done</t>
        </is>
      </c>
      <c r="G20" s="16">
        <f>COUNTIF('eUtthan Admin'!$B:$B,$A20)</f>
        <v/>
      </c>
      <c r="H20" s="16" t="n"/>
    </row>
    <row r="21">
      <c r="A21" s="16" t="inlineStr">
        <is>
          <t>Admin / Manage Ministry / Add</t>
        </is>
      </c>
      <c r="B21" s="16" t="inlineStr">
        <is>
          <t>Admin</t>
        </is>
      </c>
      <c r="C21" s="16" t="inlineStr">
        <is>
          <t>https://www.figma.com/design/gH2vQ62cfg4677YKWuOpLc/MoSJE-Portal--Handoff-?node-id=4226-43881</t>
        </is>
      </c>
      <c r="D21" s="16" t="inlineStr">
        <is>
          <t>Yes</t>
        </is>
      </c>
      <c r="E21" s="16" t="n"/>
      <c r="F21" s="16" t="inlineStr">
        <is>
          <t>Not Started</t>
        </is>
      </c>
      <c r="G21" s="16">
        <f>COUNTIF('eUtthan Admin'!$B:$B,$A21)</f>
        <v/>
      </c>
      <c r="H21" s="16" t="n"/>
    </row>
    <row r="22">
      <c r="A22" s="16" t="inlineStr">
        <is>
          <t>Admin / Manage Scheme</t>
        </is>
      </c>
      <c r="B22" s="16" t="inlineStr">
        <is>
          <t>Admin</t>
        </is>
      </c>
      <c r="C22" s="16" t="inlineStr">
        <is>
          <t>https://www.figma.com/design/gH2vQ62cfg4677YKWuOpLc/MoSJE-Portal--Handoff-?node-id=4226-40449</t>
        </is>
      </c>
      <c r="D22" s="16" t="inlineStr">
        <is>
          <t>Yes</t>
        </is>
      </c>
      <c r="E22" s="16" t="inlineStr">
        <is>
          <t>Yes</t>
        </is>
      </c>
      <c r="F22" s="16" t="inlineStr">
        <is>
          <t>Done</t>
        </is>
      </c>
      <c r="G22" s="16">
        <f>COUNTIF('eUtthan Admin'!$B:$B,$A22)</f>
        <v/>
      </c>
      <c r="H22" s="16" t="n"/>
    </row>
    <row r="23">
      <c r="A23" s="16" t="inlineStr">
        <is>
          <t>Admin / Manage Scheme (scrolled)</t>
        </is>
      </c>
      <c r="B23" s="16" t="inlineStr">
        <is>
          <t>Admin</t>
        </is>
      </c>
      <c r="C23" s="16" t="inlineStr">
        <is>
          <t>https://www.figma.com/design/gH2vQ62cfg4677YKWuOpLc/MoSJE-Portal--Handoff-?node-id=4226-43077</t>
        </is>
      </c>
      <c r="D23" s="16" t="inlineStr">
        <is>
          <t>Yes</t>
        </is>
      </c>
      <c r="E23" s="16" t="n"/>
      <c r="F23" s="16" t="inlineStr">
        <is>
          <t>Not Started</t>
        </is>
      </c>
      <c r="G23" s="16">
        <f>COUNTIF('eUtthan Admin'!$B:$B,$A23)</f>
        <v/>
      </c>
      <c r="H23" s="16" t="n"/>
    </row>
    <row r="24">
      <c r="A24" s="16" t="inlineStr">
        <is>
          <t>Admin / Manage Scheme / Add</t>
        </is>
      </c>
      <c r="B24" s="16" t="inlineStr">
        <is>
          <t>Admin</t>
        </is>
      </c>
      <c r="C24" s="16" t="inlineStr">
        <is>
          <t>https://www.figma.com/design/gH2vQ62cfg4677YKWuOpLc/MoSJE-Portal--Handoff-?node-id=4226-43990</t>
        </is>
      </c>
      <c r="D24" s="16" t="inlineStr">
        <is>
          <t>Yes</t>
        </is>
      </c>
      <c r="E24" s="16" t="n"/>
      <c r="F24" s="16" t="inlineStr">
        <is>
          <t>Not Started</t>
        </is>
      </c>
      <c r="G24" s="16">
        <f>COUNTIF('eUtthan Admin'!$B:$B,$A24)</f>
        <v/>
      </c>
      <c r="H24" s="16" t="n"/>
    </row>
    <row r="25">
      <c r="A25" s="16" t="inlineStr">
        <is>
          <t>Admin / Manage Outcome</t>
        </is>
      </c>
      <c r="B25" s="16" t="inlineStr">
        <is>
          <t>Admin</t>
        </is>
      </c>
      <c r="C25" s="16" t="inlineStr">
        <is>
          <t>https://www.figma.com/design/gH2vQ62cfg4677YKWuOpLc/MoSJE-Portal--Handoff-?node-id=4226-40657</t>
        </is>
      </c>
      <c r="D25" s="16" t="inlineStr">
        <is>
          <t>Yes</t>
        </is>
      </c>
      <c r="E25" s="16" t="inlineStr">
        <is>
          <t>Yes</t>
        </is>
      </c>
      <c r="F25" s="16" t="inlineStr">
        <is>
          <t>Done</t>
        </is>
      </c>
      <c r="G25" s="16">
        <f>COUNTIF('eUtthan Admin'!$B:$B,$A25)</f>
        <v/>
      </c>
      <c r="H25" s="16" t="n"/>
    </row>
    <row r="26">
      <c r="A26" s="16" t="inlineStr">
        <is>
          <t>Admin / Manage Outcome (scrolled)</t>
        </is>
      </c>
      <c r="B26" s="16" t="inlineStr">
        <is>
          <t>Admin</t>
        </is>
      </c>
      <c r="C26" s="16" t="inlineStr">
        <is>
          <t>https://www.figma.com/design/gH2vQ62cfg4677YKWuOpLc/MoSJE-Portal--Handoff-?node-id=4226-43305</t>
        </is>
      </c>
      <c r="D26" s="16" t="inlineStr">
        <is>
          <t>Yes</t>
        </is>
      </c>
      <c r="E26" s="16" t="n"/>
      <c r="F26" s="16" t="inlineStr">
        <is>
          <t>Not Started</t>
        </is>
      </c>
      <c r="G26" s="16">
        <f>COUNTIF('eUtthan Admin'!$B:$B,$A26)</f>
        <v/>
      </c>
      <c r="H26" s="16" t="n"/>
    </row>
    <row r="27">
      <c r="A27" s="16" t="inlineStr">
        <is>
          <t>Admin / Manage Outcome / Add</t>
        </is>
      </c>
      <c r="B27" s="16" t="inlineStr">
        <is>
          <t>Admin</t>
        </is>
      </c>
      <c r="C27" s="16" t="inlineStr">
        <is>
          <t>https://www.figma.com/design/gH2vQ62cfg4677YKWuOpLc/MoSJE-Portal--Handoff-?node-id=4226-44105</t>
        </is>
      </c>
      <c r="D27" s="16" t="inlineStr">
        <is>
          <t>Yes</t>
        </is>
      </c>
      <c r="E27" s="16" t="n"/>
      <c r="F27" s="16" t="inlineStr">
        <is>
          <t>Not Started</t>
        </is>
      </c>
      <c r="G27" s="16">
        <f>COUNTIF('eUtthan Admin'!$B:$B,$A27)</f>
        <v/>
      </c>
      <c r="H27" s="16" t="n"/>
    </row>
    <row r="28">
      <c r="A28" s="16" t="inlineStr">
        <is>
          <t>Admin / Documents</t>
        </is>
      </c>
      <c r="B28" s="16" t="inlineStr">
        <is>
          <t>Admin</t>
        </is>
      </c>
      <c r="C28" s="16" t="inlineStr">
        <is>
          <t>https://www.figma.com/design/gH2vQ62cfg4677YKWuOpLc/MoSJE-Portal--Handoff-?node-id=4226-42902</t>
        </is>
      </c>
      <c r="D28" s="16" t="inlineStr">
        <is>
          <t>Yes</t>
        </is>
      </c>
      <c r="E28" s="16" t="inlineStr">
        <is>
          <t>Yes</t>
        </is>
      </c>
      <c r="F28" s="16" t="inlineStr">
        <is>
          <t>Done</t>
        </is>
      </c>
      <c r="G28" s="16">
        <f>COUNTIF('eUtthan Admin'!$B:$B,$A28)</f>
        <v/>
      </c>
      <c r="H28" s="16" t="n"/>
    </row>
    <row r="29">
      <c r="A29" s="16" t="inlineStr">
        <is>
          <t>Admin / Documents / Add</t>
        </is>
      </c>
      <c r="B29" s="16" t="inlineStr">
        <is>
          <t>Admin</t>
        </is>
      </c>
      <c r="C29" s="16" t="inlineStr">
        <is>
          <t>https://www.figma.com/design/gH2vQ62cfg4677YKWuOpLc/MoSJE-Portal--Handoff-?node-id=4226-44221</t>
        </is>
      </c>
      <c r="D29" s="16" t="inlineStr">
        <is>
          <t>Yes</t>
        </is>
      </c>
      <c r="E29" s="16" t="n"/>
      <c r="F29" s="16" t="inlineStr">
        <is>
          <t>Not Started</t>
        </is>
      </c>
      <c r="G29" s="16">
        <f>COUNTIF('eUtthan Admin'!$B:$B,$A29)</f>
        <v/>
      </c>
      <c r="H29" s="16" t="n"/>
    </row>
    <row r="30">
      <c r="A30" s="16" t="inlineStr">
        <is>
          <t>Admin / Documents / Add</t>
        </is>
      </c>
      <c r="B30" s="16" t="inlineStr">
        <is>
          <t>Admin</t>
        </is>
      </c>
      <c r="C30" s="16" t="inlineStr">
        <is>
          <t>https://www.figma.com/design/gH2vQ62cfg4677YKWuOpLc/MoSJE-Portal--Handoff-?node-id=4226-44329</t>
        </is>
      </c>
      <c r="D30" s="16" t="inlineStr">
        <is>
          <t>Yes</t>
        </is>
      </c>
      <c r="E30" s="16" t="n"/>
      <c r="F30" s="16" t="inlineStr">
        <is>
          <t>Not Started</t>
        </is>
      </c>
      <c r="G30" s="16">
        <f>COUNTIF('eUtthan Admin'!$B:$B,$A30)</f>
        <v/>
      </c>
      <c r="H30" s="16" t="n"/>
    </row>
    <row r="31">
      <c r="A31" s="16" t="inlineStr">
        <is>
          <t>Admin / Map Ministry / Mapped</t>
        </is>
      </c>
      <c r="B31" s="16" t="inlineStr">
        <is>
          <t>Admin</t>
        </is>
      </c>
      <c r="C31" s="16" t="inlineStr">
        <is>
          <t>https://www.figma.com/design/gH2vQ62cfg4677YKWuOpLc/MoSJE-Portal--Handoff-?node-id=4226-41073</t>
        </is>
      </c>
      <c r="D31" s="16" t="inlineStr">
        <is>
          <t>Yes</t>
        </is>
      </c>
      <c r="E31" s="16" t="inlineStr">
        <is>
          <t>Yes</t>
        </is>
      </c>
      <c r="F31" s="16" t="inlineStr">
        <is>
          <t>Done</t>
        </is>
      </c>
      <c r="G31" s="16">
        <f>COUNTIF('eUtthan Admin'!$B:$B,$A31)</f>
        <v/>
      </c>
      <c r="H31" s="16" t="n"/>
    </row>
    <row r="32">
      <c r="A32" s="16" t="inlineStr">
        <is>
          <t>Admin / Map Ministry / Unmapped</t>
        </is>
      </c>
      <c r="B32" s="16" t="inlineStr">
        <is>
          <t>Admin</t>
        </is>
      </c>
      <c r="C32" s="16" t="inlineStr">
        <is>
          <t>https://www.figma.com/design/gH2vQ62cfg4677YKWuOpLc/MoSJE-Portal--Handoff-?node-id=4226-41283</t>
        </is>
      </c>
      <c r="D32" s="16" t="inlineStr">
        <is>
          <t>Yes</t>
        </is>
      </c>
      <c r="E32" s="16" t="n"/>
      <c r="F32" s="16" t="inlineStr">
        <is>
          <t>Not Started</t>
        </is>
      </c>
      <c r="G32" s="16">
        <f>COUNTIF('eUtthan Admin'!$B:$B,$A32)</f>
        <v/>
      </c>
      <c r="H32" s="16" t="n"/>
    </row>
    <row r="33">
      <c r="A33" s="16" t="inlineStr">
        <is>
          <t>Admin / Map Schemes / Map</t>
        </is>
      </c>
      <c r="B33" s="16" t="inlineStr">
        <is>
          <t>Admin</t>
        </is>
      </c>
      <c r="C33" s="16" t="inlineStr">
        <is>
          <t>https://www.figma.com/design/gH2vQ62cfg4677YKWuOpLc/MoSJE-Portal--Handoff-?node-id=4226-42430</t>
        </is>
      </c>
      <c r="D33" s="16" t="inlineStr">
        <is>
          <t>Yes</t>
        </is>
      </c>
      <c r="E33" s="16" t="n"/>
      <c r="F33" s="16" t="inlineStr">
        <is>
          <t>Not Started</t>
        </is>
      </c>
      <c r="G33" s="16">
        <f>COUNTIF('eUtthan Admin'!$B:$B,$A33)</f>
        <v/>
      </c>
      <c r="H33" s="16" t="n"/>
    </row>
    <row r="34">
      <c r="A34" s="16" t="inlineStr">
        <is>
          <t>Admin / Map Schemes / Mapped</t>
        </is>
      </c>
      <c r="B34" s="16" t="inlineStr">
        <is>
          <t>Admin</t>
        </is>
      </c>
      <c r="C34" s="16" t="inlineStr">
        <is>
          <t>https://www.figma.com/design/gH2vQ62cfg4677YKWuOpLc/MoSJE-Portal--Handoff-?node-id=4226-41490</t>
        </is>
      </c>
      <c r="D34" s="16" t="inlineStr">
        <is>
          <t>Yes</t>
        </is>
      </c>
      <c r="E34" s="16" t="n"/>
      <c r="F34" s="16" t="inlineStr">
        <is>
          <t>Not Started</t>
        </is>
      </c>
      <c r="G34" s="16">
        <f>COUNTIF('eUtthan Admin'!$B:$B,$A34)</f>
        <v/>
      </c>
      <c r="H34" s="16" t="n"/>
    </row>
    <row r="35">
      <c r="A35" s="16" t="inlineStr">
        <is>
          <t>Admin / Map Schemes / Mapped</t>
        </is>
      </c>
      <c r="B35" s="16" t="inlineStr">
        <is>
          <t>Admin</t>
        </is>
      </c>
      <c r="C35" s="16" t="inlineStr">
        <is>
          <t>https://www.figma.com/design/gH2vQ62cfg4677YKWuOpLc/MoSJE-Portal--Handoff-?node-id=4226-41730</t>
        </is>
      </c>
      <c r="D35" s="16" t="inlineStr">
        <is>
          <t>Yes</t>
        </is>
      </c>
      <c r="E35" s="16" t="n"/>
      <c r="F35" s="16" t="inlineStr">
        <is>
          <t>Not Started</t>
        </is>
      </c>
      <c r="G35" s="16">
        <f>COUNTIF('eUtthan Admin'!$B:$B,$A35)</f>
        <v/>
      </c>
      <c r="H35" s="16" t="n"/>
    </row>
    <row r="36">
      <c r="A36" s="16" t="inlineStr">
        <is>
          <t>Admin / Map Schemes / Map</t>
        </is>
      </c>
      <c r="B36" s="16" t="inlineStr">
        <is>
          <t>Admin</t>
        </is>
      </c>
      <c r="C36" s="16" t="inlineStr">
        <is>
          <t>https://www.figma.com/design/gH2vQ62cfg4677YKWuOpLc/MoSJE-Portal--Handoff-?node-id=4226-42650</t>
        </is>
      </c>
      <c r="D36" s="16" t="inlineStr">
        <is>
          <t>Yes</t>
        </is>
      </c>
      <c r="E36" s="16" t="n"/>
      <c r="F36" s="16" t="inlineStr">
        <is>
          <t>Not Started</t>
        </is>
      </c>
      <c r="G36" s="16">
        <f>COUNTIF('eUtthan Admin'!$B:$B,$A36)</f>
        <v/>
      </c>
      <c r="H36" s="16" t="n"/>
    </row>
    <row r="37">
      <c r="A37" s="16" t="inlineStr">
        <is>
          <t>Admin / Map Schemes / Mapped</t>
        </is>
      </c>
      <c r="B37" s="16" t="inlineStr">
        <is>
          <t>Admin</t>
        </is>
      </c>
      <c r="C37" s="16" t="inlineStr">
        <is>
          <t>https://www.figma.com/design/gH2vQ62cfg4677YKWuOpLc/MoSJE-Portal--Handoff-?node-id=4226-41970</t>
        </is>
      </c>
      <c r="D37" s="16" t="inlineStr">
        <is>
          <t>Yes</t>
        </is>
      </c>
      <c r="E37" s="16" t="n"/>
      <c r="F37" s="16" t="inlineStr">
        <is>
          <t>Not Started</t>
        </is>
      </c>
      <c r="G37" s="16">
        <f>COUNTIF('eUtthan Admin'!$B:$B,$A37)</f>
        <v/>
      </c>
      <c r="H37" s="16" t="n"/>
    </row>
    <row r="38">
      <c r="A38" s="16" t="inlineStr">
        <is>
          <t>Admin / Map Schemes / Unmap</t>
        </is>
      </c>
      <c r="B38" s="16" t="inlineStr">
        <is>
          <t>Admin</t>
        </is>
      </c>
      <c r="C38" s="16" t="inlineStr">
        <is>
          <t>https://www.figma.com/design/gH2vQ62cfg4677YKWuOpLc/MoSJE-Portal--Handoff-?node-id=4226-42210</t>
        </is>
      </c>
      <c r="D38" s="16" t="inlineStr">
        <is>
          <t>Yes</t>
        </is>
      </c>
      <c r="E38" s="16" t="n"/>
      <c r="F38" s="16" t="inlineStr">
        <is>
          <t>Not Started</t>
        </is>
      </c>
      <c r="G38" s="16">
        <f>COUNTIF('eUtthan Admin'!$B:$B,$A38)</f>
        <v/>
      </c>
      <c r="H38" s="16" t="n"/>
    </row>
    <row r="39">
      <c r="A39" s="16" t="inlineStr">
        <is>
          <t>Admin / Manage User</t>
        </is>
      </c>
      <c r="B39" s="16" t="inlineStr">
        <is>
          <t>Admin</t>
        </is>
      </c>
      <c r="C39" s="16" t="inlineStr">
        <is>
          <t>https://www.figma.com/design/gH2vQ62cfg4677YKWuOpLc/MoSJE-Portal--Handoff-?node-id=4226-40865</t>
        </is>
      </c>
      <c r="D39" s="16" t="inlineStr">
        <is>
          <t>Yes</t>
        </is>
      </c>
      <c r="E39" s="16" t="inlineStr">
        <is>
          <t>Yes</t>
        </is>
      </c>
      <c r="F39" s="16" t="inlineStr">
        <is>
          <t>Done</t>
        </is>
      </c>
      <c r="G39" s="16">
        <f>COUNTIF('eUtthan Admin'!$B:$B,$A39)</f>
        <v/>
      </c>
      <c r="H39" s="16" t="n"/>
    </row>
    <row r="40">
      <c r="A40" s="16" t="inlineStr">
        <is>
          <t>Admin / Manage User</t>
        </is>
      </c>
      <c r="B40" s="16" t="inlineStr">
        <is>
          <t>Admin</t>
        </is>
      </c>
      <c r="C40" s="16" t="inlineStr">
        <is>
          <t>https://www.figma.com/design/gH2vQ62cfg4677YKWuOpLc/MoSJE-Portal--Handoff-?node-id=4226-43533</t>
        </is>
      </c>
      <c r="D40" s="16" t="inlineStr">
        <is>
          <t>Yes</t>
        </is>
      </c>
      <c r="E40" s="16" t="inlineStr">
        <is>
          <t>Yes</t>
        </is>
      </c>
      <c r="F40" s="16" t="inlineStr">
        <is>
          <t>Done</t>
        </is>
      </c>
      <c r="G40" s="16">
        <f>COUNTIF('eUtthan Admin'!$B:$B,$A40)</f>
        <v/>
      </c>
      <c r="H40" s="16" t="n"/>
    </row>
    <row r="41">
      <c r="A41" s="16" t="inlineStr">
        <is>
          <t>Admin / Manage User / Add User</t>
        </is>
      </c>
      <c r="B41" s="16" t="inlineStr">
        <is>
          <t>Admin</t>
        </is>
      </c>
      <c r="C41" s="16" t="inlineStr">
        <is>
          <t>https://www.figma.com/design/gH2vQ62cfg4677YKWuOpLc/MoSJE-Portal--Handoff-?node-id=4226-44437</t>
        </is>
      </c>
      <c r="D41" s="16" t="inlineStr">
        <is>
          <t>Yes</t>
        </is>
      </c>
      <c r="E41" s="16" t="n"/>
      <c r="F41" s="16" t="inlineStr">
        <is>
          <t>Not Started</t>
        </is>
      </c>
      <c r="G41" s="16">
        <f>COUNTIF('eUtthan Admin'!$B:$B,$A41)</f>
        <v/>
      </c>
      <c r="H41" s="16" t="n"/>
    </row>
    <row r="42">
      <c r="A42" s="16" t="inlineStr">
        <is>
          <t>Login</t>
        </is>
      </c>
      <c r="B42" s="16" t="inlineStr">
        <is>
          <t>Admin</t>
        </is>
      </c>
      <c r="C42" s="16" t="inlineStr">
        <is>
          <t>— (no design)</t>
        </is>
      </c>
      <c r="D42" s="16" t="inlineStr">
        <is>
          <t>No</t>
        </is>
      </c>
      <c r="E42" s="16" t="n"/>
      <c r="F42" s="16" t="inlineStr">
        <is>
          <t>Not Started</t>
        </is>
      </c>
      <c r="G42" s="16">
        <f>COUNTIF('eUtthan Admin'!$B:$B,$A42)</f>
        <v/>
      </c>
      <c r="H42" s="16" t="n"/>
    </row>
    <row r="43">
      <c r="A43" s="16" t="inlineStr">
        <is>
          <t>Role Management</t>
        </is>
      </c>
      <c r="B43" s="16" t="inlineStr">
        <is>
          <t>Admin</t>
        </is>
      </c>
      <c r="C43" s="16" t="inlineStr">
        <is>
          <t>— (no design)</t>
        </is>
      </c>
      <c r="D43" s="16" t="inlineStr">
        <is>
          <t>No</t>
        </is>
      </c>
      <c r="E43" s="16" t="n"/>
      <c r="F43" s="16" t="inlineStr">
        <is>
          <t>Not Started</t>
        </is>
      </c>
      <c r="G43" s="16">
        <f>COUNTIF('eUtthan Admin'!$B:$B,$A43)</f>
        <v/>
      </c>
      <c r="H43" s="16" t="n"/>
    </row>
    <row r="44">
      <c r="A44" s="16" t="inlineStr">
        <is>
          <t>PFMS Logs</t>
        </is>
      </c>
      <c r="B44" s="16" t="inlineStr">
        <is>
          <t>Admin</t>
        </is>
      </c>
      <c r="C44" s="16" t="inlineStr">
        <is>
          <t>— (no design)</t>
        </is>
      </c>
      <c r="D44" s="16" t="inlineStr">
        <is>
          <t>No</t>
        </is>
      </c>
      <c r="E44" s="16" t="n"/>
      <c r="F44" s="16" t="inlineStr">
        <is>
          <t>Not Started</t>
        </is>
      </c>
      <c r="G44" s="16">
        <f>COUNTIF('eUtthan Admin'!$B:$B,$A44)</f>
        <v/>
      </c>
      <c r="H44" s="16" t="n"/>
    </row>
    <row r="45">
      <c r="A45" s="16" t="inlineStr">
        <is>
          <t>Reports / Financial Summary</t>
        </is>
      </c>
      <c r="B45" s="16" t="inlineStr">
        <is>
          <t>Admin</t>
        </is>
      </c>
      <c r="C45" s="16" t="inlineStr">
        <is>
          <t>— (no design)</t>
        </is>
      </c>
      <c r="D45" s="16" t="inlineStr">
        <is>
          <t>No</t>
        </is>
      </c>
      <c r="E45" s="16" t="n"/>
      <c r="F45" s="16" t="inlineStr">
        <is>
          <t>Not Started</t>
        </is>
      </c>
      <c r="G45" s="16">
        <f>COUNTIF('eUtthan Admin'!$B:$B,$A45)</f>
        <v/>
      </c>
      <c r="H45" s="16" t="n"/>
    </row>
    <row r="46">
      <c r="A46" s="16" t="inlineStr">
        <is>
          <t>Reports / Statement 10A</t>
        </is>
      </c>
      <c r="B46" s="16" t="inlineStr">
        <is>
          <t>Admin</t>
        </is>
      </c>
      <c r="C46" s="16" t="inlineStr">
        <is>
          <t>— (no design)</t>
        </is>
      </c>
      <c r="D46" s="16" t="inlineStr">
        <is>
          <t>No</t>
        </is>
      </c>
      <c r="E46" s="16" t="n"/>
      <c r="F46" s="16" t="inlineStr">
        <is>
          <t>Not Started</t>
        </is>
      </c>
      <c r="G46" s="16">
        <f>COUNTIF('eUtthan Admin'!$B:$B,$A46)</f>
        <v/>
      </c>
      <c r="H46" s="16" t="n"/>
    </row>
  </sheetData>
  <autoFilter ref="A1:H1"/>
  <dataValidations count="2">
    <dataValidation sqref="D2:E46" showDropDown="0" showInputMessage="0" showErrorMessage="0" allowBlank="1" type="list">
      <formula1>"Yes,No,Partial"</formula1>
    </dataValidation>
    <dataValidation sqref="F2:F46" showDropDown="0" showInputMessage="0" showErrorMessage="0" allowBlank="1" type="list">
      <formula1>"Not Started,In Progress,Done,Blocked"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2026-06-08T11:38:43Z</dcterms:created>
  <dcterms:modified xmlns:dcterms="http://purl.org/dc/terms/" xmlns:xsi="http://www.w3.org/2001/XMLSchema-instance" xsi:type="dcterms:W3CDTF">2026-06-09T07:53:19Z</dcterms:modified>
</cp:coreProperties>
</file>