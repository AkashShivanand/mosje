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MoSJE Website" sheetId="8" state="visible" r:id="rId8"/>
    <sheet xmlns:r="http://schemas.openxmlformats.org/officeDocument/2006/relationships" name="NHAPOA" sheetId="9" state="visible" r:id="rId9"/>
    <sheet xmlns:r="http://schemas.openxmlformats.org/officeDocument/2006/relationships" name="Coverage – NHAPOA" sheetId="10" state="visible" r:id="rId10"/>
    <sheet xmlns:r="http://schemas.openxmlformats.org/officeDocument/2006/relationships" name="TG" sheetId="11" state="visible" r:id="rId11"/>
    <sheet xmlns:r="http://schemas.openxmlformats.org/officeDocument/2006/relationships" name="Coverage – TG" sheetId="12" state="visible" r:id="rId12"/>
    <sheet xmlns:r="http://schemas.openxmlformats.org/officeDocument/2006/relationships" name="Coverage – eUtthan" sheetId="13" state="visible" r:id="rId13"/>
    <sheet xmlns:r="http://schemas.openxmlformats.org/officeDocument/2006/relationships" name="Coverage – MoSJE Website" sheetId="14" state="visible" r:id="rId14"/>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'NMBA'!$A$1:$M$53</definedName>
    <definedName name="_xlnm._FilterDatabase" localSheetId="6" hidden="1">'Coverage – NMBA'!$A$1:$H$68</definedName>
    <definedName name="_xlnm._FilterDatabase" localSheetId="7" hidden="1">'MoSJE Website'!$A$1:$M$342</definedName>
    <definedName name="_xlnm._FilterDatabase" localSheetId="8" hidden="1">'NHAPOA'!$A$1:$M$152</definedName>
    <definedName name="_xlnm._FilterDatabase" localSheetId="9" hidden="1">'Coverage – NHAPOA'!$A$1:$H$81</definedName>
    <definedName name="_xlnm._FilterDatabase" localSheetId="10" hidden="1">'TG'!$A$1:$M$34</definedName>
    <definedName name="_xlnm._FilterDatabase" localSheetId="11" hidden="1">'Coverage – TG'!$A$1:$H$30</definedName>
    <definedName name="_xlnm._FilterDatabase" localSheetId="12" hidden="1">'Coverage – eUtthan'!$A$1:$H$1</definedName>
    <definedName name="_xlnm._FilterDatabase" localSheetId="13" hidden="1">'Coverage – MoSJE Website'!$A$1:$H$121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2" fillId="9" borderId="0" pivotButton="0" quotePrefix="0" xfId="0"/>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1.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row r="10">
      <c r="A10" t="inlineStr">
        <is>
          <t>MoSJE Website</t>
        </is>
      </c>
      <c r="B10">
        <f>COUNTA('MoSJE Website'!$A$2:$A$999)</f>
        <v/>
      </c>
      <c r="C10">
        <f>COUNTIF('MoSJE Website'!$D:$D,"Blocker")</f>
        <v/>
      </c>
      <c r="D10">
        <f>COUNTIF('MoSJE Website'!$D:$D,"Major")</f>
        <v/>
      </c>
      <c r="E10">
        <f>COUNTIF('MoSJE Website'!$D:$D,"Minor")</f>
        <v/>
      </c>
      <c r="F10">
        <f>COUNTIF('MoSJE Website'!$D:$D,"Nit")</f>
        <v/>
      </c>
      <c r="G10">
        <f>COUNTIF('MoSJE Website'!$I:$I,"Open")</f>
        <v/>
      </c>
      <c r="H10">
        <f>COUNTIF('MoSJE Website'!$I:$I,"Fixed")</f>
        <v/>
      </c>
      <c r="I10">
        <f>COUNTIF('MoSJE Website'!$I:$I,"Verified")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NMB-GLOBAL-035 (the extra wrapper), NMB-GLOBAL-036 (a column too narrow for its date) and NMB-SCREEN-030 (action order). The cell padding alone accounts for most of the height difference, so fixing it fixes -009 across the portal.</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NMB-GLOBAL-051</t>
        </is>
      </c>
      <c r="B14" s="28" t="inlineStr">
        <is>
          <t>Global · Colours are typed as literals rather than bound to tokens, so the build has its own palette</t>
        </is>
      </c>
      <c r="C14" s="28" t="inlineStr">
        <is>
          <t>Color &amp; Token</t>
        </is>
      </c>
      <c r="D14" s="28" t="inlineStr">
        <is>
          <t>Major</t>
        </is>
      </c>
      <c r="E14" s="28" t="inlineStr">
        <is>
          <t>Figma: The design works from a published token contract of 33 colours - #003366, #1F2937, #E5E7EB, #D1D5DB and the rest - and a form field's edge is the contract's #D1D5DB.  →  Live: The build paints 110 distinct colours across the 51 captured screens. Twenty-seven of them are design values; THIRTY-FIVE more sit within 24 points of one, which is close enough to look right in review and far enough to be a different literal in the code. The field anchored here is edged #CED4DA against the contract's #D1D5DB - three points apart, on 16 fields across four screens. The largest is #9CA3AF where the design frames use #94A3B8, on 1,471 elements across all 51 screens; then #0A2C53 for #002244 on 201, #D64539 for #EC5042 on 124 across seven screens, #DBEAFE for #D2E3FC on 100, and #217A39 for #2E7D32 on 88. Read from the DOM on the live build, 2026-09-12; the full table is docs/audit/nmba-colour-drift.md.</t>
        </is>
      </c>
      <c r="F14" s="28" t="inlineStr">
        <is>
          <t>This is one fix, not thirty-five: bind every colour to its token instead of typing the value. Six findings in this report each name a single instance - the KPI tint (NMB-GLOBAL-012), the activity card edge (NMB-SCREEN-046), the facility card button (NMB-SCREEN-019), the facility chip (NMB-SCREEN-021), the sheet border (NMB-SCREEN-042) and the status labels (NMB-SCREEN-050) - and each of those is this same defect seen once. Correcting them one at a time leaves the next thirty-five to be found by eye. A three-point difference cannot be reviewed reliably by anyone, which is exactly why the values have to come from the tokens.</t>
        </is>
      </c>
      <c r="G14" s="28" t="inlineStr">
        <is>
          <t>https://www.figma.com/design/evmNmlK8g4VYwJVu2FwSGV/MoSJE-Portal--Handoff-?node-id=52066-127999</t>
        </is>
      </c>
      <c r="H14" s="28" t="inlineStr"/>
      <c r="I14" s="28" t="inlineStr">
        <is>
          <t>Open</t>
        </is>
      </c>
      <c r="J14" s="28" t="n"/>
      <c r="K14" s="28" t="n"/>
      <c r="L14" s="28" t="inlineStr">
        <is>
          <t>env: dev  ·  Scope: Global — fix once, lands everywhere</t>
        </is>
      </c>
      <c r="M14" s="28" t="inlineStr">
        <is>
          <t>Global</t>
        </is>
      </c>
    </row>
    <row r="15">
      <c r="A15" s="27" t="inlineStr">
        <is>
          <t>NMB-GLOBAL-007</t>
        </is>
      </c>
      <c r="B15" s="28" t="inlineStr">
        <is>
          <t>Global · Dropdowns are the browser's own select, not the design system's</t>
        </is>
      </c>
      <c r="C15" s="28" t="inlineStr">
        <is>
          <t>Components &amp; States</t>
        </is>
      </c>
      <c r="D15" s="28" t="inlineStr">
        <is>
          <t>Minor</t>
        </is>
      </c>
      <c r="E15"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5" s="28" t="inlineStr">
        <is>
          <t>Skin these with the design-system select so their border, radius, type and chevron match the rest of the interface.</t>
        </is>
      </c>
      <c r="G15" s="28" t="inlineStr">
        <is>
          <t>https://www.figma.com/design/evmNmlK8g4VYwJVu2FwSGV/MoSJE-Portal--Handoff-?node-id=52092-136433</t>
        </is>
      </c>
      <c r="H15" s="28" t="inlineStr">
        <is>
          <t>https://nmba-admin-dev.mosje.in/napddr/state-committee</t>
        </is>
      </c>
      <c r="I15" s="28" t="inlineStr">
        <is>
          <t>Open</t>
        </is>
      </c>
      <c r="J15" s="28" t="n"/>
      <c r="K15" s="28" t="n"/>
      <c r="L15" s="28" t="inlineStr">
        <is>
          <t>env: dev  ·  Scope: Global — fix once, lands everywhere</t>
        </is>
      </c>
      <c r="M15" s="28" t="inlineStr">
        <is>
          <t>Global</t>
        </is>
      </c>
    </row>
    <row r="16">
      <c r="A16" s="27" t="inlineStr">
        <is>
          <t>NMB-GLOBAL-008</t>
        </is>
      </c>
      <c r="B16" s="28" t="inlineStr">
        <is>
          <t>Global · The search magnifier is missing, or sits on the wrong side</t>
        </is>
      </c>
      <c r="C16" s="28" t="inlineStr">
        <is>
          <t>Content &amp; Iconography</t>
        </is>
      </c>
      <c r="D16" s="28" t="inlineStr">
        <is>
          <t>Minor</t>
        </is>
      </c>
      <c r="E16"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6" s="28" t="inlineStr">
        <is>
          <t>Put the magnifier inside the left edge of every search field, as the design does.</t>
        </is>
      </c>
      <c r="G16" s="28" t="inlineStr">
        <is>
          <t>https://www.figma.com/design/evmNmlK8g4VYwJVu2FwSGV/MoSJE-Portal--Handoff-?node-id=52070-443098</t>
        </is>
      </c>
      <c r="H16" s="28" t="inlineStr">
        <is>
          <t>https://nmba-admin-dev.mosje.in/important-documents</t>
        </is>
      </c>
      <c r="I16" s="28" t="inlineStr">
        <is>
          <t>Open</t>
        </is>
      </c>
      <c r="J16" s="28" t="n"/>
      <c r="K16" s="28" t="n"/>
      <c r="L16" s="28" t="inlineStr">
        <is>
          <t>env: dev  ·  Scope: Global — fix once, lands everywhere</t>
        </is>
      </c>
      <c r="M16" s="28" t="inlineStr">
        <is>
          <t>Global</t>
        </is>
      </c>
    </row>
    <row r="17">
      <c r="A17" s="27" t="inlineStr">
        <is>
          <t>NMB-GLOBAL-010</t>
        </is>
      </c>
      <c r="B17" s="28" t="inlineStr">
        <is>
          <t>Global · Table cell text is lighter than the design</t>
        </is>
      </c>
      <c r="C17" s="28" t="inlineStr">
        <is>
          <t>Color &amp; Token</t>
        </is>
      </c>
      <c r="D17" s="28" t="inlineStr">
        <is>
          <t>Minor</t>
        </is>
      </c>
      <c r="E17" s="28" t="inlineStr">
        <is>
          <t>Figma: Cell values are #1F2937, the same near-black the rest of the body copy uses.  →  Live: Cell values are #4B5563. It still clears AA, but it makes the data quieter than its own column headers, which the design does not do.</t>
        </is>
      </c>
      <c r="F17" s="28" t="inlineStr">
        <is>
          <t>Set cell values to #1F2937 and leave #4B5563 for secondary lines inside a cell.</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NMB-GLOBAL-011</t>
        </is>
      </c>
      <c r="B18" s="28" t="inlineStr">
        <is>
          <t>Global · The page title is a lighter grey than the design</t>
        </is>
      </c>
      <c r="C18" s="28" t="inlineStr">
        <is>
          <t>Color &amp; Token</t>
        </is>
      </c>
      <c r="D18" s="28" t="inlineStr">
        <is>
          <t>Minor</t>
        </is>
      </c>
      <c r="E18" s="28" t="inlineStr">
        <is>
          <t>Figma: The page title is 24px SemiBold #1F2937.  →  Live: The page title is 24px 600 #374151 - the right size and weight, a lighter colour.</t>
        </is>
      </c>
      <c r="F18" s="28" t="inlineStr">
        <is>
          <t>Set the page title to #1F2937.</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NMB-GLOBAL-012</t>
        </is>
      </c>
      <c r="B19" s="28" t="inlineStr">
        <is>
          <t>Global · KPI icon tiles use a pink tint that is not a token</t>
        </is>
      </c>
      <c r="C19" s="28" t="inlineStr">
        <is>
          <t>Color &amp; Token</t>
        </is>
      </c>
      <c r="D19" s="28" t="inlineStr">
        <is>
          <t>Minor</t>
        </is>
      </c>
      <c r="E19"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9" s="28" t="inlineStr">
        <is>
          <t>Draw the tile at 32x32, radius 10, filled #E5EFF9. Reserve a coloured tint for a metric that genuinely signals a state, and take the tint from the token set when you do.</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NMB-GLOBAL-013</t>
        </is>
      </c>
      <c r="B20" s="28" t="inlineStr">
        <is>
          <t>Global · The KPI value is 30px, which is not on the type scale</t>
        </is>
      </c>
      <c r="C20" s="28" t="inlineStr">
        <is>
          <t>Typography</t>
        </is>
      </c>
      <c r="D20" s="28" t="inlineStr">
        <is>
          <t>Minor</t>
        </is>
      </c>
      <c r="E20" s="28" t="inlineStr">
        <is>
          <t>Figma: The KPI value is 32px SemiBold #003366 - the top step of the published scale.  →  Live: The KPI value is 30px. The scale runs 24, 28, 32; 30 is not a step on it, so this number is the only type size in the portal that no token can express.</t>
        </is>
      </c>
      <c r="F20" s="28" t="inlineStr">
        <is>
          <t>Set the KPI value to 32px.</t>
        </is>
      </c>
      <c r="G20" s="28" t="inlineStr">
        <is>
          <t>https://www.figma.com/design/evmNmlK8g4VYwJVu2FwSGV/MoSJE-Portal--Handoff-?node-id=2309-14405</t>
        </is>
      </c>
      <c r="H20" s="28" t="inlineStr">
        <is>
          <t>https://nmba-admin-dev.mosje.in/dashboard</t>
        </is>
      </c>
      <c r="I20" s="28" t="inlineStr">
        <is>
          <t>Open</t>
        </is>
      </c>
      <c r="J20" s="28" t="n"/>
      <c r="K20" s="28" t="n"/>
      <c r="L20" s="28" t="inlineStr">
        <is>
          <t>env: dev  ·  Scope: Global — fix once, lands everywhere</t>
        </is>
      </c>
      <c r="M20" s="28" t="inlineStr">
        <is>
          <t>Global</t>
        </is>
      </c>
    </row>
    <row r="21">
      <c r="A21" s="27" t="inlineStr">
        <is>
          <t>NMB-GLOBAL-033</t>
        </is>
      </c>
      <c r="B21" s="28" t="inlineStr">
        <is>
          <t>Global · Export is two buttons where the design has one</t>
        </is>
      </c>
      <c r="C21" s="28" t="inlineStr">
        <is>
          <t>Components &amp; States</t>
        </is>
      </c>
      <c r="D21" s="28" t="inlineStr">
        <is>
          <t>Minor</t>
        </is>
      </c>
      <c r="E21"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1" s="28" t="inlineStr">
        <is>
          <t>Collapse the two into the design's single 'Export' button and put the formats in the menu the design already draws for them.</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NMB-GLOBAL-034</t>
        </is>
      </c>
      <c r="B22" s="28" t="inlineStr">
        <is>
          <t>Global · Every page number is boxed, so the current page has no mark</t>
        </is>
      </c>
      <c r="C22" s="28" t="inlineStr">
        <is>
          <t>Components &amp; States</t>
        </is>
      </c>
      <c r="D22" s="28" t="inlineStr">
        <is>
          <t>Minor</t>
        </is>
      </c>
      <c r="E22"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2"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NMB-GLOBAL-035</t>
        </is>
      </c>
      <c r="B23" s="28" t="inlineStr">
        <is>
          <t>Global · The table sits inside an extra white container</t>
        </is>
      </c>
      <c r="C23" s="28" t="inlineStr">
        <is>
          <t>Layout &amp; Spacing</t>
        </is>
      </c>
      <c r="D23" s="28" t="inlineStr">
        <is>
          <t>Minor</t>
        </is>
      </c>
      <c r="E23"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3" s="28" t="inlineStr">
        <is>
          <t>Drop the outer panel and let the search row and the table sit on the page ground as the design does. Nothing else needs to move: both inner cards already carry their own border and radius.</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NMB-GLOBAL-036</t>
        </is>
      </c>
      <c r="B24" s="28" t="inlineStr">
        <is>
          <t>Global · A date breaks across two lines in a narrow table column</t>
        </is>
      </c>
      <c r="C24" s="28" t="inlineStr">
        <is>
          <t>Layout &amp; Spacing</t>
        </is>
      </c>
      <c r="D24" s="28" t="inlineStr">
        <is>
          <t>Minor</t>
        </is>
      </c>
      <c r="E24"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4" s="28" t="inlineStr">
        <is>
          <t>Give the date column enough width for its longest value - 10 characters at 14px needs about 105px inside its padding - or stop the value wrapping. The same applies to the header above it, which breaks as 'Formed' / 'on'.</t>
        </is>
      </c>
      <c r="G24" s="28" t="inlineStr">
        <is>
          <t>https://www.figma.com/design/evmNmlK8g4VYwJVu2FwSGV/MoSJE-Portal--Handoff-?node-id=52095-142880</t>
        </is>
      </c>
      <c r="H24" s="28" t="inlineStr">
        <is>
          <t>https://nmba-admin-dev.mosje.in/napddr/committee-reports</t>
        </is>
      </c>
      <c r="I24" s="28" t="inlineStr">
        <is>
          <t>Open</t>
        </is>
      </c>
      <c r="J24" s="28" t="n"/>
      <c r="K24" s="28" t="n"/>
      <c r="L24" s="28" t="inlineStr">
        <is>
          <t>env: dev  ·  Scope: Global — fix once, lands everywhere</t>
        </is>
      </c>
      <c r="M24" s="28" t="inlineStr">
        <is>
          <t>Global</t>
        </is>
      </c>
    </row>
    <row r="25">
      <c r="A25" s="27" t="inlineStr">
        <is>
          <t>NMB-GLOBAL-037</t>
        </is>
      </c>
      <c r="B25" s="28" t="inlineStr">
        <is>
          <t>Global · The account identity reverses its layout</t>
        </is>
      </c>
      <c r="C25" s="28" t="inlineStr">
        <is>
          <t>Layout &amp; Spacing</t>
        </is>
      </c>
      <c r="D25" s="28" t="inlineStr">
        <is>
          <t>Minor</t>
        </is>
      </c>
      <c r="E25"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5" s="28" t="inlineStr">
        <is>
          <t>Put the tile back on the right of the name and role, range the two text lines right, and set the role as the design does - no brackets, the quieter of the two weights.</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NMB-GLOBAL-038</t>
        </is>
      </c>
      <c r="B26" s="28" t="inlineStr">
        <is>
          <t>Global · The admin sidebar sits on a 40px rhythm where the design uses 60px</t>
        </is>
      </c>
      <c r="C26" s="28" t="inlineStr">
        <is>
          <t>Layout &amp; Spacing</t>
        </is>
      </c>
      <c r="D26" s="28" t="inlineStr">
        <is>
          <t>Minor</t>
        </is>
      </c>
      <c r="E26"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6" s="28" t="inlineStr">
        <is>
          <t>Restore the design's 60px item rhythm. This is the third thing the admin sidebar changes from the design - see also NMB-GLOBAL-001 for the label colour and NMB-GLOBAL-003 for the missing icons; all three need to land together for the sidebar to match.</t>
        </is>
      </c>
      <c r="G26" s="28" t="inlineStr">
        <is>
          <t>https://www.figma.com/design/evmNmlK8g4VYwJVu2FwSGV/MoSJE-Portal--Handoff-?node-id=52061-126900</t>
        </is>
      </c>
      <c r="H26" s="28" t="inlineStr">
        <is>
          <t>https://nmba-admin-dev.mosje.in/user-management</t>
        </is>
      </c>
      <c r="I26" s="28" t="inlineStr">
        <is>
          <t>Open</t>
        </is>
      </c>
      <c r="J26" s="28" t="n"/>
      <c r="K26" s="28" t="n"/>
      <c r="L26" s="28" t="inlineStr">
        <is>
          <t>env: dev  ·  Scope: Global — fix once, lands everywhere</t>
        </is>
      </c>
      <c r="M26" s="28" t="inlineStr">
        <is>
          <t>Global</t>
        </is>
      </c>
    </row>
    <row r="27">
      <c r="A27" s="27" t="inlineStr">
        <is>
          <t>NMB-GLOBAL-014</t>
        </is>
      </c>
      <c r="B27" s="28" t="inlineStr">
        <is>
          <t>Global · The KPI label is a lighter grey than the design</t>
        </is>
      </c>
      <c r="C27" s="28" t="inlineStr">
        <is>
          <t>Color &amp; Token</t>
        </is>
      </c>
      <c r="D27" s="28" t="inlineStr">
        <is>
          <t>Nit</t>
        </is>
      </c>
      <c r="E27" s="28" t="inlineStr">
        <is>
          <t>Figma: The KPI label is 14px SemiBold #374151.  →  Live: The KPI label is 14px 600 #6B7280.</t>
        </is>
      </c>
      <c r="F27" s="28" t="inlineStr">
        <is>
          <t>Set the KPI label to #374151.</t>
        </is>
      </c>
      <c r="G27" s="28" t="inlineStr">
        <is>
          <t>https://www.figma.com/design/evmNmlK8g4VYwJVu2FwSGV/MoSJE-Portal--Handoff-?node-id=2309-14405</t>
        </is>
      </c>
      <c r="H27" s="28" t="inlineStr">
        <is>
          <t>https://nmba-admin-dev.mosje.in/dashboard</t>
        </is>
      </c>
      <c r="I27" s="28" t="inlineStr">
        <is>
          <t>Open</t>
        </is>
      </c>
      <c r="J27" s="28" t="n"/>
      <c r="K27" s="28" t="n"/>
      <c r="L27" s="28" t="inlineStr">
        <is>
          <t>env: dev  ·  Scope: Global — fix once, lands everywhere</t>
        </is>
      </c>
      <c r="M27" s="28" t="inlineStr">
        <is>
          <t>Global</t>
        </is>
      </c>
    </row>
    <row r="28">
      <c r="A28" s="27" t="inlineStr">
        <is>
          <t>NMB-GLOBAL-015</t>
        </is>
      </c>
      <c r="B28" s="28" t="inlineStr">
        <is>
          <t>Global · The selected navigation item is a tighter pill in a heavier weight</t>
        </is>
      </c>
      <c r="C28" s="28" t="inlineStr">
        <is>
          <t>Components &amp; States</t>
        </is>
      </c>
      <c r="D28" s="28" t="inlineStr">
        <is>
          <t>Nit</t>
        </is>
      </c>
      <c r="E28"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8" s="28" t="inlineStr">
        <is>
          <t>Keep the selected label at the same weight as the rest and let the fill do the work. The pill's height and radius come right with NMB-GLOBAL-039, which fixes them for every row at once.</t>
        </is>
      </c>
      <c r="G28" s="28" t="inlineStr">
        <is>
          <t>https://www.figma.com/design/evmNmlK8g4VYwJVu2FwSGV/MoSJE-Portal--Handoff-?node-id=52061-126900</t>
        </is>
      </c>
      <c r="H28" s="28" t="inlineStr">
        <is>
          <t>https://nmba-admin-dev.mosje.in/user-management</t>
        </is>
      </c>
      <c r="I28" s="28" t="inlineStr">
        <is>
          <t>Open</t>
        </is>
      </c>
      <c r="J28" s="28" t="n"/>
      <c r="K28" s="28" t="n"/>
      <c r="L28" s="28" t="inlineStr">
        <is>
          <t>env: dev  ·  Scope: Global — fix once, lands everywhere</t>
        </is>
      </c>
      <c r="M28" s="28" t="inlineStr">
        <is>
          <t>Global</t>
        </is>
      </c>
    </row>
    <row r="29">
      <c r="A29" s="27" t="inlineStr">
        <is>
          <t>NMB-GLOBAL-031</t>
        </is>
      </c>
      <c r="B29" s="28" t="inlineStr">
        <is>
          <t>Global · Use the relevant filter options and follow the design</t>
        </is>
      </c>
      <c r="C29" s="28" t="inlineStr">
        <is>
          <t>Components &amp; States</t>
        </is>
      </c>
      <c r="D29" s="28" t="inlineStr">
        <is>
          <t>Nit</t>
        </is>
      </c>
      <c r="E29" s="28" t="inlineStr">
        <is>
          <t>Figma: Several screens draw more filters than the build offers - the citizen dashboard's State and District selects, the admin list screens' 'All States/UTs', the officer dashboard's four-filter row.  →  Live: Raised once, as a note: show the filters each screen actually needs and style them as the design does. It is deliberately not repeated as a finding on each screen.</t>
        </is>
      </c>
      <c r="F29" s="28" t="inlineStr">
        <is>
          <t>Show the filters each screen actually needs and style them as the design does.</t>
        </is>
      </c>
      <c r="G29" s="28" t="n"/>
      <c r="H29" s="28" t="n"/>
      <c r="I29" s="28" t="inlineStr">
        <is>
          <t>Open</t>
        </is>
      </c>
      <c r="J29" s="28" t="n"/>
      <c r="K29" s="28" t="n"/>
      <c r="L29" s="28" t="inlineStr">
        <is>
          <t>env: dev  ·  Scope: Global — fix once, lands everywhere</t>
        </is>
      </c>
      <c r="M29" s="28" t="inlineStr">
        <is>
          <t>Global</t>
        </is>
      </c>
    </row>
    <row r="30">
      <c r="A30" s="27" t="inlineStr">
        <is>
          <t>NMB-SCREEN-032</t>
        </is>
      </c>
      <c r="B30" s="28" t="inlineStr">
        <is>
          <t>Citizen - About Us</t>
        </is>
      </c>
      <c r="C30" s="28" t="inlineStr">
        <is>
          <t>Components &amp; States</t>
        </is>
      </c>
      <c r="D30" s="28" t="inlineStr">
        <is>
          <t>Major</t>
        </is>
      </c>
      <c r="E30"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30"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30" s="28" t="n"/>
      <c r="H30" s="28" t="inlineStr">
        <is>
          <t>https://nmba-user-dev.mosje.in/about-us</t>
        </is>
      </c>
      <c r="I30" s="28" t="inlineStr">
        <is>
          <t>Open</t>
        </is>
      </c>
      <c r="J30" s="28" t="n"/>
      <c r="K30" s="28" t="n"/>
      <c r="L30" s="28" t="inlineStr">
        <is>
          <t>env: dev</t>
        </is>
      </c>
      <c r="M30" s="28" t="inlineStr">
        <is>
          <t>Screen</t>
        </is>
      </c>
    </row>
    <row r="31">
      <c r="A31" s="27" t="inlineStr">
        <is>
          <t>NMB-SCREEN-018</t>
        </is>
      </c>
      <c r="B31" s="28" t="inlineStr">
        <is>
          <t>Citizen - Activity Snapshots</t>
        </is>
      </c>
      <c r="C31" s="28" t="inlineStr">
        <is>
          <t>Components &amp; States</t>
        </is>
      </c>
      <c r="D31" s="28" t="inlineStr">
        <is>
          <t>Major</t>
        </is>
      </c>
      <c r="E31"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1" s="28" t="inlineStr">
        <is>
          <t>Render the activity title and its description between the chip and the location line, at the sizes the design specifies.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NMB-SCREEN-046</t>
        </is>
      </c>
      <c r="B32" s="28" t="inlineStr">
        <is>
          <t>Citizen - Activity Snapshots</t>
        </is>
      </c>
      <c r="C32" s="28" t="inlineStr">
        <is>
          <t>Layout &amp; Spacing</t>
        </is>
      </c>
      <c r="D32" s="28" t="inlineStr">
        <is>
          <t>Major</t>
        </is>
      </c>
      <c r="E32"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2"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2" s="28" t="inlineStr">
        <is>
          <t>https://www.figma.com/design/evmNmlK8g4VYwJVu2FwSGV/MoSJE-Portal--Handoff-?node-id=9081-58966</t>
        </is>
      </c>
      <c r="H32" s="28" t="inlineStr">
        <is>
          <t>https://nmba-user-dev.mosje.in/activities</t>
        </is>
      </c>
      <c r="I32" s="28" t="inlineStr">
        <is>
          <t>Open</t>
        </is>
      </c>
      <c r="J32" s="28" t="n"/>
      <c r="K32" s="28" t="n"/>
      <c r="L32" s="28" t="inlineStr">
        <is>
          <t>env: dev</t>
        </is>
      </c>
      <c r="M32" s="28" t="inlineStr">
        <is>
          <t>Screen</t>
        </is>
      </c>
    </row>
    <row r="33">
      <c r="A33" s="27" t="inlineStr">
        <is>
          <t>NMB-SCREEN-019</t>
        </is>
      </c>
      <c r="B33" s="28" t="inlineStr">
        <is>
          <t>Citizen - Help Centres &amp; Facilities</t>
        </is>
      </c>
      <c r="C33" s="28" t="inlineStr">
        <is>
          <t>Components &amp; States</t>
        </is>
      </c>
      <c r="D33" s="28" t="inlineStr">
        <is>
          <t>Major</t>
        </is>
      </c>
      <c r="E33"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3" s="28" t="inlineStr">
        <is>
          <t>Give the phone number back its button beside 'Get Directions', outlined #003366 as the design draws it, and restore the service tag pills above the pair.</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NMB-SCREEN-048</t>
        </is>
      </c>
      <c r="B34" s="28" t="inlineStr">
        <is>
          <t>Citizen - Help Centres &amp; Facilities</t>
        </is>
      </c>
      <c r="C34" s="28" t="inlineStr">
        <is>
          <t>Layout &amp; Spacing</t>
        </is>
      </c>
      <c r="D34" s="28" t="inlineStr">
        <is>
          <t>Major</t>
        </is>
      </c>
      <c r="E34"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4" s="28" t="inlineStr">
        <is>
          <t>Give the map the design's 640px column and its 768px height. With NMB-SCREEN-028's zoom fixed as well, a reader lands on their own district at a usable size instead of on south Asia in a small panel.</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NMB-SCREEN-020</t>
        </is>
      </c>
      <c r="B35" s="28" t="inlineStr">
        <is>
          <t>Citizen - Help Centres &amp; Facilities</t>
        </is>
      </c>
      <c r="C35" s="28" t="inlineStr">
        <is>
          <t>Typography</t>
        </is>
      </c>
      <c r="D35" s="28" t="inlineStr">
        <is>
          <t>Minor</t>
        </is>
      </c>
      <c r="E35"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5"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NMB-SCREEN-021</t>
        </is>
      </c>
      <c r="B36" s="28" t="inlineStr">
        <is>
          <t>Citizen - Help Centres &amp; Facilities</t>
        </is>
      </c>
      <c r="C36" s="28" t="inlineStr">
        <is>
          <t>Color &amp; Token</t>
        </is>
      </c>
      <c r="D36" s="28" t="inlineStr">
        <is>
          <t>Minor</t>
        </is>
      </c>
      <c r="E36"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6"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NMB-SCREEN-028</t>
        </is>
      </c>
      <c r="B37" s="28" t="inlineStr">
        <is>
          <t>Citizen - Help Centres &amp; Facilities</t>
        </is>
      </c>
      <c r="C37" s="28" t="inlineStr">
        <is>
          <t>Layout &amp; Spacing</t>
        </is>
      </c>
      <c r="D37" s="28" t="inlineStr">
        <is>
          <t>Nit</t>
        </is>
      </c>
      <c r="E37"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7" s="28" t="inlineStr">
        <is>
          <t>Frame the map on the results being listed - the reader's district, or the search area - rather than on the whole set. Raised as a confirm-if-intended: if a national overview is the deliberate default, say so and the design should show it that way.</t>
        </is>
      </c>
      <c r="G37" s="28" t="inlineStr">
        <is>
          <t>https://www.figma.com/design/evmNmlK8g4VYwJVu2FwSGV/MoSJE-Portal--Handoff-?node-id=9081-58585</t>
        </is>
      </c>
      <c r="H37" s="28" t="inlineStr">
        <is>
          <t>https://nmba-user-dev.mosje.in/facilities</t>
        </is>
      </c>
      <c r="I37" s="28" t="inlineStr">
        <is>
          <t>Open</t>
        </is>
      </c>
      <c r="J37" s="28" t="n"/>
      <c r="K37" s="28" t="n"/>
      <c r="L37" s="28" t="inlineStr">
        <is>
          <t>env: dev</t>
        </is>
      </c>
      <c r="M37" s="28" t="inlineStr">
        <is>
          <t>Screen</t>
        </is>
      </c>
    </row>
    <row r="38">
      <c r="A38" s="27" t="inlineStr">
        <is>
          <t>NMB-SCREEN-017</t>
        </is>
      </c>
      <c r="B38" s="28" t="inlineStr">
        <is>
          <t>Citizen - Home</t>
        </is>
      </c>
      <c r="C38" s="28" t="inlineStr">
        <is>
          <t>Layout &amp; Spacing</t>
        </is>
      </c>
      <c r="D38" s="28" t="inlineStr">
        <is>
          <t>Major</t>
        </is>
      </c>
      <c r="E38"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8" s="28" t="inlineStr">
        <is>
          <t>Build the four programme-group cards as designed. If the bar chart is meant to replace them, that is a decision to take back to the design rather than a substitution to leave in place.</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NMB-SCREEN-027</t>
        </is>
      </c>
      <c r="B39" s="28" t="inlineStr">
        <is>
          <t>Citizen - Home</t>
        </is>
      </c>
      <c r="C39" s="28" t="inlineStr">
        <is>
          <t>Components &amp; States</t>
        </is>
      </c>
      <c r="D39" s="28" t="inlineStr">
        <is>
          <t>Minor</t>
        </is>
      </c>
      <c r="E39"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9"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NMB-SCREEN-047</t>
        </is>
      </c>
      <c r="B40" s="28" t="inlineStr">
        <is>
          <t>Citizen - Home</t>
        </is>
      </c>
      <c r="C40" s="28" t="inlineStr">
        <is>
          <t>Layout &amp; Spacing</t>
        </is>
      </c>
      <c r="D40" s="28" t="inlineStr">
        <is>
          <t>Minor</t>
        </is>
      </c>
      <c r="E40"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40"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NMB-SCREEN-049</t>
        </is>
      </c>
      <c r="B41" s="28" t="inlineStr">
        <is>
          <t>Citizen - Home</t>
        </is>
      </c>
      <c r="C41" s="28" t="inlineStr">
        <is>
          <t>Layout &amp; Spacing</t>
        </is>
      </c>
      <c r="D41" s="28" t="inlineStr">
        <is>
          <t>Minor</t>
        </is>
      </c>
      <c r="E41"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1"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1" s="28" t="inlineStr">
        <is>
          <t>https://www.figma.com/design/evmNmlK8g4VYwJVu2FwSGV/MoSJE-Portal--Handoff-?node-id=9081-59117</t>
        </is>
      </c>
      <c r="H41" s="28" t="inlineStr">
        <is>
          <t>https://nmba-user-dev.mosje.in/</t>
        </is>
      </c>
      <c r="I41" s="28" t="inlineStr">
        <is>
          <t>Open</t>
        </is>
      </c>
      <c r="J41" s="28" t="n"/>
      <c r="K41" s="28" t="n"/>
      <c r="L41" s="28" t="inlineStr">
        <is>
          <t>env: dev</t>
        </is>
      </c>
      <c r="M41" s="28" t="inlineStr">
        <is>
          <t>Screen</t>
        </is>
      </c>
    </row>
    <row r="42">
      <c r="A42" s="27" t="inlineStr">
        <is>
          <t>NMB-SCREEN-024</t>
        </is>
      </c>
      <c r="B42" s="28" t="inlineStr">
        <is>
          <t>Sign in</t>
        </is>
      </c>
      <c r="C42" s="28" t="inlineStr">
        <is>
          <t>Color &amp; Token</t>
        </is>
      </c>
      <c r="D42" s="28" t="inlineStr">
        <is>
          <t>Major</t>
        </is>
      </c>
      <c r="E42"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2" s="28" t="inlineStr">
        <is>
          <t>Restore the navy tint over the photograph so the white text has a predictable ground, as the design specifies.</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NMB-SCREEN-025</t>
        </is>
      </c>
      <c r="B43" s="28" t="inlineStr">
        <is>
          <t>Sign in</t>
        </is>
      </c>
      <c r="C43" s="28" t="inlineStr">
        <is>
          <t>Components &amp; States</t>
        </is>
      </c>
      <c r="D43" s="28" t="inlineStr">
        <is>
          <t>Major</t>
        </is>
      </c>
      <c r="E43"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3" s="28" t="inlineStr">
        <is>
          <t>Add a visible label above each field and keep the placeholder for the example.</t>
        </is>
      </c>
      <c r="G43" s="28" t="inlineStr">
        <is>
          <t>https://www.figma.com/design/evmNmlK8g4VYwJVu2FwSGV/MoSJE-Portal--Handoff-?node-id=9884-112146</t>
        </is>
      </c>
      <c r="H43" s="28" t="inlineStr">
        <is>
          <t>https://nmba-admin-dev.mosje.in/login</t>
        </is>
      </c>
      <c r="I43" s="28" t="inlineStr">
        <is>
          <t>Open</t>
        </is>
      </c>
      <c r="J43" s="28" t="n"/>
      <c r="K43" s="28" t="n"/>
      <c r="L43" s="28" t="inlineStr">
        <is>
          <t>env: dev</t>
        </is>
      </c>
      <c r="M43" s="28" t="inlineStr">
        <is>
          <t>Screen</t>
        </is>
      </c>
    </row>
    <row r="44">
      <c r="A44" s="27" t="inlineStr">
        <is>
          <t>NMB-SCREEN-022</t>
        </is>
      </c>
      <c r="B44" s="28" t="inlineStr">
        <is>
          <t>NAPDDR committee screens (all four)</t>
        </is>
      </c>
      <c r="C44" s="28" t="inlineStr">
        <is>
          <t>Layout &amp; Spacing</t>
        </is>
      </c>
      <c r="D44" s="28" t="inlineStr">
        <is>
          <t>Major</t>
        </is>
      </c>
      <c r="E44"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4" s="28" t="inlineStr">
        <is>
          <t>Render the breadcrumb above the title on all four committee screens.</t>
        </is>
      </c>
      <c r="G44" s="28" t="inlineStr">
        <is>
          <t>https://www.figma.com/design/evmNmlK8g4VYwJVu2FwSGV/MoSJE-Portal--Handoff-?node-id=52092-136433</t>
        </is>
      </c>
      <c r="H44" s="28" t="inlineStr">
        <is>
          <t>https://nmba-admin-dev.mosje.in/napddr/state-committee</t>
        </is>
      </c>
      <c r="I44" s="28" t="inlineStr">
        <is>
          <t>Open</t>
        </is>
      </c>
      <c r="J44" s="28" t="n"/>
      <c r="K44" s="28" t="n"/>
      <c r="L44" s="28" t="inlineStr">
        <is>
          <t>env: dev</t>
        </is>
      </c>
      <c r="M44" s="28" t="inlineStr">
        <is>
          <t>Screen</t>
        </is>
      </c>
    </row>
    <row r="45">
      <c r="A45" s="27" t="inlineStr">
        <is>
          <t>NMB-SCREEN-026</t>
        </is>
      </c>
      <c r="B45" s="28" t="inlineStr">
        <is>
          <t>Admin, State and District shells</t>
        </is>
      </c>
      <c r="C45" s="28" t="inlineStr">
        <is>
          <t>Components &amp; States</t>
        </is>
      </c>
      <c r="D45" s="28" t="inlineStr">
        <is>
          <t>Major</t>
        </is>
      </c>
      <c r="E45"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5" s="28" t="inlineStr">
        <is>
          <t>Point these links at the citizen site's pages, or give the shell a not-found state. A route with no page should say so rather than substituting the landing screen.</t>
        </is>
      </c>
      <c r="G45" s="28" t="inlineStr">
        <is>
          <t>https://www.figma.com/design/evmNmlK8g4VYwJVu2FwSGV/MoSJE-Portal--Handoff-?node-id=52061-126900</t>
        </is>
      </c>
      <c r="H45" s="28" t="inlineStr">
        <is>
          <t>https://nmba-admin-dev.mosje.in/user-management</t>
        </is>
      </c>
      <c r="I45" s="28" t="inlineStr">
        <is>
          <t>Open</t>
        </is>
      </c>
      <c r="J45" s="28" t="n"/>
      <c r="K45" s="28" t="n"/>
      <c r="L45" s="28" t="inlineStr">
        <is>
          <t>env: dev</t>
        </is>
      </c>
      <c r="M45" s="28" t="inlineStr">
        <is>
          <t>Screen</t>
        </is>
      </c>
    </row>
    <row r="46">
      <c r="A46" s="27" t="inlineStr">
        <is>
          <t>NMB-SCREEN-042</t>
        </is>
      </c>
      <c r="B46" s="28" t="inlineStr">
        <is>
          <t>Admin - Add User side sheet</t>
        </is>
      </c>
      <c r="C46" s="28" t="inlineStr">
        <is>
          <t>Layout &amp; Spacing</t>
        </is>
      </c>
      <c r="D46" s="28" t="inlineStr">
        <is>
          <t>Major</t>
        </is>
      </c>
      <c r="E46"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6"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NMB-SCREEN-043</t>
        </is>
      </c>
      <c r="B47" s="28" t="inlineStr">
        <is>
          <t>Admin - Add User side sheet</t>
        </is>
      </c>
      <c r="C47" s="28" t="inlineStr">
        <is>
          <t>Components &amp; States</t>
        </is>
      </c>
      <c r="D47" s="28" t="inlineStr">
        <is>
          <t>Major</t>
        </is>
      </c>
      <c r="E47"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7"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7" s="28" t="inlineStr">
        <is>
          <t>https://www.figma.com/design/evmNmlK8g4VYwJVu2FwSGV/MoSJE-Portal--Handoff-?node-id=52066-127999</t>
        </is>
      </c>
      <c r="H47" s="28" t="inlineStr"/>
      <c r="I47" s="28" t="inlineStr">
        <is>
          <t>Open</t>
        </is>
      </c>
      <c r="J47" s="28" t="n"/>
      <c r="K47" s="28" t="n"/>
      <c r="L47" s="28" t="inlineStr">
        <is>
          <t>env: dev</t>
        </is>
      </c>
      <c r="M47" s="28" t="inlineStr">
        <is>
          <t>Screen</t>
        </is>
      </c>
    </row>
    <row r="48">
      <c r="A48" s="27" t="inlineStr">
        <is>
          <t>NMB-SCREEN-050</t>
        </is>
      </c>
      <c r="B48" s="28" t="inlineStr">
        <is>
          <t>Important Documents (all roles)</t>
        </is>
      </c>
      <c r="C48" s="28" t="inlineStr">
        <is>
          <t>Color &amp; Token</t>
        </is>
      </c>
      <c r="D48" s="28" t="inlineStr">
        <is>
          <t>Minor</t>
        </is>
      </c>
      <c r="E48"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8" s="28" t="inlineStr">
        <is>
          <t>Set the draft label to the design's #8C571F and the published label to #27682A. Red is the portal's error and destructive colour; spending it on a normal editorial state teaches readers to ignore it where it matters.</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NMB-SCREEN-030</t>
        </is>
      </c>
      <c r="B49" s="28" t="inlineStr">
        <is>
          <t>Important Documents (all roles)</t>
        </is>
      </c>
      <c r="C49" s="28" t="inlineStr">
        <is>
          <t>Layout &amp; Spacing</t>
        </is>
      </c>
      <c r="D49" s="28" t="inlineStr">
        <is>
          <t>Nit</t>
        </is>
      </c>
      <c r="E49"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9" s="28" t="inlineStr">
        <is>
          <t>https://www.figma.com/design/evmNmlK8g4VYwJVu2FwSGV/MoSJE-Portal--Handoff-?node-id=52070-443098</t>
        </is>
      </c>
      <c r="H49" s="28" t="inlineStr">
        <is>
          <t>https://nmba-admin-dev.mosje.in/important-documents</t>
        </is>
      </c>
      <c r="I49" s="28" t="inlineStr">
        <is>
          <t>Open</t>
        </is>
      </c>
      <c r="J49" s="28" t="n"/>
      <c r="K49" s="28" t="n"/>
      <c r="L49" s="28" t="inlineStr">
        <is>
          <t>env: dev</t>
        </is>
      </c>
      <c r="M49" s="28" t="inlineStr">
        <is>
          <t>Screen</t>
        </is>
      </c>
    </row>
    <row r="50">
      <c r="A50" s="27" t="inlineStr">
        <is>
          <t>NMB-SCREEN-023</t>
        </is>
      </c>
      <c r="B50" s="28" t="inlineStr">
        <is>
          <t>Officer dashboards (State and District)</t>
        </is>
      </c>
      <c r="C50" s="28" t="inlineStr">
        <is>
          <t>Layout &amp; Spacing</t>
        </is>
      </c>
      <c r="D50" s="28" t="inlineStr">
        <is>
          <t>Blocker</t>
        </is>
      </c>
      <c r="E5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50" s="28" t="inlineStr">
        <is>
          <t>Build the section as designed on both dashboards.</t>
        </is>
      </c>
      <c r="G50" s="28" t="inlineStr">
        <is>
          <t>https://www.figma.com/design/evmNmlK8g4VYwJVu2FwSGV/MoSJE-Portal--Handoff-?node-id=2309-14405</t>
        </is>
      </c>
      <c r="H50" s="28" t="inlineStr">
        <is>
          <t>https://nmba-admin-dev.mosje.in/dashboard</t>
        </is>
      </c>
      <c r="I50" s="28" t="inlineStr">
        <is>
          <t>Open</t>
        </is>
      </c>
      <c r="J50" s="28" t="n"/>
      <c r="K50" s="28" t="n"/>
      <c r="L50" s="28" t="inlineStr">
        <is>
          <t>env: dev</t>
        </is>
      </c>
      <c r="M50" s="28" t="inlineStr">
        <is>
          <t>Screen</t>
        </is>
      </c>
    </row>
    <row r="51">
      <c r="A51" s="27" t="inlineStr">
        <is>
          <t>NMB-SCREEN-029</t>
        </is>
      </c>
      <c r="B51" s="28" t="inlineStr">
        <is>
          <t>—</t>
        </is>
      </c>
      <c r="C51" s="28" t="inlineStr">
        <is>
          <t>—</t>
        </is>
      </c>
      <c r="D51" s="28" t="inlineStr">
        <is>
          <t>—</t>
        </is>
      </c>
      <c r="E51" s="28" t="inlineStr">
        <is>
          <t>Status chips are not set in capitals</t>
        </is>
      </c>
      <c r="F51" s="28" t="inlineStr">
        <is>
          <t>No fix required — this finding was withdrawn.</t>
        </is>
      </c>
      <c r="G51" s="28" t="n"/>
      <c r="H51" s="28" t="n"/>
      <c r="I51" s="28" t="inlineStr">
        <is>
          <t>Withdrawn</t>
        </is>
      </c>
      <c r="J51" s="28" t="n"/>
      <c r="K51" s="28" t="n"/>
      <c r="L5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1" s="28" t="inlineStr">
        <is>
          <t>—</t>
        </is>
      </c>
    </row>
    <row r="52">
      <c r="A52" s="27" t="inlineStr">
        <is>
          <t>NMB-SCREEN-016</t>
        </is>
      </c>
      <c r="B52" s="28" t="inlineStr">
        <is>
          <t>—</t>
        </is>
      </c>
      <c r="C52" s="28" t="inlineStr">
        <is>
          <t>—</t>
        </is>
      </c>
      <c r="D52" s="28" t="inlineStr">
        <is>
          <t>—</t>
        </is>
      </c>
      <c r="E52" s="28" t="inlineStr">
        <is>
          <t>The pledge banner has lost its call to action</t>
        </is>
      </c>
      <c r="F52" s="28" t="inlineStr">
        <is>
          <t>No fix required — this finding was withdrawn.</t>
        </is>
      </c>
      <c r="G52" s="28" t="n"/>
      <c r="H52" s="28" t="n"/>
      <c r="I52" s="28" t="inlineStr">
        <is>
          <t>Withdrawn</t>
        </is>
      </c>
      <c r="J52" s="28" t="n"/>
      <c r="K52" s="28" t="n"/>
      <c r="L5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2" s="28" t="inlineStr">
        <is>
          <t>—</t>
        </is>
      </c>
    </row>
    <row r="53">
      <c r="A53" s="27" t="inlineStr">
        <is>
          <t>NMB-SNODASH-004</t>
        </is>
      </c>
      <c r="B53" s="28" t="inlineStr">
        <is>
          <t>—</t>
        </is>
      </c>
      <c r="C53" s="28" t="inlineStr">
        <is>
          <t>—</t>
        </is>
      </c>
      <c r="D53" s="28" t="inlineStr">
        <is>
          <t>—</t>
        </is>
      </c>
      <c r="E53" s="28" t="inlineStr">
        <is>
          <t>KPI grid reflows to unequal card widths</t>
        </is>
      </c>
      <c r="F53" s="28" t="inlineStr">
        <is>
          <t>No fix required — this finding was withdrawn.</t>
        </is>
      </c>
      <c r="G53" s="28" t="n"/>
      <c r="H53" s="28" t="n"/>
      <c r="I53" s="28" t="inlineStr">
        <is>
          <t>Withdrawn</t>
        </is>
      </c>
      <c r="J53" s="28" t="n"/>
      <c r="K53" s="28" t="n"/>
      <c r="L53" s="28" t="inlineStr">
        <is>
          <t>WITHDRAWN: Measured on the capture: the three cards on the officer dashboard span 308-662, 688-1040 and 1066-1418 - 354, 352 and 352px with even 26px gaps, and the second row starts at the same two x positions. The grid is even. Withdrawn.</t>
        </is>
      </c>
      <c r="M53" s="28" t="inlineStr">
        <is>
          <t>—</t>
        </is>
      </c>
    </row>
  </sheetData>
  <autoFilter ref="A1:M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t>
        </is>
      </c>
      <c r="B14" s="28" t="inlineStr">
        <is>
          <t>Admin</t>
        </is>
      </c>
      <c r="C14" s="28" t="n"/>
      <c r="D14" s="28" t="inlineStr">
        <is>
          <t>No</t>
        </is>
      </c>
      <c r="E14" s="28" t="inlineStr">
        <is>
          <t>Yes</t>
        </is>
      </c>
      <c r="F14" s="28" t="inlineStr">
        <is>
          <t>Vs. visual language</t>
        </is>
      </c>
      <c r="G14" s="28" t="n">
        <v>0</v>
      </c>
      <c r="H14" s="28" t="inlineStr">
        <is>
          <t>No Figma frame for this route; audited against the visual language.</t>
        </is>
      </c>
    </row>
    <row r="15">
      <c r="A15" s="28" t="inlineStr">
        <is>
          <t>Admin - Dashboard Statistics</t>
        </is>
      </c>
      <c r="B15" s="28" t="inlineStr">
        <is>
          <t>Admin</t>
        </is>
      </c>
      <c r="C15" s="28" t="inlineStr">
        <is>
          <t>https://www.figma.com/design/evmNmlK8g4VYwJVu2FwSGV/MoSJE-Portal--Handoff-?node-id=52102-139278</t>
        </is>
      </c>
      <c r="D15" s="28" t="inlineStr">
        <is>
          <t>Yes</t>
        </is>
      </c>
      <c r="E15" s="28" t="inlineStr">
        <is>
          <t>Yes</t>
        </is>
      </c>
      <c r="F15" s="28" t="inlineStr">
        <is>
          <t>Compared</t>
        </is>
      </c>
      <c r="G15" s="28" t="n">
        <v>0</v>
      </c>
      <c r="H15" s="28" t="n"/>
    </row>
    <row r="16">
      <c r="A16" s="28" t="inlineStr">
        <is>
          <t>Admin - District Nodal Officers List</t>
        </is>
      </c>
      <c r="B16" s="28" t="inlineStr">
        <is>
          <t>Admin</t>
        </is>
      </c>
      <c r="C16" s="28" t="inlineStr">
        <is>
          <t>https://www.figma.com/design/evmNmlK8g4VYwJVu2FwSGV/MoSJE-Portal--Handoff-?node-id=52070-446864</t>
        </is>
      </c>
      <c r="D16" s="28" t="inlineStr">
        <is>
          <t>Yes</t>
        </is>
      </c>
      <c r="E16" s="28" t="inlineStr">
        <is>
          <t>Yes</t>
        </is>
      </c>
      <c r="F16" s="28" t="inlineStr">
        <is>
          <t>Compared</t>
        </is>
      </c>
      <c r="G16" s="28" t="n">
        <v>0</v>
      </c>
      <c r="H16" s="28" t="n"/>
    </row>
    <row r="17">
      <c r="A17" s="28" t="inlineStr">
        <is>
          <t>Admin - Feedback</t>
        </is>
      </c>
      <c r="B17" s="28" t="inlineStr">
        <is>
          <t>Admin</t>
        </is>
      </c>
      <c r="C17" s="28" t="inlineStr">
        <is>
          <t>https://www.figma.com/design/evmNmlK8g4VYwJVu2FwSGV/MoSJE-Portal--Handoff-?node-id=52070-447521</t>
        </is>
      </c>
      <c r="D17" s="28" t="inlineStr">
        <is>
          <t>Yes</t>
        </is>
      </c>
      <c r="E17" s="28" t="inlineStr">
        <is>
          <t>Yes</t>
        </is>
      </c>
      <c r="F17" s="28" t="inlineStr">
        <is>
          <t>Compared</t>
        </is>
      </c>
      <c r="G17" s="28" t="n">
        <v>0</v>
      </c>
      <c r="H17" s="28" t="n"/>
    </row>
    <row r="18">
      <c r="A18" s="28" t="inlineStr">
        <is>
          <t>Admin - General Feedback</t>
        </is>
      </c>
      <c r="B18" s="28" t="inlineStr">
        <is>
          <t>Admin</t>
        </is>
      </c>
      <c r="C18" s="28" t="inlineStr">
        <is>
          <t>https://www.figma.com/design/evmNmlK8g4VYwJVu2FwSGV/MoSJE-Portal--Handoff-?node-id=52071-129865</t>
        </is>
      </c>
      <c r="D18" s="28" t="inlineStr">
        <is>
          <t>Yes</t>
        </is>
      </c>
      <c r="E18" s="28" t="inlineStr">
        <is>
          <t>Yes</t>
        </is>
      </c>
      <c r="F18" s="28" t="inlineStr">
        <is>
          <t>Compared</t>
        </is>
      </c>
      <c r="G18" s="28" t="n">
        <v>0</v>
      </c>
      <c r="H18" s="28" t="n"/>
    </row>
    <row r="19">
      <c r="A19" s="28" t="inlineStr">
        <is>
          <t>Admin - Important Documents</t>
        </is>
      </c>
      <c r="B19" s="28" t="inlineStr">
        <is>
          <t>Admin</t>
        </is>
      </c>
      <c r="C19" s="28" t="inlineStr">
        <is>
          <t>https://www.figma.com/design/evmNmlK8g4VYwJVu2FwSGV/MoSJE-Portal--Handoff-?node-id=52070-443098</t>
        </is>
      </c>
      <c r="D19" s="28" t="inlineStr">
        <is>
          <t>Yes</t>
        </is>
      </c>
      <c r="E19" s="28" t="inlineStr">
        <is>
          <t>Yes</t>
        </is>
      </c>
      <c r="F19" s="28" t="inlineStr">
        <is>
          <t>Compared</t>
        </is>
      </c>
      <c r="G19" s="28" t="n">
        <v>2</v>
      </c>
      <c r="H19" s="28" t="n"/>
    </row>
    <row r="20">
      <c r="A20" s="28" t="inlineStr">
        <is>
          <t>Admin - Ministries Dashboard</t>
        </is>
      </c>
      <c r="B20" s="28" t="inlineStr">
        <is>
          <t>Admin</t>
        </is>
      </c>
      <c r="C20" s="28" t="inlineStr">
        <is>
          <t>https://www.figma.com/design/evmNmlK8g4VYwJVu2FwSGV/MoSJE-Portal--Handoff-?node-id=52051-161871</t>
        </is>
      </c>
      <c r="D20" s="28" t="inlineStr">
        <is>
          <t>Yes</t>
        </is>
      </c>
      <c r="E20" s="28" t="inlineStr">
        <is>
          <t>Yes</t>
        </is>
      </c>
      <c r="F20" s="28" t="inlineStr">
        <is>
          <t>Compared</t>
        </is>
      </c>
      <c r="G20" s="28" t="n">
        <v>0</v>
      </c>
      <c r="H20" s="28" t="n"/>
    </row>
    <row r="21">
      <c r="A21" s="28" t="inlineStr">
        <is>
          <t>Admin - Napddr / Block Committee</t>
        </is>
      </c>
      <c r="B21" s="28" t="inlineStr">
        <is>
          <t>Admin</t>
        </is>
      </c>
      <c r="C21" s="28" t="inlineStr">
        <is>
          <t>https://www.figma.com/design/evmNmlK8g4VYwJVu2FwSGV/MoSJE-Portal--Handoff-?node-id=52095-138163</t>
        </is>
      </c>
      <c r="D21" s="28" t="inlineStr">
        <is>
          <t>Yes</t>
        </is>
      </c>
      <c r="E21" s="28" t="inlineStr">
        <is>
          <t>Yes</t>
        </is>
      </c>
      <c r="F21" s="28" t="inlineStr">
        <is>
          <t>Compared</t>
        </is>
      </c>
      <c r="G21" s="28" t="n">
        <v>0</v>
      </c>
      <c r="H21" s="28" t="n"/>
    </row>
    <row r="22">
      <c r="A22" s="28" t="inlineStr">
        <is>
          <t>Admin - Napddr / Committee Reports</t>
        </is>
      </c>
      <c r="B22" s="28" t="inlineStr">
        <is>
          <t>Admin</t>
        </is>
      </c>
      <c r="C22" s="28" t="inlineStr">
        <is>
          <t>https://www.figma.com/design/evmNmlK8g4VYwJVu2FwSGV/MoSJE-Portal--Handoff-?node-id=52095-142880</t>
        </is>
      </c>
      <c r="D22" s="28" t="inlineStr">
        <is>
          <t>Yes</t>
        </is>
      </c>
      <c r="E22" s="28" t="inlineStr">
        <is>
          <t>Yes</t>
        </is>
      </c>
      <c r="F22" s="28" t="inlineStr">
        <is>
          <t>Compared</t>
        </is>
      </c>
      <c r="G22" s="28" t="n">
        <v>0</v>
      </c>
      <c r="H22" s="28" t="n"/>
    </row>
    <row r="23">
      <c r="A23" s="28" t="inlineStr">
        <is>
          <t>Admin - Napddr / District Committee</t>
        </is>
      </c>
      <c r="B23" s="28" t="inlineStr">
        <is>
          <t>Admin</t>
        </is>
      </c>
      <c r="C23" s="28" t="inlineStr">
        <is>
          <t>https://www.figma.com/design/evmNmlK8g4VYwJVu2FwSGV/MoSJE-Portal--Handoff-?node-id=52095-135422</t>
        </is>
      </c>
      <c r="D23" s="28" t="inlineStr">
        <is>
          <t>Yes</t>
        </is>
      </c>
      <c r="E23" s="28" t="inlineStr">
        <is>
          <t>Yes</t>
        </is>
      </c>
      <c r="F23" s="28" t="inlineStr">
        <is>
          <t>Compared</t>
        </is>
      </c>
      <c r="G23" s="28" t="n">
        <v>0</v>
      </c>
      <c r="H23" s="28" t="n"/>
    </row>
    <row r="24">
      <c r="A24" s="28" t="inlineStr">
        <is>
          <t>Admin - Napddr / State Committee</t>
        </is>
      </c>
      <c r="B24" s="28" t="inlineStr">
        <is>
          <t>Admin</t>
        </is>
      </c>
      <c r="C24" s="28" t="inlineStr">
        <is>
          <t>https://www.figma.com/design/evmNmlK8g4VYwJVu2FwSGV/MoSJE-Portal--Handoff-?node-id=52092-136433</t>
        </is>
      </c>
      <c r="D24" s="28" t="inlineStr">
        <is>
          <t>Yes</t>
        </is>
      </c>
      <c r="E24" s="28" t="inlineStr">
        <is>
          <t>Yes</t>
        </is>
      </c>
      <c r="F24" s="28" t="inlineStr">
        <is>
          <t>Compared</t>
        </is>
      </c>
      <c r="G24" s="28" t="n">
        <v>1</v>
      </c>
      <c r="H24" s="28" t="n"/>
    </row>
    <row r="25">
      <c r="A25" s="28" t="inlineStr">
        <is>
          <t>Admin - Nasha Mukti Mitr</t>
        </is>
      </c>
      <c r="B25" s="28" t="inlineStr">
        <is>
          <t>Admin</t>
        </is>
      </c>
      <c r="C25" s="28" t="inlineStr">
        <is>
          <t>https://www.figma.com/design/evmNmlK8g4VYwJVu2FwSGV/MoSJE-Portal--Handoff-?node-id=52073-131257</t>
        </is>
      </c>
      <c r="D25" s="28" t="inlineStr">
        <is>
          <t>Yes</t>
        </is>
      </c>
      <c r="E25" s="28" t="inlineStr">
        <is>
          <t>Yes</t>
        </is>
      </c>
      <c r="F25" s="28" t="inlineStr">
        <is>
          <t>Compared</t>
        </is>
      </c>
      <c r="G25" s="28" t="n">
        <v>0</v>
      </c>
      <c r="H25" s="28" t="n"/>
    </row>
    <row r="26">
      <c r="A26" s="28" t="inlineStr">
        <is>
          <t>Admin - Pledge Reports</t>
        </is>
      </c>
      <c r="B26" s="28" t="inlineStr">
        <is>
          <t>Admin</t>
        </is>
      </c>
      <c r="C26" s="28" t="inlineStr">
        <is>
          <t>https://www.figma.com/design/evmNmlK8g4VYwJVu2FwSGV/MoSJE-Portal--Handoff-?node-id=52067-128958</t>
        </is>
      </c>
      <c r="D26" s="28" t="inlineStr">
        <is>
          <t>Yes</t>
        </is>
      </c>
      <c r="E26" s="28" t="inlineStr">
        <is>
          <t>Yes</t>
        </is>
      </c>
      <c r="F26" s="28" t="inlineStr">
        <is>
          <t>Compared</t>
        </is>
      </c>
      <c r="G26" s="28" t="n">
        <v>0</v>
      </c>
      <c r="H26" s="28" t="n"/>
    </row>
    <row r="27">
      <c r="A27" s="28" t="inlineStr">
        <is>
          <t>Admin - Pre Event Details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Rural Development Events</t>
        </is>
      </c>
      <c r="B28" s="28" t="inlineStr">
        <is>
          <t>Admin</t>
        </is>
      </c>
      <c r="C28" s="28" t="n"/>
      <c r="D28" s="28" t="inlineStr">
        <is>
          <t>No</t>
        </is>
      </c>
      <c r="E28" s="28" t="inlineStr">
        <is>
          <t>Yes</t>
        </is>
      </c>
      <c r="F28" s="28" t="inlineStr">
        <is>
          <t>Vs. visual language</t>
        </is>
      </c>
      <c r="G28" s="28" t="n">
        <v>0</v>
      </c>
      <c r="H28" s="28" t="inlineStr">
        <is>
          <t>No Figma frame for this route; audited against the visual language.</t>
        </is>
      </c>
    </row>
    <row r="29">
      <c r="A29" s="28" t="inlineStr">
        <is>
          <t>Admin - State District Dashboard</t>
        </is>
      </c>
      <c r="B29" s="28" t="inlineStr">
        <is>
          <t>Admin</t>
        </is>
      </c>
      <c r="C29" s="28" t="inlineStr">
        <is>
          <t>https://www.figma.com/design/evmNmlK8g4VYwJVu2FwSGV/MoSJE-Portal--Handoff-?node-id=52061-122466</t>
        </is>
      </c>
      <c r="D29" s="28" t="inlineStr">
        <is>
          <t>Yes</t>
        </is>
      </c>
      <c r="E29" s="28" t="inlineStr">
        <is>
          <t>Yes</t>
        </is>
      </c>
      <c r="F29" s="28" t="inlineStr">
        <is>
          <t>Compared</t>
        </is>
      </c>
      <c r="G29" s="28" t="n">
        <v>0</v>
      </c>
      <c r="H29" s="28" t="n"/>
    </row>
    <row r="30">
      <c r="A30" s="28" t="inlineStr">
        <is>
          <t>Admin - State Nodal Officers List</t>
        </is>
      </c>
      <c r="B30" s="28" t="inlineStr">
        <is>
          <t>Admin</t>
        </is>
      </c>
      <c r="C30" s="28" t="inlineStr">
        <is>
          <t>https://www.figma.com/design/evmNmlK8g4VYwJVu2FwSGV/MoSJE-Portal--Handoff-?node-id=52070-446082</t>
        </is>
      </c>
      <c r="D30" s="28" t="inlineStr">
        <is>
          <t>Yes</t>
        </is>
      </c>
      <c r="E30" s="28" t="inlineStr">
        <is>
          <t>Yes</t>
        </is>
      </c>
      <c r="F30" s="28" t="inlineStr">
        <is>
          <t>Compared</t>
        </is>
      </c>
      <c r="G30" s="28" t="n">
        <v>0</v>
      </c>
      <c r="H30" s="28" t="n"/>
    </row>
    <row r="31">
      <c r="A31" s="28" t="inlineStr">
        <is>
          <t>Admin - User Management</t>
        </is>
      </c>
      <c r="B31" s="28" t="inlineStr">
        <is>
          <t>Admin</t>
        </is>
      </c>
      <c r="C31" s="28" t="inlineStr">
        <is>
          <t>https://www.figma.com/design/evmNmlK8g4VYwJVu2FwSGV/MoSJE-Portal--Handoff-?node-id=52061-126900</t>
        </is>
      </c>
      <c r="D31" s="28" t="inlineStr">
        <is>
          <t>Yes</t>
        </is>
      </c>
      <c r="E31" s="28" t="inlineStr">
        <is>
          <t>Yes</t>
        </is>
      </c>
      <c r="F31" s="28" t="inlineStr">
        <is>
          <t>Compared</t>
        </is>
      </c>
      <c r="G31" s="28" t="n">
        <v>1</v>
      </c>
      <c r="H31" s="28" t="n"/>
    </row>
    <row r="32">
      <c r="A32" s="28" t="inlineStr">
        <is>
          <t>State Nodal Officer - About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Best Practices</t>
        </is>
      </c>
      <c r="B33" s="28" t="inlineStr">
        <is>
          <t>State Nodal Officer</t>
        </is>
      </c>
      <c r="C33" s="28" t="inlineStr">
        <is>
          <t>https://www.figma.com/design/evmNmlK8g4VYwJVu2FwSGV/MoSJE-Portal--Handoff-?node-id=52042-164934</t>
        </is>
      </c>
      <c r="D33" s="28" t="inlineStr">
        <is>
          <t>Yes</t>
        </is>
      </c>
      <c r="E33" s="28" t="inlineStr">
        <is>
          <t>Yes</t>
        </is>
      </c>
      <c r="F33" s="28" t="inlineStr">
        <is>
          <t>Compared</t>
        </is>
      </c>
      <c r="G33" s="28" t="n">
        <v>0</v>
      </c>
      <c r="H33" s="28" t="n"/>
    </row>
    <row r="34">
      <c r="A34" s="28" t="inlineStr">
        <is>
          <t>State Nodal Officer - Contact Us</t>
        </is>
      </c>
      <c r="B34" s="28" t="inlineStr">
        <is>
          <t>State Nodal Officer</t>
        </is>
      </c>
      <c r="C34" s="28" t="n"/>
      <c r="D34" s="28" t="inlineStr">
        <is>
          <t>No</t>
        </is>
      </c>
      <c r="E34" s="28" t="inlineStr">
        <is>
          <t>Yes</t>
        </is>
      </c>
      <c r="F34" s="28" t="inlineStr">
        <is>
          <t>Vs. visual language</t>
        </is>
      </c>
      <c r="G34" s="28" t="n">
        <v>0</v>
      </c>
      <c r="H34" s="28" t="inlineStr">
        <is>
          <t>No Figma frame for this route; audited against the visual language.</t>
        </is>
      </c>
    </row>
    <row r="35">
      <c r="A35" s="28" t="inlineStr">
        <is>
          <t>State Nodal Officer - Dashboard</t>
        </is>
      </c>
      <c r="B35" s="28" t="inlineStr">
        <is>
          <t>State Nodal Officer</t>
        </is>
      </c>
      <c r="C35" s="28" t="inlineStr">
        <is>
          <t>https://www.figma.com/design/evmNmlK8g4VYwJVu2FwSGV/MoSJE-Portal--Handoff-?node-id=2309-14405</t>
        </is>
      </c>
      <c r="D35" s="28" t="inlineStr">
        <is>
          <t>Yes</t>
        </is>
      </c>
      <c r="E35" s="28" t="inlineStr">
        <is>
          <t>Yes</t>
        </is>
      </c>
      <c r="F35" s="28" t="inlineStr">
        <is>
          <t>Compared</t>
        </is>
      </c>
      <c r="G35" s="28" t="n">
        <v>1</v>
      </c>
      <c r="H35" s="28" t="n"/>
    </row>
    <row r="36">
      <c r="A36" s="28" t="inlineStr">
        <is>
          <t>State Nodal Officer - Feedback</t>
        </is>
      </c>
      <c r="B36" s="28" t="inlineStr">
        <is>
          <t>State Nodal Officer</t>
        </is>
      </c>
      <c r="C36" s="28" t="inlineStr">
        <is>
          <t>https://www.figma.com/design/evmNmlK8g4VYwJVu2FwSGV/MoSJE-Portal--Handoff-?node-id=52040-162783</t>
        </is>
      </c>
      <c r="D36" s="28" t="inlineStr">
        <is>
          <t>Yes</t>
        </is>
      </c>
      <c r="E36" s="28" t="inlineStr">
        <is>
          <t>Yes</t>
        </is>
      </c>
      <c r="F36" s="28" t="inlineStr">
        <is>
          <t>Compared</t>
        </is>
      </c>
      <c r="G36" s="28" t="n">
        <v>0</v>
      </c>
      <c r="H36" s="28" t="n"/>
    </row>
    <row r="37">
      <c r="A37" s="28" t="inlineStr">
        <is>
          <t>State Nodal Officer - Important Documents</t>
        </is>
      </c>
      <c r="B37" s="28" t="inlineStr">
        <is>
          <t>State Nodal Officer</t>
        </is>
      </c>
      <c r="C37" s="28" t="inlineStr">
        <is>
          <t>https://www.figma.com/design/evmNmlK8g4VYwJVu2FwSGV/MoSJE-Portal--Handoff-?node-id=2309-14652</t>
        </is>
      </c>
      <c r="D37" s="28" t="inlineStr">
        <is>
          <t>Yes</t>
        </is>
      </c>
      <c r="E37" s="28" t="inlineStr">
        <is>
          <t>Yes</t>
        </is>
      </c>
      <c r="F37" s="28" t="inlineStr">
        <is>
          <t>Compared</t>
        </is>
      </c>
      <c r="G37" s="28" t="n">
        <v>0</v>
      </c>
      <c r="H37" s="28" t="n"/>
    </row>
    <row r="38">
      <c r="A38" s="28" t="inlineStr">
        <is>
          <t>State Nodal Officer - Napddr / Committee Reports</t>
        </is>
      </c>
      <c r="B38" s="28" t="inlineStr">
        <is>
          <t>State Nodal Officer</t>
        </is>
      </c>
      <c r="C38" s="28" t="inlineStr">
        <is>
          <t>https://www.figma.com/design/evmNmlK8g4VYwJVu2FwSGV/MoSJE-Portal--Handoff-?node-id=10957-117218</t>
        </is>
      </c>
      <c r="D38" s="28" t="inlineStr">
        <is>
          <t>Yes</t>
        </is>
      </c>
      <c r="E38" s="28" t="inlineStr">
        <is>
          <t>Yes</t>
        </is>
      </c>
      <c r="F38" s="28" t="inlineStr">
        <is>
          <t>Compared</t>
        </is>
      </c>
      <c r="G38" s="28" t="n">
        <v>0</v>
      </c>
      <c r="H38" s="28" t="n"/>
    </row>
    <row r="39">
      <c r="A39" s="28" t="inlineStr">
        <is>
          <t>State Nodal Officer - Napddr / State Committee</t>
        </is>
      </c>
      <c r="B39" s="28" t="inlineStr">
        <is>
          <t>State Nodal Officer</t>
        </is>
      </c>
      <c r="C39" s="28" t="inlineStr">
        <is>
          <t>https://www.figma.com/design/evmNmlK8g4VYwJVu2FwSGV/MoSJE-Portal--Handoff-?node-id=10957-116095</t>
        </is>
      </c>
      <c r="D39" s="28" t="inlineStr">
        <is>
          <t>Yes</t>
        </is>
      </c>
      <c r="E39" s="28" t="inlineStr">
        <is>
          <t>Yes</t>
        </is>
      </c>
      <c r="F39" s="28" t="inlineStr">
        <is>
          <t>Compared</t>
        </is>
      </c>
      <c r="G39" s="28" t="n">
        <v>0</v>
      </c>
      <c r="H39" s="28" t="n"/>
    </row>
    <row r="40">
      <c r="A40" s="28" t="inlineStr">
        <is>
          <t>State Nodal Officer - Nasha Mukti Mitr</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District Dashboard</t>
        </is>
      </c>
      <c r="B41" s="28" t="inlineStr">
        <is>
          <t>State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State Nodal Officer - State Nodal Officers List</t>
        </is>
      </c>
      <c r="B42" s="28" t="inlineStr">
        <is>
          <t>State Nodal Officer</t>
        </is>
      </c>
      <c r="C42" s="28" t="inlineStr">
        <is>
          <t>https://www.figma.com/design/evmNmlK8g4VYwJVu2FwSGV/MoSJE-Portal--Handoff-?node-id=52030-162137</t>
        </is>
      </c>
      <c r="D42" s="28" t="inlineStr">
        <is>
          <t>Yes</t>
        </is>
      </c>
      <c r="E42" s="28" t="inlineStr">
        <is>
          <t>Yes</t>
        </is>
      </c>
      <c r="F42" s="28" t="inlineStr">
        <is>
          <t>Compared</t>
        </is>
      </c>
      <c r="G42" s="28" t="n">
        <v>0</v>
      </c>
      <c r="H42" s="28" t="n"/>
    </row>
    <row r="43">
      <c r="A43" s="28" t="inlineStr">
        <is>
          <t>District Nodal Officer - About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Best Practices</t>
        </is>
      </c>
      <c r="B44" s="28" t="inlineStr">
        <is>
          <t>District Nodal Officer</t>
        </is>
      </c>
      <c r="C44" s="28" t="inlineStr">
        <is>
          <t>https://www.figma.com/design/evmNmlK8g4VYwJVu2FwSGV/MoSJE-Portal--Handoff-?node-id=51957-332005</t>
        </is>
      </c>
      <c r="D44" s="28" t="inlineStr">
        <is>
          <t>Yes</t>
        </is>
      </c>
      <c r="E44" s="28" t="inlineStr">
        <is>
          <t>Yes</t>
        </is>
      </c>
      <c r="F44" s="28" t="inlineStr">
        <is>
          <t>Compared</t>
        </is>
      </c>
      <c r="G44" s="28" t="n">
        <v>0</v>
      </c>
      <c r="H44" s="28" t="n"/>
    </row>
    <row r="45">
      <c r="A45" s="28" t="inlineStr">
        <is>
          <t>District Nodal Officer - Contact Us</t>
        </is>
      </c>
      <c r="B45" s="28" t="inlineStr">
        <is>
          <t>District Nodal Officer</t>
        </is>
      </c>
      <c r="C45" s="28" t="n"/>
      <c r="D45" s="28" t="inlineStr">
        <is>
          <t>No</t>
        </is>
      </c>
      <c r="E45" s="28" t="inlineStr">
        <is>
          <t>Yes</t>
        </is>
      </c>
      <c r="F45" s="28" t="inlineStr">
        <is>
          <t>Vs. visual language</t>
        </is>
      </c>
      <c r="G45" s="28" t="n">
        <v>0</v>
      </c>
      <c r="H45" s="28" t="inlineStr">
        <is>
          <t>No Figma frame for this route; audited against the visual language.</t>
        </is>
      </c>
    </row>
    <row r="46">
      <c r="A46" s="28" t="inlineStr">
        <is>
          <t>District Nodal Officer - Dashboard</t>
        </is>
      </c>
      <c r="B46" s="28" t="inlineStr">
        <is>
          <t>District Nodal Officer</t>
        </is>
      </c>
      <c r="C46" s="28" t="inlineStr">
        <is>
          <t>https://www.figma.com/design/evmNmlK8g4VYwJVu2FwSGV/MoSJE-Portal--Handoff-?node-id=2306-13219</t>
        </is>
      </c>
      <c r="D46" s="28" t="inlineStr">
        <is>
          <t>Yes</t>
        </is>
      </c>
      <c r="E46" s="28" t="inlineStr">
        <is>
          <t>Yes</t>
        </is>
      </c>
      <c r="F46" s="28" t="inlineStr">
        <is>
          <t>Compared</t>
        </is>
      </c>
      <c r="G46" s="28" t="n">
        <v>0</v>
      </c>
      <c r="H46" s="28" t="n"/>
    </row>
    <row r="47">
      <c r="A47" s="28" t="inlineStr">
        <is>
          <t>District Nodal Officer - District Nodal Officers List</t>
        </is>
      </c>
      <c r="B47" s="28" t="inlineStr">
        <is>
          <t>District Nodal Officer</t>
        </is>
      </c>
      <c r="C47" s="28" t="inlineStr">
        <is>
          <t>https://www.figma.com/design/evmNmlK8g4VYwJVu2FwSGV/MoSJE-Portal--Handoff-?node-id=2309-20334</t>
        </is>
      </c>
      <c r="D47" s="28" t="inlineStr">
        <is>
          <t>Yes</t>
        </is>
      </c>
      <c r="E47" s="28" t="inlineStr">
        <is>
          <t>Yes</t>
        </is>
      </c>
      <c r="F47" s="28" t="inlineStr">
        <is>
          <t>Compared</t>
        </is>
      </c>
      <c r="G47" s="28" t="n">
        <v>0</v>
      </c>
      <c r="H47" s="28" t="n"/>
    </row>
    <row r="48">
      <c r="A48" s="28" t="inlineStr">
        <is>
          <t>District Nodal Officer - Feedback</t>
        </is>
      </c>
      <c r="B48" s="28" t="inlineStr">
        <is>
          <t>District Nodal Officer</t>
        </is>
      </c>
      <c r="C48" s="28" t="inlineStr">
        <is>
          <t>https://www.figma.com/design/evmNmlK8g4VYwJVu2FwSGV/MoSJE-Portal--Handoff-?node-id=51957-330252</t>
        </is>
      </c>
      <c r="D48" s="28" t="inlineStr">
        <is>
          <t>Yes</t>
        </is>
      </c>
      <c r="E48" s="28" t="inlineStr">
        <is>
          <t>Yes</t>
        </is>
      </c>
      <c r="F48" s="28" t="inlineStr">
        <is>
          <t>Compared</t>
        </is>
      </c>
      <c r="G48" s="28" t="n">
        <v>0</v>
      </c>
      <c r="H48" s="28" t="n"/>
    </row>
    <row r="49">
      <c r="A49" s="28" t="inlineStr">
        <is>
          <t>District Nodal Officer - Important Documents</t>
        </is>
      </c>
      <c r="B49" s="28" t="inlineStr">
        <is>
          <t>District Nodal Officer</t>
        </is>
      </c>
      <c r="C49" s="28" t="inlineStr">
        <is>
          <t>https://www.figma.com/design/evmNmlK8g4VYwJVu2FwSGV/MoSJE-Portal--Handoff-?node-id=2306-13466</t>
        </is>
      </c>
      <c r="D49" s="28" t="inlineStr">
        <is>
          <t>Yes</t>
        </is>
      </c>
      <c r="E49" s="28" t="inlineStr">
        <is>
          <t>Yes</t>
        </is>
      </c>
      <c r="F49" s="28" t="inlineStr">
        <is>
          <t>Compared</t>
        </is>
      </c>
      <c r="G49" s="28" t="n">
        <v>0</v>
      </c>
      <c r="H49" s="28" t="n"/>
    </row>
    <row r="50">
      <c r="A50" s="28" t="inlineStr">
        <is>
          <t>District Nodal Officer - Napddr / Committee Reports</t>
        </is>
      </c>
      <c r="B50" s="28" t="inlineStr">
        <is>
          <t>District Nodal Officer</t>
        </is>
      </c>
      <c r="C50" s="28" t="inlineStr">
        <is>
          <t>https://www.figma.com/design/evmNmlK8g4VYwJVu2FwSGV/MoSJE-Portal--Handoff-?node-id=10955-116683</t>
        </is>
      </c>
      <c r="D50" s="28" t="inlineStr">
        <is>
          <t>Yes</t>
        </is>
      </c>
      <c r="E50" s="28" t="inlineStr">
        <is>
          <t>Yes</t>
        </is>
      </c>
      <c r="F50" s="28" t="inlineStr">
        <is>
          <t>Compared</t>
        </is>
      </c>
      <c r="G50" s="28" t="n">
        <v>0</v>
      </c>
      <c r="H50" s="28" t="n"/>
    </row>
    <row r="51">
      <c r="A51" s="28" t="inlineStr">
        <is>
          <t>District Nodal Officer - Napddr / District Committee</t>
        </is>
      </c>
      <c r="B51" s="28" t="inlineStr">
        <is>
          <t>District Nodal Officer</t>
        </is>
      </c>
      <c r="C51" s="28" t="inlineStr">
        <is>
          <t>https://www.figma.com/design/evmNmlK8g4VYwJVu2FwSGV/MoSJE-Portal--Handoff-?node-id=10955-116113</t>
        </is>
      </c>
      <c r="D51" s="28" t="inlineStr">
        <is>
          <t>Yes</t>
        </is>
      </c>
      <c r="E51" s="28" t="inlineStr">
        <is>
          <t>Yes</t>
        </is>
      </c>
      <c r="F51" s="28" t="inlineStr">
        <is>
          <t>Compared</t>
        </is>
      </c>
      <c r="G51" s="28" t="n">
        <v>0</v>
      </c>
      <c r="H51" s="28" t="n"/>
    </row>
    <row r="52">
      <c r="A52" s="28" t="inlineStr">
        <is>
          <t>District Nodal Officer - Nasha Mukti Mitr</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District Nodal Officer - State District Dashboard</t>
        </is>
      </c>
      <c r="B53" s="28" t="inlineStr">
        <is>
          <t>District Nodal Officer</t>
        </is>
      </c>
      <c r="C53" s="28" t="n"/>
      <c r="D53" s="28" t="inlineStr">
        <is>
          <t>No</t>
        </is>
      </c>
      <c r="E53" s="28" t="inlineStr">
        <is>
          <t>Yes</t>
        </is>
      </c>
      <c r="F53" s="28" t="inlineStr">
        <is>
          <t>Vs. visual language</t>
        </is>
      </c>
      <c r="G53" s="28" t="n">
        <v>0</v>
      </c>
      <c r="H53" s="28" t="inlineStr">
        <is>
          <t>No Figma frame for this route; audited against the visual language.</t>
        </is>
      </c>
    </row>
    <row r="54">
      <c r="A54" s="28" t="inlineStr">
        <is>
          <t>Design-only frames (states, wizards, detail views)</t>
        </is>
      </c>
      <c r="B54" s="28" t="inlineStr">
        <is>
          <t>all</t>
        </is>
      </c>
      <c r="C54" s="28" t="n"/>
      <c r="D54" s="28" t="inlineStr">
        <is>
          <t>Yes</t>
        </is>
      </c>
      <c r="E54" s="28" t="inlineStr">
        <is>
          <t>No</t>
        </is>
      </c>
      <c r="F54" s="28" t="inlineStr">
        <is>
          <t>Not built on dev</t>
        </is>
      </c>
      <c r="G54" s="28" t="n">
        <v>0</v>
      </c>
      <c r="H54" s="28" t="inlineStr">
        <is>
          <t>67 frames are designed but have no build on dev — form wizards, edit/detail states, register flows and the two further sign-in states. Declared coverage debt, not a miss.</t>
        </is>
      </c>
    </row>
    <row r="55">
      <c r="A55" s="28" t="inlineStr">
        <is>
          <t>Role — CPLI</t>
        </is>
      </c>
      <c r="B55" s="28" t="inlineStr">
        <is>
          <t>CPLI</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ODIC</t>
        </is>
      </c>
      <c r="B56" s="28" t="inlineStr">
        <is>
          <t>ODIC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DDAC</t>
        </is>
      </c>
      <c r="B57" s="28" t="inlineStr">
        <is>
          <t>DDAC</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USDP</t>
        </is>
      </c>
      <c r="B58" s="28" t="inlineStr">
        <is>
          <t>USDP</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Line Ministry</t>
        </is>
      </c>
      <c r="B59" s="28" t="inlineStr">
        <is>
          <t>Line Ministry</t>
        </is>
      </c>
      <c r="C59" s="28" t="n"/>
      <c r="D59" s="28" t="inlineStr">
        <is>
          <t>Yes</t>
        </is>
      </c>
      <c r="E59" s="28" t="inlineStr">
        <is>
          <t>Yes</t>
        </is>
      </c>
      <c r="F59" s="28" t="inlineStr">
        <is>
          <t>Out of scope this pass</t>
        </is>
      </c>
      <c r="G59" s="28" t="n">
        <v>0</v>
      </c>
      <c r="H59" s="28" t="inlineStr">
        <is>
          <t>Working dev credentials exist and the design page carries a section for this role. Deferred by decision for this run; ready to run as-is.</t>
        </is>
      </c>
    </row>
    <row r="60">
      <c r="A60" s="28" t="inlineStr">
        <is>
          <t>Role — MV / Institutions</t>
        </is>
      </c>
      <c r="B60" s="28" t="inlineStr">
        <is>
          <t>MV/Institutions</t>
        </is>
      </c>
      <c r="C60" s="28" t="n"/>
      <c r="D60" s="28" t="inlineStr">
        <is>
          <t>Yes</t>
        </is>
      </c>
      <c r="E60" s="28" t="inlineStr">
        <is>
          <t>Unknown</t>
        </is>
      </c>
      <c r="F60" s="28" t="inlineStr">
        <is>
          <t>Not reachable</t>
        </is>
      </c>
      <c r="G60" s="28" t="n">
        <v>0</v>
      </c>
      <c r="H60" s="28" t="inlineStr">
        <is>
          <t>11 design frames, but the credentials sheet lists no login for this role.</t>
        </is>
      </c>
    </row>
    <row r="61">
      <c r="A61" s="28" t="inlineStr">
        <is>
          <t>Citizen Helpline screen</t>
        </is>
      </c>
      <c r="B61" s="28" t="inlineStr">
        <is>
          <t>all</t>
        </is>
      </c>
      <c r="C61" s="28" t="n"/>
      <c r="D61" s="28" t="inlineStr">
        <is>
          <t>Yes</t>
        </is>
      </c>
      <c r="E61" s="28" t="inlineStr">
        <is>
          <t>No</t>
        </is>
      </c>
      <c r="F61" s="28" t="inlineStr">
        <is>
          <t>Not audited</t>
        </is>
      </c>
      <c r="G61" s="28" t="n">
        <v>0</v>
      </c>
      <c r="H61" s="28" t="inlineStr">
        <is>
          <t>Designed (National De-Addiction Helpline 14446 plus call statistics). Re-checked 2026-09-11: still no /helpline route on the citizen build — the sidebar slot the design gives Helpline is occupied by 'Feedback / Grievances'.</t>
        </is>
      </c>
    </row>
    <row r="62">
      <c r="A62" s="28" t="inlineStr">
        <is>
          <t>e-Pledge OTP and certificate states</t>
        </is>
      </c>
      <c r="B62" s="28" t="inlineStr">
        <is>
          <t>all</t>
        </is>
      </c>
      <c r="C62" s="28" t="n"/>
      <c r="D62" s="28" t="inlineStr">
        <is>
          <t>Yes</t>
        </is>
      </c>
      <c r="E62" s="28" t="inlineStr">
        <is>
          <t>No</t>
        </is>
      </c>
      <c r="F62" s="28" t="inlineStr">
        <is>
          <t>Not audited</t>
        </is>
      </c>
      <c r="G62" s="28" t="n">
        <v>0</v>
      </c>
      <c r="H62" s="28" t="inlineStr">
        <is>
          <t>OTP-gated. A real OTP is never fired on dev, so the flow is captured up to the wall and the states beyond it are not audited.</t>
        </is>
      </c>
    </row>
    <row r="63">
      <c r="A63" s="28" t="inlineStr">
        <is>
          <t>Row-level detail views and committee record states</t>
        </is>
      </c>
      <c r="B63" s="28" t="inlineStr">
        <is>
          <t>all</t>
        </is>
      </c>
      <c r="C63" s="28" t="n"/>
      <c r="D63" s="28" t="inlineStr">
        <is>
          <t>Yes</t>
        </is>
      </c>
      <c r="E63" s="28" t="inlineStr">
        <is>
          <t>No</t>
        </is>
      </c>
      <c r="F63" s="28" t="inlineStr">
        <is>
          <t>Not audited</t>
        </is>
      </c>
      <c r="G63" s="28" t="n">
        <v>0</v>
      </c>
      <c r="H63" s="28" t="inlineStr">
        <is>
          <t>Re-checked 2026-09-11: the dev database now seeds a few committee rows, but not enough to exercise the record states the design draws.</t>
        </is>
      </c>
    </row>
    <row r="64">
      <c r="A64" s="28" t="inlineStr">
        <is>
          <t>18 August National Pledge Against Drug Abuse Report</t>
        </is>
      </c>
      <c r="B64" s="28" t="inlineStr">
        <is>
          <t>all</t>
        </is>
      </c>
      <c r="C64" s="28" t="n"/>
      <c r="D64" s="28" t="inlineStr">
        <is>
          <t>Yes</t>
        </is>
      </c>
      <c r="E64" s="28" t="inlineStr">
        <is>
          <t>No</t>
        </is>
      </c>
      <c r="F64" s="28" t="inlineStr">
        <is>
          <t>Not audited</t>
        </is>
      </c>
      <c r="G64" s="28" t="n">
        <v>0</v>
      </c>
      <c r="H64" s="28" t="inlineStr">
        <is>
          <t>39 design frames for a reporting flow with no corresponding routes on the dev build.</t>
        </is>
      </c>
    </row>
    <row r="65">
      <c r="A65" s="28" t="inlineStr">
        <is>
          <t>The citizen sidebar ships 'Nasha Mukti Mitr' and 'Feedback / Grievances' where the design shows 'Helpline'</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The e-Pledge screen adds 'General Pledge' / 'Recovered Drug User' tabs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screens add State / District / Pledge Date columns beyond the designed column set</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row r="68">
      <c r="A68" s="28" t="inlineStr">
        <is>
          <t>Admin list rows add a file-type icon before the document name, which the design does not draw</t>
        </is>
      </c>
      <c r="B68" s="28" t="inlineStr">
        <is>
          <t>design question</t>
        </is>
      </c>
      <c r="C68" s="28" t="n"/>
      <c r="D68" s="28" t="inlineStr">
        <is>
          <t>No</t>
        </is>
      </c>
      <c r="E68" s="28" t="inlineStr">
        <is>
          <t>Yes</t>
        </is>
      </c>
      <c r="F68" s="28" t="inlineStr">
        <is>
          <t>Build-only addition</t>
        </is>
      </c>
      <c r="G68" s="28" t="n">
        <v>0</v>
      </c>
      <c r="H68" s="28" t="inlineStr">
        <is>
          <t>Present in the build, absent from the design. Not raised as a finding — confirm whether it is intended and, if so, add it to the design.</t>
        </is>
      </c>
    </row>
  </sheetData>
  <autoFilter ref="A1:H6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2" customWidth="1" min="3" max="3"/>
    <col width="10" customWidth="1" min="4" max="4"/>
    <col width="86" customWidth="1" min="5" max="5"/>
    <col width="70" customWidth="1" min="6" max="6"/>
    <col width="34" customWidth="1" min="7" max="7"/>
    <col width="34" customWidth="1" min="8" max="8"/>
    <col width="10" customWidth="1" min="9" max="9"/>
    <col width="12" customWidth="1" min="10" max="10"/>
    <col width="12" customWidth="1" min="11" max="11"/>
    <col width="36" customWidth="1" min="12" max="12"/>
    <col width="10" customWidth="1" min="13" max="13"/>
  </cols>
  <sheetData>
    <row r="1">
      <c r="A1" s="29" t="inlineStr">
        <is>
          <t>ID</t>
        </is>
      </c>
      <c r="B1" s="29" t="inlineStr">
        <is>
          <t>Screen</t>
        </is>
      </c>
      <c r="C1" s="29" t="inlineStr">
        <is>
          <t>Category</t>
        </is>
      </c>
      <c r="D1" s="29" t="inlineStr">
        <is>
          <t>Severity</t>
        </is>
      </c>
      <c r="E1" s="29" t="inlineStr">
        <is>
          <t>Issue (Design → Built)</t>
        </is>
      </c>
      <c r="F1" s="29" t="inlineStr">
        <is>
          <t>Recommended Fix (Dev)</t>
        </is>
      </c>
      <c r="G1" s="29" t="inlineStr">
        <is>
          <t>Figma URL</t>
        </is>
      </c>
      <c r="H1" s="29" t="inlineStr">
        <is>
          <t>Live URL</t>
        </is>
      </c>
      <c r="I1" s="29" t="inlineStr">
        <is>
          <t>Status</t>
        </is>
      </c>
      <c r="J1" s="29" t="inlineStr">
        <is>
          <t>Assignee</t>
        </is>
      </c>
      <c r="K1" s="29" t="inlineStr">
        <is>
          <t>Date</t>
        </is>
      </c>
      <c r="L1" s="29" t="inlineStr">
        <is>
          <t>Notes</t>
        </is>
      </c>
      <c r="M1" s="29" t="inlineStr">
        <is>
          <t>Scope</t>
        </is>
      </c>
    </row>
    <row r="2">
      <c r="A2" s="27" t="inlineStr">
        <is>
          <t>WEB-GLOBAL-001</t>
        </is>
      </c>
      <c r="B2" s="28" t="inlineStr">
        <is>
          <t>Global · Automated accessibility violation — aria-valid-attr-value</t>
        </is>
      </c>
      <c r="C2" s="28" t="inlineStr">
        <is>
          <t>Accessibility</t>
        </is>
      </c>
      <c r="D2" s="28" t="inlineStr">
        <is>
          <t>Blocker</t>
        </is>
      </c>
      <c r="E2" s="28" t="inlineStr">
        <is>
          <t>Figma: GIGW 3.0 mandates WCAG 2.2 AA conformance; axe-core tests a subset of it programmatically.  →  Live: ARIA attributes must conform to valid values — &lt;th class="sorting sorting_asc" tabindex="0" aria-controls="dataTable1" rowspan="1" colspan="1" aria-sort="ascending" aria-label="#: activate to sort column des (aria-valid-attr-value, wcag2a, wcag412). Measured on 15 pages.</t>
        </is>
      </c>
      <c r="F2" s="28" t="inlineStr">
        <is>
          <t>The sortable column headers carry `aria-controls="dataTable1"`, but the `&lt;table&gt;` has no id (verified 18 Sep). Add `id="dataTable1"` to the `&lt;table&gt;` that DataTables initialises.</t>
        </is>
      </c>
      <c r="G2" s="28" t="n"/>
      <c r="H2" s="28" t="inlineStr">
        <is>
          <t>https://www.dosje.gov.in/about-the-division-social-defence/</t>
        </is>
      </c>
      <c r="I2" s="28" t="inlineStr">
        <is>
          <t>Open</t>
        </is>
      </c>
      <c r="J2" s="28" t="n"/>
      <c r="K2" s="28" t="n"/>
      <c r="L2" s="28" t="inlineStr">
        <is>
          <t>env: live  ·  Scope: Global — fix once, lands everywhere</t>
        </is>
      </c>
      <c r="M2" s="28" t="inlineStr">
        <is>
          <t>Global</t>
        </is>
      </c>
    </row>
    <row r="3">
      <c r="A3" s="27" t="inlineStr">
        <is>
          <t>WEB-GLOBAL-088</t>
        </is>
      </c>
      <c r="B3" s="28" t="inlineStr">
        <is>
          <t>Global · Text contrast below AA — Single Access Mechanism for All Verticals o…</t>
        </is>
      </c>
      <c r="C3" s="28" t="inlineStr">
        <is>
          <t>Color &amp; Token</t>
        </is>
      </c>
      <c r="D3" s="28" t="inlineStr">
        <is>
          <t>Blocker</t>
        </is>
      </c>
      <c r="E3" s="28" t="inlineStr">
        <is>
          <t>Figma: WCAG 2.2 AA (1.4.3), carried into GIGW 3.0: text needs 4.5:1 against its background, or 3:1 at 24px+ / 18.66px+ bold.  →  Live: Text “Single Access Mechanism for All Verticals of Empowerment &amp; Social Har…” (p.elementor-heading-title) renders #FFFFFF on #F97316 at 16px/400 — #FFFFFF on #F97316 as painted on the capture: 2.8:1 against the 4.5:1 minimum. Measured on 10 pages.</t>
        </is>
      </c>
      <c r="F3" s="28" t="inlineStr">
        <is>
          <t>Change the text colour of “Single Access Mechanism for All Verticals o…” from #FFFFFF to #1F2937 (the site's body text colour) — 5.24:1 on #F97316, which passes the 4.5:1 minimum. Or keep #FFFFFF and darken the background from #F97316 to #C05911 (4.51:1). Change it where the colour is set (the shared class or theme setting), so every page using this pair is fixed at once.</t>
        </is>
      </c>
      <c r="G3" s="28" t="n"/>
      <c r="H3" s="28" t="inlineStr">
        <is>
          <t>https://www.dosje.gov.in/</t>
        </is>
      </c>
      <c r="I3" s="28" t="inlineStr">
        <is>
          <t>Open</t>
        </is>
      </c>
      <c r="J3" s="28" t="n"/>
      <c r="K3" s="28" t="n"/>
      <c r="L3" s="28" t="inlineStr">
        <is>
          <t>env: live  ·  Scope: Global — fix once, lands everywhere</t>
        </is>
      </c>
      <c r="M3" s="28" t="inlineStr">
        <is>
          <t>Global</t>
        </is>
      </c>
    </row>
    <row r="4">
      <c r="A4" s="27" t="inlineStr">
        <is>
          <t>WEB-GLOBAL-086</t>
        </is>
      </c>
      <c r="B4" s="28" t="inlineStr">
        <is>
          <t>Global · No visible focus indicator — Pagination page numbers</t>
        </is>
      </c>
      <c r="C4" s="28" t="inlineStr">
        <is>
          <t>Components &amp; States</t>
        </is>
      </c>
      <c r="D4" s="28" t="inlineStr">
        <is>
          <t>Blocker</t>
        </is>
      </c>
      <c r="E4" s="28" t="inlineStr">
        <is>
          <t>Figma: WCAG 2.2 AA (2.4.7): every keyboard-focusable control shows a visible focus indicator. DBIM and UX4G both draw a 4px ring.  →  Live: Pagination page numbers: screenshotted focused and then blurred, no pixel changes, so a keyboard user cannot see where focus is. Measured on 9 pages.</t>
        </is>
      </c>
      <c r="F4" s="28" t="inlineStr">
        <is>
          <t>Add a visible focus style to the pagination links (`.pagination a`, `.page-link`): `:focus-visible { outline: 2px solid #0373DF; outline-offset: 2px; }` — and remove any `outline: none` that overrides it; the current page needs a different style from the focused one, so a keyboard user can tell them apart.</t>
        </is>
      </c>
      <c r="G4" s="28" t="n"/>
      <c r="H4" s="28" t="inlineStr">
        <is>
          <t>https://www.dosje.gov.in/annual-reports/</t>
        </is>
      </c>
      <c r="I4" s="28" t="inlineStr">
        <is>
          <t>Open</t>
        </is>
      </c>
      <c r="J4" s="28" t="n"/>
      <c r="K4" s="28" t="n"/>
      <c r="L4" s="28" t="inlineStr">
        <is>
          <t>env: live  ·  Scope: Global — fix once, lands everywhere</t>
        </is>
      </c>
      <c r="M4" s="28" t="inlineStr">
        <is>
          <t>Global</t>
        </is>
      </c>
    </row>
    <row r="5">
      <c r="A5" s="27" t="inlineStr">
        <is>
          <t>WEB-GLOBAL-085</t>
        </is>
      </c>
      <c r="B5" s="28" t="inlineStr">
        <is>
          <t>Global · No visible focus indicator — Pagination previous / next arrows</t>
        </is>
      </c>
      <c r="C5" s="28" t="inlineStr">
        <is>
          <t>Components &amp; States</t>
        </is>
      </c>
      <c r="D5" s="28" t="inlineStr">
        <is>
          <t>Blocker</t>
        </is>
      </c>
      <c r="E5" s="28" t="inlineStr">
        <is>
          <t>Figma: WCAG 2.2 AA (2.4.7): every keyboard-focusable control shows a visible focus indicator. DBIM and UX4G both draw a 4px ring.  →  Live: Pagination previous / next arrows: screenshotted focused and then blurred, no pixel changes, so a keyboard user cannot see where focus is. Measured on 9 pages.</t>
        </is>
      </c>
      <c r="F5" s="28" t="inlineStr">
        <is>
          <t>Add a visible focus style to the pagination links (`.pagination a`, `.page-link`): `:focus-visible { outline: 2px solid #0373DF; outline-offset: 2px; }` — and remove any `outline: none` that overrides it; the current page needs a different style from the focused one, so a keyboard user can tell them apart.</t>
        </is>
      </c>
      <c r="G5" s="28" t="n"/>
      <c r="H5" s="28" t="inlineStr">
        <is>
          <t>https://www.dosje.gov.in/annual-reports/</t>
        </is>
      </c>
      <c r="I5" s="28" t="inlineStr">
        <is>
          <t>Open</t>
        </is>
      </c>
      <c r="J5" s="28" t="n"/>
      <c r="K5" s="28" t="n"/>
      <c r="L5" s="28" t="inlineStr">
        <is>
          <t>env: live  ·  Scope: Global — fix once, lands everywhere</t>
        </is>
      </c>
      <c r="M5" s="28" t="inlineStr">
        <is>
          <t>Global</t>
        </is>
      </c>
    </row>
    <row r="6">
      <c r="A6" s="27" t="inlineStr">
        <is>
          <t>WEB-GLOBAL-025</t>
        </is>
      </c>
      <c r="B6" s="28" t="inlineStr">
        <is>
          <t>Global · Heading levels skip — Need Support?</t>
        </is>
      </c>
      <c r="C6" s="28" t="inlineStr">
        <is>
          <t>Content &amp; Iconography</t>
        </is>
      </c>
      <c r="D6" s="28" t="inlineStr">
        <is>
          <t>Major</t>
        </is>
      </c>
      <c r="E6" s="28" t="inlineStr">
        <is>
          <t>Figma: WCAG 2.2 A (1.3.1): heading levels descend without skipping, so the outline can be navigated.  →  Live: “Need Support?” is an &lt;h6&gt; directly after an &lt;h1&gt;, skipping h2. The outline cannot be navigated reliably by a screen reader. Measured on 138 pages.</t>
        </is>
      </c>
      <c r="F6" s="28" t="inlineStr">
        <is>
          <t>Change “Need Support?” from `&lt;h6&gt;` to `&lt;h2&gt;` and keep its size with CSS, so the outline steps down one level at a time.</t>
        </is>
      </c>
      <c r="G6" s="28" t="n"/>
      <c r="H6" s="28" t="inlineStr">
        <is>
          <t>https://www.dosje.gov.in/about-the-division/</t>
        </is>
      </c>
      <c r="I6" s="28" t="inlineStr">
        <is>
          <t>Open</t>
        </is>
      </c>
      <c r="J6" s="28" t="n"/>
      <c r="K6" s="28" t="n"/>
      <c r="L6" s="28" t="inlineStr">
        <is>
          <t>env: live  ·  Scope: Global — fix once, lands everywhere</t>
        </is>
      </c>
      <c r="M6" s="28" t="inlineStr">
        <is>
          <t>Global</t>
        </is>
      </c>
    </row>
    <row r="7">
      <c r="A7" s="27" t="inlineStr">
        <is>
          <t>WEB-GLOBAL-111</t>
        </is>
      </c>
      <c r="B7" s="28" t="inlineStr">
        <is>
          <t>Global · Touch target below the minimum — Home</t>
        </is>
      </c>
      <c r="C7" s="28" t="inlineStr">
        <is>
          <t>Layout &amp; Spacing</t>
        </is>
      </c>
      <c r="D7" s="28" t="inlineStr">
        <is>
          <t>Major</t>
        </is>
      </c>
      <c r="E7" s="28" t="inlineStr">
        <is>
          <t>Figma: UX4G 3.0 §6: interactive targets are at least 44×44px with 8px between them. WCAG 2.5.8 AA sets an absolute floor of 24×24.  →  Live: “Home” is 41×21px. UX4G 3.0 §6 sets 44×44px as the minimum interactive size; at 41×21 it is also below the WCAG 2.5.8 AA floor of 24×24. Measured on 146 pages.</t>
        </is>
      </c>
      <c r="F7" s="28" t="inlineStr">
        <is>
          <t>Make “Home” at least 44×44px: it is 41×21px. Add 12px padding top and bottom and 2px left and right (or set `min-height: 44px; min-width: 44px`), keeping 8px clear of the next control.</t>
        </is>
      </c>
      <c r="G7" s="28" t="n"/>
      <c r="H7" s="28" t="inlineStr">
        <is>
          <t>https://www.dosje.gov.in/about-the-division/</t>
        </is>
      </c>
      <c r="I7" s="28" t="inlineStr">
        <is>
          <t>Open</t>
        </is>
      </c>
      <c r="J7" s="28" t="n"/>
      <c r="K7" s="28" t="n"/>
      <c r="L7" s="28" t="inlineStr">
        <is>
          <t>env: live  ·  Scope: Global — fix once, lands everywhere</t>
        </is>
      </c>
      <c r="M7" s="28" t="inlineStr">
        <is>
          <t>Global</t>
        </is>
      </c>
    </row>
    <row r="8">
      <c r="A8" s="27" t="inlineStr">
        <is>
          <t>WEB-GLOBAL-010</t>
        </is>
      </c>
      <c r="B8" s="28" t="inlineStr">
        <is>
          <t>Global · Automated accessibility violation — aria-command-name</t>
        </is>
      </c>
      <c r="C8" s="28" t="inlineStr">
        <is>
          <t>Accessibility</t>
        </is>
      </c>
      <c r="D8" s="28" t="inlineStr">
        <is>
          <t>Major</t>
        </is>
      </c>
      <c r="E8" s="28" t="inlineStr">
        <is>
          <t>Figma: GIGW 3.0 mandates WCAG 2.2 AA conformance; axe-core tests a subset of it programmatically.  →  Live: ARIA commands must have an accessible name — &lt;a class="elementor-button elementor-size-sm" role="button" id="accessibilityButton"&gt; (aria-command-name, wcag2a, wcag412). Measured on 146 pages.</t>
        </is>
      </c>
      <c r="F8" s="28" t="inlineStr">
        <is>
          <t>Give the accessibility button a name: on `&lt;a id="accessibilityButton" role="button"&gt;` add `aria-label="Accessibility options"`.</t>
        </is>
      </c>
      <c r="G8" s="28" t="n"/>
      <c r="H8" s="28" t="inlineStr">
        <is>
          <t>https://www.dosje.gov.in/about-the-division/</t>
        </is>
      </c>
      <c r="I8" s="28" t="inlineStr">
        <is>
          <t>Open</t>
        </is>
      </c>
      <c r="J8" s="28" t="n"/>
      <c r="K8" s="28" t="n"/>
      <c r="L8" s="28" t="inlineStr">
        <is>
          <t>env: live  ·  Scope: Global — fix once, lands everywhere</t>
        </is>
      </c>
      <c r="M8" s="28" t="inlineStr">
        <is>
          <t>Global</t>
        </is>
      </c>
    </row>
    <row r="9">
      <c r="A9" s="27" t="inlineStr">
        <is>
          <t>WEB-GLOBAL-011</t>
        </is>
      </c>
      <c r="B9" s="28" t="inlineStr">
        <is>
          <t>Global · Automated accessibility violation — link-name</t>
        </is>
      </c>
      <c r="C9" s="28" t="inlineStr">
        <is>
          <t>Accessibility</t>
        </is>
      </c>
      <c r="D9" s="28" t="inlineStr">
        <is>
          <t>Major</t>
        </is>
      </c>
      <c r="E9" s="28" t="inlineStr">
        <is>
          <t>Figma: GIGW 3.0 mandates WCAG 2.2 AA conformance; axe-core tests a subset of it programmatically.  →  Live: Links must have discernible text — &lt;a href="https://www.digitalindia.gov.in/" target="_blank"&gt;
							&lt;img loading="lazy" width="105" height="41" src="https://www.dosje.gov.in/wp-content/uploads/ (link-name, wcag2a, wcag244, wcag412). Measured on 146 pages.</t>
        </is>
      </c>
      <c r="F9" s="28" t="inlineStr">
        <is>
          <t>Give every image-only link a name: on each `&lt;a&gt;` that wraps only an `&lt;img&gt;` (the Digital India, India.gov.in and partner logos in the footer and logo row), set the image's `alt` to the destination — e.g. `alt="Digital India (opens in a new tab)"`.</t>
        </is>
      </c>
      <c r="G9" s="28" t="n"/>
      <c r="H9" s="28" t="inlineStr">
        <is>
          <t>https://www.dosje.gov.in/about-the-division/</t>
        </is>
      </c>
      <c r="I9" s="28" t="inlineStr">
        <is>
          <t>Open</t>
        </is>
      </c>
      <c r="J9" s="28" t="n"/>
      <c r="K9" s="28" t="n"/>
      <c r="L9" s="28" t="inlineStr">
        <is>
          <t>env: live  ·  Scope: Global — fix once, lands everywhere</t>
        </is>
      </c>
      <c r="M9" s="28" t="inlineStr">
        <is>
          <t>Global</t>
        </is>
      </c>
    </row>
    <row r="10">
      <c r="A10" s="27" t="inlineStr">
        <is>
          <t>WEB-GLOBAL-045</t>
        </is>
      </c>
      <c r="B10" s="28" t="inlineStr">
        <is>
          <t>Global · Footer is missing a DBIM-mandated section — footer</t>
        </is>
      </c>
      <c r="C10" s="28" t="inlineStr">
        <is>
          <t>Content &amp; Iconography</t>
        </is>
      </c>
      <c r="D10" s="28" t="inlineStr">
        <is>
          <t>Major</t>
        </is>
      </c>
      <c r="E10" s="28" t="inlineStr">
        <is>
          <t>Figma: DBIM 3.0 §5.6: the footer carries Archives, Website Policy, Related Links and Feedback.  →  Live: DBIM 5.6 mandates four footer sections. This footer publishes 0 of them; missing: Archives, Website Policy, Related Links, Feedback. Measured on 146 pages.</t>
        </is>
      </c>
      <c r="F10" s="28" t="inlineStr">
        <is>
          <t>Add to the footer: Archives, Website Policy, Related Links, Feedback. Website Policy → one page linking the Copyright, Hyperlinking, Privacy and Terms policies; Related Links → the Important Links list; Feedback → the existing contact form; Archives → a page listing superseded documents. This needs the Ministry's decision on T10 / T32 first.</t>
        </is>
      </c>
      <c r="G10" s="28" t="n"/>
      <c r="H10" s="28" t="inlineStr">
        <is>
          <t>https://www.dosje.gov.in/about-the-division/</t>
        </is>
      </c>
      <c r="I10" s="28" t="inlineStr">
        <is>
          <t>Open</t>
        </is>
      </c>
      <c r="J10" s="28" t="n"/>
      <c r="K10" s="28" t="n"/>
      <c r="L10" s="28" t="inlineStr">
        <is>
          <t>env: live  ·  Scope: Global — fix once, lands everywhere</t>
        </is>
      </c>
      <c r="M10" s="28" t="inlineStr">
        <is>
          <t>Global</t>
        </is>
      </c>
    </row>
    <row r="11">
      <c r="A11" s="27" t="inlineStr">
        <is>
          <t>WEB-GLOBAL-110</t>
        </is>
      </c>
      <c r="B11" s="28" t="inlineStr">
        <is>
          <t>Global · Touch target below the minimum — About Ministry</t>
        </is>
      </c>
      <c r="C11" s="28" t="inlineStr">
        <is>
          <t>Layout &amp; Spacing</t>
        </is>
      </c>
      <c r="D11" s="28" t="inlineStr">
        <is>
          <t>Major</t>
        </is>
      </c>
      <c r="E11" s="28" t="inlineStr">
        <is>
          <t>Figma: UX4G 3.0 §6: interactive targets are at least 44×44px with 8px between them. WCAG 2.5.8 AA sets an absolute floor of 24×24.  →  Live: “About Ministry” is 123×20px. UX4G 3.0 §6 sets 44×44px as the minimum interactive size; at 123×20 it is also below the WCAG 2.5.8 AA floor of 24×24. Measured on 145 pages.</t>
        </is>
      </c>
      <c r="F11" s="28" t="inlineStr">
        <is>
          <t>Make “About Ministry” at least 44×44px: it is 123×20px. Add 12px padding top and bottom (or set `min-height: 44px; min-width: 44px`), keeping 8px clear of the next control.</t>
        </is>
      </c>
      <c r="G11" s="28" t="n"/>
      <c r="H11" s="28" t="inlineStr">
        <is>
          <t>https://www.dosje.gov.in/about-the-division/</t>
        </is>
      </c>
      <c r="I11" s="28" t="inlineStr">
        <is>
          <t>Open</t>
        </is>
      </c>
      <c r="J11" s="28" t="n"/>
      <c r="K11" s="28" t="n"/>
      <c r="L11" s="28" t="inlineStr">
        <is>
          <t>env: live  ·  Scope: Global — fix once, lands everywhere</t>
        </is>
      </c>
      <c r="M11" s="28" t="inlineStr">
        <is>
          <t>Global</t>
        </is>
      </c>
    </row>
    <row r="12">
      <c r="A12" s="27" t="inlineStr">
        <is>
          <t>WEB-GLOBAL-063</t>
        </is>
      </c>
      <c r="B12" s="28" t="inlineStr">
        <is>
          <t>Global · Font size outside the UX4G type scale — 10px text</t>
        </is>
      </c>
      <c r="C12" s="28" t="inlineStr">
        <is>
          <t>Typography</t>
        </is>
      </c>
      <c r="D12" s="28" t="inlineStr">
        <is>
          <t>Major</t>
        </is>
      </c>
      <c r="E12" s="28" t="inlineStr">
        <is>
          <t>Figma: UX4G 3.0 §2.3: font sizes come from the published type scale (12/14/16/18/20/24/28/32/36/40/52/60), and Body/XS 12px is the minimum.  →  Live: 1 element(s) render at 10px, which is not on the UX4G type scale (12/14/16/18/20/24/28/32/36/40/52/60). It is also below Body/XS, the stated minimum usable size. Measured on 130 pages.</t>
        </is>
      </c>
      <c r="F12" s="28" t="inlineStr">
        <is>
          <t>Change the 10px text to 12px (Body/XS on the UX4G scale); nothing on a page may be smaller than 12px.</t>
        </is>
      </c>
      <c r="G12" s="28" t="n"/>
      <c r="H12" s="28" t="inlineStr">
        <is>
          <t>https://www.dosje.gov.in/about-the-division/</t>
        </is>
      </c>
      <c r="I12" s="28" t="inlineStr">
        <is>
          <t>Open</t>
        </is>
      </c>
      <c r="J12" s="28" t="n"/>
      <c r="K12" s="28" t="n"/>
      <c r="L12" s="28" t="inlineStr">
        <is>
          <t>env: live  ·  Scope: Global — fix once, lands everywhere</t>
        </is>
      </c>
      <c r="M12" s="28" t="inlineStr">
        <is>
          <t>Global</t>
        </is>
      </c>
    </row>
    <row r="13">
      <c r="A13" s="27" t="inlineStr">
        <is>
          <t>WEB-GLOBAL-090</t>
        </is>
      </c>
      <c r="B13" s="28" t="inlineStr">
        <is>
          <t>Global · Text contrast below AA — Get in Touch</t>
        </is>
      </c>
      <c r="C13" s="28" t="inlineStr">
        <is>
          <t>Color &amp; Token</t>
        </is>
      </c>
      <c r="D13" s="28" t="inlineStr">
        <is>
          <t>Major</t>
        </is>
      </c>
      <c r="E13" s="28" t="inlineStr">
        <is>
          <t>Figma: WCAG 2.2 AA (1.4.3), carried into GIGW 3.0: text needs 4.5:1 against its background, or 3:1 at 24px+ / 18.66px+ bold.  →  Live: Text “Get in Touch” (a.btn) renders #0373DF on #E5EFF9 at 16px/500 — #0373DF on #E5EFF9 as painted on the capture: 3.99:1 against the 4.5:1 minimum. Measured on 127 pages.</t>
        </is>
      </c>
      <c r="F13" s="28" t="inlineStr">
        <is>
          <t>Change the text colour of “Get in Touch” from #0373DF to #014B92 (the site's dark blue (footer strip)) — 7.45:1 on #E5EFF9, which passes the 4.5:1 minimum. Or keep #0373DF and lighten the background from #E5EFF9 to #FAFCFE (4.5:1). Change it where the colour is set (the shared class or theme setting), so every page using this pair is fixed at once.</t>
        </is>
      </c>
      <c r="G13" s="28" t="n"/>
      <c r="H13" s="28" t="inlineStr">
        <is>
          <t>https://www.dosje.gov.in/about-the-division/</t>
        </is>
      </c>
      <c r="I13" s="28" t="inlineStr">
        <is>
          <t>Open</t>
        </is>
      </c>
      <c r="J13" s="28" t="n"/>
      <c r="K13" s="28" t="n"/>
      <c r="L13" s="28" t="inlineStr">
        <is>
          <t>env: live  ·  Scope: Global — fix once, lands everywhere</t>
        </is>
      </c>
      <c r="M13" s="28" t="inlineStr">
        <is>
          <t>Global</t>
        </is>
      </c>
    </row>
    <row r="14">
      <c r="A14" s="27" t="inlineStr">
        <is>
          <t>WEB-GLOBAL-091</t>
        </is>
      </c>
      <c r="B14" s="28" t="inlineStr">
        <is>
          <t>Global · Text contrast below AA — About Ministry</t>
        </is>
      </c>
      <c r="C14" s="28" t="inlineStr">
        <is>
          <t>Color &amp; Token</t>
        </is>
      </c>
      <c r="D14" s="28" t="inlineStr">
        <is>
          <t>Major</t>
        </is>
      </c>
      <c r="E14" s="28" t="inlineStr">
        <is>
          <t>Figma: WCAG 2.2 AA (1.4.3), carried into GIGW 3.0: text needs 4.5:1 against its background, or 3:1 at 24px+ / 18.66px+ bold.  →  Live: Text “About Ministry” (span.elementor-icon-list-text) renders #E2E6EA on #0373DF at 14px/400 — #E2E6EA on #0373DF as painted on the capture: 3.7:1 against the 4.5:1 minimum. Measured on 124 pages.</t>
        </is>
      </c>
      <c r="F14" s="28" t="inlineStr">
        <is>
          <t>Change the text colour of “About Ministry” from #E2E6EA to #FFFFFF (the site's white) — 4.64:1 on #0373DF, which passes the 4.5:1 minimum. Or keep #E2E6EA and darken the background from #0373DF to #0365C4 (4.56:1). Change it where the colour is set (the shared class or theme setting), so every page using this pair is fixed at once.</t>
        </is>
      </c>
      <c r="G14" s="28" t="n"/>
      <c r="H14" s="28" t="inlineStr">
        <is>
          <t>https://www.dosje.gov.in/about-the-division/</t>
        </is>
      </c>
      <c r="I14" s="28" t="inlineStr">
        <is>
          <t>Open</t>
        </is>
      </c>
      <c r="J14" s="28" t="n"/>
      <c r="K14" s="28" t="n"/>
      <c r="L14" s="28" t="inlineStr">
        <is>
          <t>env: live  ·  Scope: Global — fix once, lands everywhere</t>
        </is>
      </c>
      <c r="M14" s="28" t="inlineStr">
        <is>
          <t>Global</t>
        </is>
      </c>
    </row>
    <row r="15">
      <c r="A15" s="27" t="inlineStr">
        <is>
          <t>WEB-GLOBAL-064</t>
        </is>
      </c>
      <c r="B15" s="28" t="inlineStr">
        <is>
          <t>Global · Font size outside the UX4G type scale — 8px text</t>
        </is>
      </c>
      <c r="C15" s="28" t="inlineStr">
        <is>
          <t>Typography</t>
        </is>
      </c>
      <c r="D15" s="28" t="inlineStr">
        <is>
          <t>Major</t>
        </is>
      </c>
      <c r="E15" s="28" t="inlineStr">
        <is>
          <t>Figma: UX4G 3.0 §2.3: font sizes come from the published type scale (12/14/16/18/20/24/28/32/36/40/52/60), and Body/XS 12px is the minimum.  →  Live: 2 element(s) render at 8px, which is not on the UX4G type scale (12/14/16/18/20/24/28/32/36/40/52/60). It is also below Body/XS, the stated minimum usable size. Measured on 117 pages.</t>
        </is>
      </c>
      <c r="F15" s="28" t="inlineStr">
        <is>
          <t>Change the 8px text to 12px (Body/XS on the UX4G scale); nothing on a page may be smaller than 12px.</t>
        </is>
      </c>
      <c r="G15" s="28" t="n"/>
      <c r="H15" s="28" t="inlineStr">
        <is>
          <t>https://www.dosje.gov.in/about-the-division/</t>
        </is>
      </c>
      <c r="I15" s="28" t="inlineStr">
        <is>
          <t>Open</t>
        </is>
      </c>
      <c r="J15" s="28" t="n"/>
      <c r="K15" s="28" t="n"/>
      <c r="L15" s="28" t="inlineStr">
        <is>
          <t>env: live  ·  Scope: Global — fix once, lands everywhere</t>
        </is>
      </c>
      <c r="M15" s="28" t="inlineStr">
        <is>
          <t>Global</t>
        </is>
      </c>
    </row>
    <row r="16">
      <c r="A16" s="27" t="inlineStr">
        <is>
          <t>WEB-GLOBAL-054</t>
        </is>
      </c>
      <c r="B16" s="28" t="inlineStr">
        <is>
          <t>Global · Built value differs from the design — Login</t>
        </is>
      </c>
      <c r="C16" s="28" t="inlineStr">
        <is>
          <t>Color &amp; Token</t>
        </is>
      </c>
      <c r="D16" s="28" t="inlineStr">
        <is>
          <t>Major</t>
        </is>
      </c>
      <c r="E16" s="28" t="inlineStr">
        <is>
          <t>Figma: The approved Figma handoff frame for this screen. Built #FFFFFF · design #0373DF  →  Live: “Login” — colour #0373DF → #FFFFFF. Measured on 92 pages.</t>
        </is>
      </c>
      <c r="F16" s="28" t="inlineStr">
        <is>
          <t>On “Login”, change #FFFFFF to #0373DF — as in the Figma frame (link on this board). Make the change in the shared style for this element, so every page using it follows.</t>
        </is>
      </c>
      <c r="G16" s="28" t="inlineStr">
        <is>
          <t>https://www.figma.com/design/Ds5qx61QsI0ZkYSrLKxo0A/MoSJE--Handoff-?node-id=3453-12795</t>
        </is>
      </c>
      <c r="H16" s="28" t="n"/>
      <c r="I16" s="28" t="inlineStr">
        <is>
          <t>Open</t>
        </is>
      </c>
      <c r="J16" s="28" t="n"/>
      <c r="K16" s="28" t="n"/>
      <c r="L16" s="28" t="inlineStr">
        <is>
          <t>env: live  ·  Scope: Global — fix once, lands everywhere</t>
        </is>
      </c>
      <c r="M16" s="28" t="inlineStr">
        <is>
          <t>Global</t>
        </is>
      </c>
    </row>
    <row r="17">
      <c r="A17" s="27" t="inlineStr">
        <is>
          <t>WEB-GLOBAL-056</t>
        </is>
      </c>
      <c r="B17" s="28" t="inlineStr">
        <is>
          <t>Global · Built value differs from the design — Gov. of India</t>
        </is>
      </c>
      <c r="C17" s="28" t="inlineStr">
        <is>
          <t>Typography</t>
        </is>
      </c>
      <c r="D17" s="28" t="inlineStr">
        <is>
          <t>Major</t>
        </is>
      </c>
      <c r="E17" s="28" t="inlineStr">
        <is>
          <t>Figma: The approved Figma handoff frame for this screen. Built 12px · design 14px · Built 400 weight · design 500  →  Live: “Gov. of India” — size 14 → 12; weight 500 → 400. Measured on 79 pages.</t>
        </is>
      </c>
      <c r="F17" s="28" t="inlineStr">
        <is>
          <t>On “Gov. of India”, change 12px to 14px; change 400 weight to 500 — as in the Figma frame (link on this board). Make the change in the shared style for this element, so every page using it follows.</t>
        </is>
      </c>
      <c r="G17" s="28" t="inlineStr">
        <is>
          <t>https://www.figma.com/design/Ds5qx61QsI0ZkYSrLKxo0A/MoSJE--Handoff-?node-id=4571-109359</t>
        </is>
      </c>
      <c r="H17" s="28" t="n"/>
      <c r="I17" s="28" t="inlineStr">
        <is>
          <t>Open</t>
        </is>
      </c>
      <c r="J17" s="28" t="n"/>
      <c r="K17" s="28" t="n"/>
      <c r="L17" s="28" t="inlineStr">
        <is>
          <t>env: live  ·  Scope: Global — fix once, lands everywhere</t>
        </is>
      </c>
      <c r="M17" s="28" t="inlineStr">
        <is>
          <t>Global</t>
        </is>
      </c>
    </row>
    <row r="18">
      <c r="A18" s="27" t="inlineStr">
        <is>
          <t>WEB-GLOBAL-024</t>
        </is>
      </c>
      <c r="B18" s="28" t="inlineStr">
        <is>
          <t>Global · Page has no &lt;h1&gt; / more than one — Contact</t>
        </is>
      </c>
      <c r="C18" s="28" t="inlineStr">
        <is>
          <t>Content &amp; Iconography</t>
        </is>
      </c>
      <c r="D18" s="28" t="inlineStr">
        <is>
          <t>Major</t>
        </is>
      </c>
      <c r="E18" s="28" t="inlineStr">
        <is>
          <t>Figma: WCAG 2.2 A (1.3.1) and GIGW 3.0: one &lt;h1&gt; per page, naming the page.  →  Live: The page renders no &lt;h1&gt;. Its visible title, “Contact” (h3, 28px), is the element that should be it. Measured on 42 pages.</t>
        </is>
      </c>
      <c r="F18" s="28" t="inlineStr">
        <is>
          <t>Make “Contact” the page's `&lt;h1&gt;` (Elementor: select the heading → HTML Tag → H1). Keep its current look; only the tag changes.</t>
        </is>
      </c>
      <c r="G18" s="28" t="n"/>
      <c r="H18" s="28" t="inlineStr">
        <is>
          <t>https://www.dosje.gov.in/contact-us-2/</t>
        </is>
      </c>
      <c r="I18" s="28" t="inlineStr">
        <is>
          <t>Open</t>
        </is>
      </c>
      <c r="J18" s="28" t="n"/>
      <c r="K18" s="28" t="n"/>
      <c r="L18" s="28" t="inlineStr">
        <is>
          <t>env: live  ·  Scope: Global — fix once, lands everywhere</t>
        </is>
      </c>
      <c r="M18" s="28" t="inlineStr">
        <is>
          <t>Global</t>
        </is>
      </c>
    </row>
    <row r="19">
      <c r="A19" s="27" t="inlineStr">
        <is>
          <t>WEB-GLOBAL-055</t>
        </is>
      </c>
      <c r="B19" s="28" t="inlineStr">
        <is>
          <t>Global · Built value differs from the design — Formation of the Ministry of Welfare</t>
        </is>
      </c>
      <c r="C19" s="28" t="inlineStr">
        <is>
          <t>Color &amp; Token</t>
        </is>
      </c>
      <c r="D19" s="28" t="inlineStr">
        <is>
          <t>Major</t>
        </is>
      </c>
      <c r="E19" s="28" t="inlineStr">
        <is>
          <t>Figma: The approved Figma handoff frame for this screen. Built #1F2937 · design #1F2428  →  Live: “Formation of the Ministry of Welfare” — colour #1F2428 → #1F2937. Measured on 49 pages.</t>
        </is>
      </c>
      <c r="F19" s="28" t="inlineStr">
        <is>
          <t>On “Formation of the Ministry of Welfare”, change #1F2937 to #1F2428 — as in the Figma frame (link on this board). Make the change in the shared style for this element, so every page using it follows.</t>
        </is>
      </c>
      <c r="G19" s="28" t="inlineStr">
        <is>
          <t>https://www.figma.com/design/Ds5qx61QsI0ZkYSrLKxo0A/MoSJE--Handoff-?node-id=3453-8567</t>
        </is>
      </c>
      <c r="H19" s="28" t="n"/>
      <c r="I19" s="28" t="inlineStr">
        <is>
          <t>Open</t>
        </is>
      </c>
      <c r="J19" s="28" t="n"/>
      <c r="K19" s="28" t="n"/>
      <c r="L19" s="28" t="inlineStr">
        <is>
          <t>env: live  ·  Scope: Global — fix once, lands everywhere</t>
        </is>
      </c>
      <c r="M19" s="28" t="inlineStr">
        <is>
          <t>Global</t>
        </is>
      </c>
    </row>
    <row r="20">
      <c r="A20" s="27" t="inlineStr">
        <is>
          <t>WEB-GLOBAL-092</t>
        </is>
      </c>
      <c r="B20" s="28" t="inlineStr">
        <is>
          <t>Global · Text contrast below AA — Dr. Ambedkar Foundation Official</t>
        </is>
      </c>
      <c r="C20" s="28" t="inlineStr">
        <is>
          <t>Color &amp; Token</t>
        </is>
      </c>
      <c r="D20" s="28" t="inlineStr">
        <is>
          <t>Major</t>
        </is>
      </c>
      <c r="E20" s="28" t="inlineStr">
        <is>
          <t>Figma: WCAG 2.2 AA (1.4.3), carried into GIGW 3.0: text needs 4.5:1 against its background, or 3:1 at 24px+ / 18.66px+ bold.  →  Live: Text “Dr. Ambedkar Foundation Official” (h4.text-center) renders #0373DF on #F9FAFB at 20px/600 — #0373DF on #F9FAFB as painted on the capture: 4.44:1 against the 4.5:1 minimum. Measured on 30 pages.</t>
        </is>
      </c>
      <c r="F20" s="28" t="inlineStr">
        <is>
          <t>Change the text colour of “Dr. Ambedkar Foundation Official” from #0373DF to #014B92 (the site's dark blue (footer strip)) — 8.29:1 on #F9FAFB, which passes the 4.5:1 minimum. Or keep #0373DF and lighten the background from #F9FAFB to #FBFBFC (4.5:1). Change it where the colour is set (the shared class or theme setting), so every page using this pair is fixed at once.</t>
        </is>
      </c>
      <c r="G20" s="28" t="n"/>
      <c r="H20" s="28" t="inlineStr">
        <is>
          <t>https://www.dosje.gov.in/daf-directory/</t>
        </is>
      </c>
      <c r="I20" s="28" t="inlineStr">
        <is>
          <t>Open</t>
        </is>
      </c>
      <c r="J20" s="28" t="n"/>
      <c r="K20" s="28" t="n"/>
      <c r="L20" s="28" t="inlineStr">
        <is>
          <t>env: live  ·  Scope: Global — fix once, lands everywhere</t>
        </is>
      </c>
      <c r="M20" s="28" t="inlineStr">
        <is>
          <t>Global</t>
        </is>
      </c>
    </row>
    <row r="21">
      <c r="A21" s="27" t="inlineStr">
        <is>
          <t>WEB-GLOBAL-015</t>
        </is>
      </c>
      <c r="B21" s="28" t="inlineStr">
        <is>
          <t>Global · Automated accessibility violation — frame-title</t>
        </is>
      </c>
      <c r="C21" s="28" t="inlineStr">
        <is>
          <t>Accessibility</t>
        </is>
      </c>
      <c r="D21" s="28" t="inlineStr">
        <is>
          <t>Major</t>
        </is>
      </c>
      <c r="E21" s="28" t="inlineStr">
        <is>
          <t>Figma: GIGW 3.0 mandates WCAG 2.2 AA conformance; axe-core tests a subset of it programmatically.  →  Live: Frames must have an accessible name — &lt;iframe data-mcc-blocked="social" data-mcc-src="https://www.facebook.com/plugins/page.php?href=https%3A%2F%2Fwww.facebook.com%2Fgoimsje&amp;amp;tabs=timeline&amp;amp;wi (frame-title, wcag2a, wcag412). Measured on 19 pages.</t>
        </is>
      </c>
      <c r="F21" s="28" t="inlineStr">
        <is>
          <t>Give the embedded frame from facebook.com a title that says what it shows: `&lt;iframe title="Facebook feed" …&gt;`.</t>
        </is>
      </c>
      <c r="G21" s="28" t="n"/>
      <c r="H21" s="28" t="inlineStr">
        <is>
          <t>https://www.dosje.gov.in/</t>
        </is>
      </c>
      <c r="I21" s="28" t="inlineStr">
        <is>
          <t>Open</t>
        </is>
      </c>
      <c r="J21" s="28" t="n"/>
      <c r="K21" s="28" t="n"/>
      <c r="L21" s="28" t="inlineStr">
        <is>
          <t>env: live  ·  Scope: Global — fix once, lands everywhere</t>
        </is>
      </c>
      <c r="M21" s="28" t="inlineStr">
        <is>
          <t>Global</t>
        </is>
      </c>
    </row>
    <row r="22">
      <c r="A22" s="27" t="inlineStr">
        <is>
          <t>WEB-GLOBAL-113</t>
        </is>
      </c>
      <c r="B22" s="28" t="inlineStr">
        <is>
          <t>Global · Built value differs from the design — Suo-moto Disclosure</t>
        </is>
      </c>
      <c r="C22" s="28" t="inlineStr">
        <is>
          <t>Color &amp; Token</t>
        </is>
      </c>
      <c r="D22" s="28" t="inlineStr">
        <is>
          <t>Major</t>
        </is>
      </c>
      <c r="E22" s="28" t="inlineStr">
        <is>
          <t>Figma: The approved Figma handoff frame for this screen. Built #374151 · design #343A40  →  Live: “Suo-moto Disclosure” — colour #343A40 → #374151. Measured on 7 pages.</t>
        </is>
      </c>
      <c r="F22" s="28" t="inlineStr">
        <is>
          <t>On “Suo-moto Disclosure”, change #374151 to #343A40 — as in the Figma frame (link on this board). Make the change in the shared style for this element, so every page using it follows.</t>
        </is>
      </c>
      <c r="G22" s="28" t="inlineStr">
        <is>
          <t>https://www.figma.com/design/Ds5qx61QsI0ZkYSrLKxo0A/MoSJE--Handoff-?node-id=3453-14262</t>
        </is>
      </c>
      <c r="H22" s="28" t="n"/>
      <c r="I22" s="28" t="inlineStr">
        <is>
          <t>Open</t>
        </is>
      </c>
      <c r="J22" s="28" t="n"/>
      <c r="K22" s="28" t="n"/>
      <c r="L22" s="28" t="inlineStr">
        <is>
          <t>env: live  ·  Scope: Global — fix once, lands everywhere</t>
        </is>
      </c>
      <c r="M22" s="28" t="inlineStr">
        <is>
          <t>Global</t>
        </is>
      </c>
    </row>
    <row r="23">
      <c r="A23" s="27" t="inlineStr">
        <is>
          <t>WEB-GLOBAL-065</t>
        </is>
      </c>
      <c r="B23" s="28" t="inlineStr">
        <is>
          <t>Global · Font size outside the UX4G type scale — 11px text</t>
        </is>
      </c>
      <c r="C23" s="28" t="inlineStr">
        <is>
          <t>Typography</t>
        </is>
      </c>
      <c r="D23" s="28" t="inlineStr">
        <is>
          <t>Major</t>
        </is>
      </c>
      <c r="E23" s="28" t="inlineStr">
        <is>
          <t>Figma: UX4G 3.0 §2.3: font sizes come from the published type scale (12/14/16/18/20/24/28/32/36/40/52/60), and Body/XS 12px is the minimum.  →  Live: 12 element(s) render at 11px, which is not on the UX4G type scale (12/14/16/18/20/24/28/32/36/40/52/60). It is also below Body/XS, the stated minimum usable size. Measured on 6 pages.</t>
        </is>
      </c>
      <c r="F23" s="28" t="inlineStr">
        <is>
          <t>Change the 11px text to 12px (Body/XS on the UX4G scale); nothing on a page may be smaller than 12px.</t>
        </is>
      </c>
      <c r="G23" s="28" t="n"/>
      <c r="H23" s="28" t="inlineStr">
        <is>
          <t>https://www.dosje.gov.in/gallery/</t>
        </is>
      </c>
      <c r="I23" s="28" t="inlineStr">
        <is>
          <t>Open</t>
        </is>
      </c>
      <c r="J23" s="28" t="n"/>
      <c r="K23" s="28" t="n"/>
      <c r="L23" s="28" t="inlineStr">
        <is>
          <t>env: live  ·  Scope: Global — fix once, lands everywhere</t>
        </is>
      </c>
      <c r="M23" s="28" t="inlineStr">
        <is>
          <t>Global</t>
        </is>
      </c>
    </row>
    <row r="24">
      <c r="A24" s="27" t="inlineStr">
        <is>
          <t>WEB-GLOBAL-048</t>
        </is>
      </c>
      <c r="B24" s="28" t="inlineStr">
        <is>
          <t>Global · Content in the design is not in the build — of 1500 items</t>
        </is>
      </c>
      <c r="C24" s="28" t="inlineStr">
        <is>
          <t>Content &amp; Iconography</t>
        </is>
      </c>
      <c r="D24" s="28" t="inlineStr">
        <is>
          <t>Major</t>
        </is>
      </c>
      <c r="E24" s="28" t="inlineStr">
        <is>
          <t>Figma: The approved Figma handoff frame for this screen. Design: “of 1500 items” · absent from the build  →  Live: The design frame carries “of 1500 items” (12px). Nothing with that text renders on the live page. Measured on 9 pages.</t>
        </is>
      </c>
      <c r="F24" s="28" t="inlineStr">
        <is>
          <t>Add the text “of 1500 items” where the Figma frame places it (open the frame from the link on this board) — or, if it was dropped on purpose, tell the design team so the frame is updated.</t>
        </is>
      </c>
      <c r="G24" s="28" t="inlineStr">
        <is>
          <t>https://www.figma.com/design/Ds5qx61QsI0ZkYSrLKxo0A/MoSJE--Handoff-?node-id=3453-12795</t>
        </is>
      </c>
      <c r="H24" s="28" t="n"/>
      <c r="I24" s="28" t="inlineStr">
        <is>
          <t>Open</t>
        </is>
      </c>
      <c r="J24" s="28" t="n"/>
      <c r="K24" s="28" t="n"/>
      <c r="L24" s="28" t="inlineStr">
        <is>
          <t>env: live  ·  Scope: Global — fix once, lands everywhere</t>
        </is>
      </c>
      <c r="M24" s="28" t="inlineStr">
        <is>
          <t>Global</t>
        </is>
      </c>
    </row>
    <row r="25">
      <c r="A25" s="27" t="inlineStr">
        <is>
          <t>WEB-GLOBAL-009</t>
        </is>
      </c>
      <c r="B25" s="28" t="inlineStr">
        <is>
          <t>Global · Image carries no alt attribute</t>
        </is>
      </c>
      <c r="C25" s="28" t="inlineStr">
        <is>
          <t>Content &amp; Iconography</t>
        </is>
      </c>
      <c r="D25" s="28" t="inlineStr">
        <is>
          <t>Major</t>
        </is>
      </c>
      <c r="E25" s="28" t="inlineStr">
        <is>
          <t>Figma: WCAG 2.2 A (1.1.1): every image carries an alt attribute — descriptive where it conveys meaning, empty where it is decorative.  →  Live: “g8203_6a017643c9e5a_5jbzbySbWZr2OwiYXBianYQzkv1kI7tVXaWbwldA.jpg” renders at 411px wide with no alt attribute. A screen reader announces the file name instead of the content. Measured on 6 pages.</t>
        </is>
      </c>
      <c r="F25" s="28" t="inlineStr">
        <is>
          <t>Add an `alt` to “g8203_6a017643c9e5a_5jbzbySbWZr2OwiYXBianYQzkv1kI7tVXaWbwldA.jpg”: describe it if it carries meaning, `alt=""` if it is decoration.</t>
        </is>
      </c>
      <c r="G25" s="28" t="n"/>
      <c r="H25" s="28" t="inlineStr">
        <is>
          <t>https://www.dosje.gov.in/gallery/</t>
        </is>
      </c>
      <c r="I25" s="28" t="inlineStr">
        <is>
          <t>Open</t>
        </is>
      </c>
      <c r="J25" s="28" t="n"/>
      <c r="K25" s="28" t="n"/>
      <c r="L25" s="28" t="inlineStr">
        <is>
          <t>env: live  ·  Scope: Global — fix once, lands everywhere</t>
        </is>
      </c>
      <c r="M25" s="28" t="inlineStr">
        <is>
          <t>Global</t>
        </is>
      </c>
    </row>
    <row r="26">
      <c r="A26" s="27" t="inlineStr">
        <is>
          <t>WEB-GLOBAL-058</t>
        </is>
      </c>
      <c r="B26" s="28" t="inlineStr">
        <is>
          <t>Global · Built value differs from the design — Name</t>
        </is>
      </c>
      <c r="C26" s="28" t="inlineStr">
        <is>
          <t>Typography</t>
        </is>
      </c>
      <c r="D26" s="28" t="inlineStr">
        <is>
          <t>Major</t>
        </is>
      </c>
      <c r="E26" s="28" t="inlineStr">
        <is>
          <t>Figma: The approved Figma handoff frame for this screen. Built 14px · design 12px · Built 500 weight · design 400 · Built #1F2937 · design #1F2428  →  Live: “Name” — size 12 → 14; weight 400 → 500; colour #1F2428 → #1F2937. Measured on 7 pages.</t>
        </is>
      </c>
      <c r="F26" s="28" t="inlineStr">
        <is>
          <t>On “Name”, change 14px to 12px; change 500 weight to 400; change #1F2937 to #1F2428 — as in the Figma frame (link on this board). Make the change in the shared style for this element, so every page using it follows.</t>
        </is>
      </c>
      <c r="G26" s="28" t="inlineStr">
        <is>
          <t>https://www.figma.com/design/Ds5qx61QsI0ZkYSrLKxo0A/MoSJE--Handoff-?node-id=3453-9324</t>
        </is>
      </c>
      <c r="H26" s="28" t="n"/>
      <c r="I26" s="28" t="inlineStr">
        <is>
          <t>Open</t>
        </is>
      </c>
      <c r="J26" s="28" t="n"/>
      <c r="K26" s="28" t="n"/>
      <c r="L26" s="28" t="inlineStr">
        <is>
          <t>env: live  ·  Scope: Global — fix once, lands everywhere</t>
        </is>
      </c>
      <c r="M26" s="28" t="inlineStr">
        <is>
          <t>Global</t>
        </is>
      </c>
    </row>
    <row r="27">
      <c r="A27" s="27" t="inlineStr">
        <is>
          <t>WEB-GLOBAL-014</t>
        </is>
      </c>
      <c r="B27" s="28" t="inlineStr">
        <is>
          <t>Global · Automated accessibility violation — link-in-text-block</t>
        </is>
      </c>
      <c r="C27" s="28" t="inlineStr">
        <is>
          <t>Accessibility</t>
        </is>
      </c>
      <c r="D27" s="28" t="inlineStr">
        <is>
          <t>Major</t>
        </is>
      </c>
      <c r="E27" s="28" t="inlineStr">
        <is>
          <t>Figma: GIGW 3.0 mandates WCAG 2.2 AA conformance; axe-core tests a subset of it programmatically.  →  Live: Links must be distinguishable without relying on color — &lt;a href="https://www.dosje.gov.in/organisation/national-portal-for-transgender-persons/" target="_blank" rel="noopener"&gt;https://www.dosje.gov.in/organisation/na (link-in-text-block, wcag2a, wcag141). Measured on 3 pages.</t>
        </is>
      </c>
      <c r="F27" s="28" t="inlineStr">
        <is>
          <t>Underline links inside running text (`text-decoration: underline`), so they are not told apart from the sentence by colour alone.</t>
        </is>
      </c>
      <c r="G27" s="28" t="n"/>
      <c r="H27" s="28" t="inlineStr">
        <is>
          <t>https://www.dosje.gov.in/about-the-division-social-defence/</t>
        </is>
      </c>
      <c r="I27" s="28" t="inlineStr">
        <is>
          <t>Open</t>
        </is>
      </c>
      <c r="J27" s="28" t="n"/>
      <c r="K27" s="28" t="n"/>
      <c r="L27" s="28" t="inlineStr">
        <is>
          <t>env: live  ·  Scope: Global — fix once, lands everywhere</t>
        </is>
      </c>
      <c r="M27" s="28" t="inlineStr">
        <is>
          <t>Global</t>
        </is>
      </c>
    </row>
    <row r="28">
      <c r="A28" s="27" t="inlineStr">
        <is>
          <t>WEB-GLOBAL-046</t>
        </is>
      </c>
      <c r="B28" s="28" t="inlineStr">
        <is>
          <t>Global · UX4G violet leaks into the brand palette — UX4G violet in place of the Department's blue</t>
        </is>
      </c>
      <c r="C28" s="28" t="inlineStr">
        <is>
          <t>Color &amp; Token</t>
        </is>
      </c>
      <c r="D28" s="28" t="inlineStr">
        <is>
          <t>Major</t>
        </is>
      </c>
      <c r="E28" s="28" t="inlineStr">
        <is>
          <t>Figma: DBIM 3.0 §2.1: one colour group from the primary palette. UX4G's violet is its own brand layer, not the Department's.  →  Live: 3 element(s) on this page carry UX4G's violet primary (#613AF5) — here “https://www.dosje.gov.in/organisation/national-po…”. DBIM 2.1 allows one colour group from the primary palette. Measured on 3 pages.</t>
        </is>
      </c>
      <c r="F28" s="28" t="inlineStr">
        <is>
          <t>Override the UX4G variables after `ux4g-min.css` loads: `:root { --bs-primary: #0373DF; --bs-link-color: #0373DF; --bs-blue: #0373DF; }`, and restyle the accessibility widget's controls to the same blue.</t>
        </is>
      </c>
      <c r="G28" s="28" t="n"/>
      <c r="H28" s="28" t="inlineStr">
        <is>
          <t>https://www.dosje.gov.in/about-the-division-social-defence/</t>
        </is>
      </c>
      <c r="I28" s="28" t="inlineStr">
        <is>
          <t>Open</t>
        </is>
      </c>
      <c r="J28" s="28" t="n"/>
      <c r="K28" s="28" t="n"/>
      <c r="L28" s="28" t="inlineStr">
        <is>
          <t>env: live  ·  Scope: Global — fix once, lands everywhere</t>
        </is>
      </c>
      <c r="M28" s="28" t="inlineStr">
        <is>
          <t>Global</t>
        </is>
      </c>
    </row>
    <row r="29">
      <c r="A29" s="27" t="inlineStr">
        <is>
          <t>WEB-GLOBAL-093</t>
        </is>
      </c>
      <c r="B29" s="28" t="inlineStr">
        <is>
          <t>Global · Text contrast below AA — Ensures user session persistence, allowing …</t>
        </is>
      </c>
      <c r="C29" s="28" t="inlineStr">
        <is>
          <t>Color &amp; Token</t>
        </is>
      </c>
      <c r="D29" s="28" t="inlineStr">
        <is>
          <t>Major</t>
        </is>
      </c>
      <c r="E29" s="28" t="inlineStr">
        <is>
          <t>Figma: WCAG 2.2 AA (1.4.3), carried into GIGW 3.0: text needs 4.5:1 against its background, or 3:1 at 24px+ / 18.66px+ bold.  →  Live: Text “Ensures user session persistence, allowing seamless navigation on the…” (p.small) renders #938BB6 on #FFFFFF at 12px/400 — #938BB6 on #FFFFFF as painted on the capture: 3.18:1 against the 4.5:1 minimum. Measured on 3 pages.</t>
        </is>
      </c>
      <c r="F29" s="28" t="inlineStr">
        <is>
          <t>Change the text colour of “Ensures user session persistence, allowing …” from #938BB6 to #0373DF (the site's primary blue) — 4.64:1 on #FFFFFF, which passes the 4.5:1 minimum. Change it where the colour is set (the shared class or theme setting), so every page using this pair is fixed at once.</t>
        </is>
      </c>
      <c r="G29" s="28" t="n"/>
      <c r="H29" s="28" t="inlineStr">
        <is>
          <t>https://www.dosje.gov.in/cookies/</t>
        </is>
      </c>
      <c r="I29" s="28" t="inlineStr">
        <is>
          <t>Open</t>
        </is>
      </c>
      <c r="J29" s="28" t="n"/>
      <c r="K29" s="28" t="n"/>
      <c r="L29" s="28" t="inlineStr">
        <is>
          <t>env: live  ·  Scope: Global — fix once, lands everywhere</t>
        </is>
      </c>
      <c r="M29" s="28" t="inlineStr">
        <is>
          <t>Global</t>
        </is>
      </c>
    </row>
    <row r="30">
      <c r="A30" s="27" t="inlineStr">
        <is>
          <t>WEB-GLOBAL-060</t>
        </is>
      </c>
      <c r="B30" s="28" t="inlineStr">
        <is>
          <t>Global · Built value differs from the design — Union Minister of Social Justice and Empowerment</t>
        </is>
      </c>
      <c r="C30" s="28" t="inlineStr">
        <is>
          <t>Typography</t>
        </is>
      </c>
      <c r="D30" s="28" t="inlineStr">
        <is>
          <t>Major</t>
        </is>
      </c>
      <c r="E30" s="28" t="inlineStr">
        <is>
          <t>Figma: The approved Figma handoff frame for this screen. Built 14px · design 12px · Built #1F2937 · design #343A40  →  Live: “Union Minister of Social Justice and Empowerment” — size 12 → 14; colour #343A40 → #1F2937. Measured on 4 pages.</t>
        </is>
      </c>
      <c r="F30" s="28" t="inlineStr">
        <is>
          <t>On “Union Minister of Social Justice and Empowerment”, change 14px to 12px; change #1F2937 to #343A40 — as in the Figma frame (link on this board). Make the change in the shared style for this element, so every page using it follows.</t>
        </is>
      </c>
      <c r="G30" s="28" t="inlineStr">
        <is>
          <t>https://www.figma.com/design/Ds5qx61QsI0ZkYSrLKxo0A/MoSJE--Handoff-?node-id=4571-89516</t>
        </is>
      </c>
      <c r="H30" s="28" t="n"/>
      <c r="I30" s="28" t="inlineStr">
        <is>
          <t>Open</t>
        </is>
      </c>
      <c r="J30" s="28" t="n"/>
      <c r="K30" s="28" t="n"/>
      <c r="L30" s="28" t="inlineStr">
        <is>
          <t>env: live  ·  Scope: Global — fix once, lands everywhere</t>
        </is>
      </c>
      <c r="M30" s="28" t="inlineStr">
        <is>
          <t>Global</t>
        </is>
      </c>
    </row>
    <row r="31">
      <c r="A31" s="27" t="inlineStr">
        <is>
          <t>WEB-GLOBAL-052</t>
        </is>
      </c>
      <c r="B31" s="28" t="inlineStr">
        <is>
          <t>Global · Content in the design is not in the build — Search by name, designation, or organization</t>
        </is>
      </c>
      <c r="C31" s="28" t="inlineStr">
        <is>
          <t>Content &amp; Iconography</t>
        </is>
      </c>
      <c r="D31" s="28" t="inlineStr">
        <is>
          <t>Major</t>
        </is>
      </c>
      <c r="E31" s="28" t="inlineStr">
        <is>
          <t>Figma: The approved Figma handoff frame for this screen. Design: “search by name, designation, or organiza” · absent from the build  →  Live: The design frame carries “Search by name, designation, or organization” (16px). Nothing with that text renders on the live page. Measured on 3 pages.</t>
        </is>
      </c>
      <c r="F31" s="28" t="inlineStr">
        <is>
          <t>Add the text “Search by name, designation, or organization” where the Figma frame places it (open the frame from the link on this board) — or, if it was dropped on purpose, tell the design team so the frame is updated.</t>
        </is>
      </c>
      <c r="G31" s="28" t="inlineStr">
        <is>
          <t>https://www.figma.com/design/Ds5qx61QsI0ZkYSrLKxo0A/MoSJE--Handoff-?node-id=3453-9324</t>
        </is>
      </c>
      <c r="H31" s="28" t="n"/>
      <c r="I31" s="28" t="inlineStr">
        <is>
          <t>Open</t>
        </is>
      </c>
      <c r="J31" s="28" t="n"/>
      <c r="K31" s="28" t="n"/>
      <c r="L31" s="28" t="inlineStr">
        <is>
          <t>env: live  ·  Scope: Global — fix once, lands everywhere</t>
        </is>
      </c>
      <c r="M31" s="28" t="inlineStr">
        <is>
          <t>Global</t>
        </is>
      </c>
    </row>
    <row r="32">
      <c r="A32" s="27" t="inlineStr">
        <is>
          <t>WEB-GLOBAL-051</t>
        </is>
      </c>
      <c r="B32" s="28" t="inlineStr">
        <is>
          <t>Global · Content in the design is not in the build</t>
        </is>
      </c>
      <c r="C32" s="28" t="inlineStr">
        <is>
          <t>Content &amp; Iconography</t>
        </is>
      </c>
      <c r="D32" s="28" t="inlineStr">
        <is>
          <t>Major</t>
        </is>
      </c>
      <c r="E32" s="28" t="inlineStr">
        <is>
          <t>Figma: The approved Figma handoff frame for this screen. Design: “empowering citizens with the right to in” · absent from the build  →  Live: The design frame carries “Empowering citizens with the right to information access government data, decisi” (16px). Nothing with that text renders on the live page. Measured on 3 pages.</t>
        </is>
      </c>
      <c r="F32" s="28" t="inlineStr">
        <is>
          <t>Add the text “Empowering citizens with the right to information access government data, decisi” where the Figma frame places it (open the frame from the link on this board) — or, if it was dropped on purpose, tell the design team so the frame is updated.</t>
        </is>
      </c>
      <c r="G32" s="28" t="inlineStr">
        <is>
          <t>https://www.figma.com/design/Ds5qx61QsI0ZkYSrLKxo0A/MoSJE--Handoff-?node-id=3453-14221</t>
        </is>
      </c>
      <c r="H32" s="28" t="n"/>
      <c r="I32" s="28" t="inlineStr">
        <is>
          <t>Open</t>
        </is>
      </c>
      <c r="J32" s="28" t="n"/>
      <c r="K32" s="28" t="n"/>
      <c r="L32" s="28" t="inlineStr">
        <is>
          <t>env: live  ·  Scope: Global — fix once, lands everywhere</t>
        </is>
      </c>
      <c r="M32" s="28" t="inlineStr">
        <is>
          <t>Global</t>
        </is>
      </c>
    </row>
    <row r="33">
      <c r="A33" s="27" t="inlineStr">
        <is>
          <t>WEB-GLOBAL-062</t>
        </is>
      </c>
      <c r="B33" s="28" t="inlineStr">
        <is>
          <t>Global · Built value differs from the design — Here’s how the Ministry empowers citizens like you.</t>
        </is>
      </c>
      <c r="C33" s="28" t="inlineStr">
        <is>
          <t>Typography</t>
        </is>
      </c>
      <c r="D33" s="28" t="inlineStr">
        <is>
          <t>Major</t>
        </is>
      </c>
      <c r="E33" s="28" t="inlineStr">
        <is>
          <t>Figma: The approved Figma handoff frame for this screen. Built 28px · design 22px · Built #1F2937 · design #1F2428  →  Live: “Here’s how the Ministry empowers citizens like you.” — size 22 → 28; colour #1F2428 → #1F2937. Measured on 4 pages.</t>
        </is>
      </c>
      <c r="F33" s="28" t="inlineStr">
        <is>
          <t>On “Here’s how the Ministry empowers citizens like you.”, change 28px to 22px; change #1F2937 to #1F2428 — as in the Figma frame (link on this board). Make the change in the shared style for this element, so every page using it follows.</t>
        </is>
      </c>
      <c r="G33" s="28" t="inlineStr">
        <is>
          <t>https://www.figma.com/design/Ds5qx61QsI0ZkYSrLKxo0A/MoSJE--Handoff-?node-id=3453-8477</t>
        </is>
      </c>
      <c r="H33" s="28" t="n"/>
      <c r="I33" s="28" t="inlineStr">
        <is>
          <t>Open</t>
        </is>
      </c>
      <c r="J33" s="28" t="n"/>
      <c r="K33" s="28" t="n"/>
      <c r="L33" s="28" t="inlineStr">
        <is>
          <t>env: live  ·  Scope: Global — fix once, lands everywhere</t>
        </is>
      </c>
      <c r="M33" s="28" t="inlineStr">
        <is>
          <t>Global</t>
        </is>
      </c>
    </row>
    <row r="34">
      <c r="A34" s="27" t="inlineStr">
        <is>
          <t>WEB-GLOBAL-049</t>
        </is>
      </c>
      <c r="B34" s="28" t="inlineStr">
        <is>
          <t>Global · Content in the design is not in the build — Search by title, keyword, or document number</t>
        </is>
      </c>
      <c r="C34" s="28" t="inlineStr">
        <is>
          <t>Content &amp; Iconography</t>
        </is>
      </c>
      <c r="D34" s="28" t="inlineStr">
        <is>
          <t>Major</t>
        </is>
      </c>
      <c r="E34" s="28" t="inlineStr">
        <is>
          <t>Figma: The approved Figma handoff frame for this screen. Design: “search by title, keyword, or document nu” · absent from the build  →  Live: The design frame carries “Search by title, keyword, or document number” (16px). Nothing with that text renders on the live page. Measured on 3 pages.</t>
        </is>
      </c>
      <c r="F34" s="28" t="inlineStr">
        <is>
          <t>Add the text “Search by title, keyword, or document number” where the Figma frame places it (open the frame from the link on this board) — or, if it was dropped on purpose, tell the design team so the frame is updated.</t>
        </is>
      </c>
      <c r="G34" s="28" t="inlineStr">
        <is>
          <t>https://www.figma.com/design/Ds5qx61QsI0ZkYSrLKxo0A/MoSJE--Handoff-?node-id=3453-12795</t>
        </is>
      </c>
      <c r="H34" s="28" t="n"/>
      <c r="I34" s="28" t="inlineStr">
        <is>
          <t>Open</t>
        </is>
      </c>
      <c r="J34" s="28" t="n"/>
      <c r="K34" s="28" t="n"/>
      <c r="L34" s="28" t="inlineStr">
        <is>
          <t>env: live  ·  Scope: Global — fix once, lands everywhere</t>
        </is>
      </c>
      <c r="M34" s="28" t="inlineStr">
        <is>
          <t>Global</t>
        </is>
      </c>
    </row>
    <row r="35">
      <c r="A35" s="27" t="inlineStr">
        <is>
          <t>WEB-GLOBAL-069</t>
        </is>
      </c>
      <c r="B35" s="28" t="inlineStr">
        <is>
          <t>Global · Page language is not en-IN — html lang</t>
        </is>
      </c>
      <c r="C35" s="28" t="inlineStr">
        <is>
          <t>Content &amp; Iconography</t>
        </is>
      </c>
      <c r="D35" s="28" t="inlineStr">
        <is>
          <t>Minor</t>
        </is>
      </c>
      <c r="E35" s="28" t="inlineStr">
        <is>
          <t>Figma: GIGW 3.0 and WCAG 3.1.1: the page declares its language; en-IN on a Government of India property.  →  Live: The document declares lang="en-US" on a Government of India property; en-IN is the correct locale. Measured on 146 pages.</t>
        </is>
      </c>
      <c r="F35" s="28" t="inlineStr">
        <is>
          <t>Set the site language to English (India): WordPress → Settings → General → Site Language → English (India), which renders `&lt;html lang="en-IN"&gt;`.</t>
        </is>
      </c>
      <c r="G35" s="28" t="n"/>
      <c r="H35" s="28" t="inlineStr">
        <is>
          <t>https://www.dosje.gov.in/about-the-division/</t>
        </is>
      </c>
      <c r="I35" s="28" t="inlineStr">
        <is>
          <t>Open</t>
        </is>
      </c>
      <c r="J35" s="28" t="n"/>
      <c r="K35" s="28" t="n"/>
      <c r="L35" s="28" t="inlineStr">
        <is>
          <t>env: live  ·  Scope: Global — fix once, lands everywhere</t>
        </is>
      </c>
      <c r="M35" s="28" t="inlineStr">
        <is>
          <t>Global</t>
        </is>
      </c>
    </row>
    <row r="36">
      <c r="A36" s="27" t="inlineStr">
        <is>
          <t>WEB-GLOBAL-067</t>
        </is>
      </c>
      <c r="B36" s="28" t="inlineStr">
        <is>
          <t>Global · Automated accessibility violation — landmark-contentinfo-is-top-level</t>
        </is>
      </c>
      <c r="C36" s="28" t="inlineStr">
        <is>
          <t>Accessibility</t>
        </is>
      </c>
      <c r="D36" s="28" t="inlineStr">
        <is>
          <t>Minor</t>
        </is>
      </c>
      <c r="E36" s="28" t="inlineStr">
        <is>
          <t>Figma: GIGW 3.0 mandates WCAG 2.2 AA conformance; axe-core tests a subset of it programmatically.  →  Live: Contentinfo landmark should not be contained in another landmark — &lt;div class="mosje-visitor-counter mosje-visitor-counter-total" role="contentinfo" aria-label="Total site visits"&gt;
					&lt;span class="mvc-item mvc-total"&gt;
			&lt;spa (landmark-contentinfo-is-top-level, ). Measured on 146 pages.</t>
        </is>
      </c>
      <c r="F36" s="28" t="inlineStr">
        <is>
          <t>Remove `role="contentinfo"` from the visitor counter (`&lt;div class="mosje-visitor-counter"&gt;`); the page footer is already the contentinfo landmark.</t>
        </is>
      </c>
      <c r="G36" s="28" t="n"/>
      <c r="H36" s="28" t="inlineStr">
        <is>
          <t>https://www.dosje.gov.in/about-the-division/</t>
        </is>
      </c>
      <c r="I36" s="28" t="inlineStr">
        <is>
          <t>Open</t>
        </is>
      </c>
      <c r="J36" s="28" t="n"/>
      <c r="K36" s="28" t="n"/>
      <c r="L36" s="28" t="inlineStr">
        <is>
          <t>env: live  ·  Scope: Global — fix once, lands everywhere</t>
        </is>
      </c>
      <c r="M36" s="28" t="inlineStr">
        <is>
          <t>Global</t>
        </is>
      </c>
    </row>
    <row r="37">
      <c r="A37" s="27" t="inlineStr">
        <is>
          <t>WEB-GLOBAL-070</t>
        </is>
      </c>
      <c r="B37" s="28" t="inlineStr">
        <is>
          <t>Global · JavaScript errors in the console — console</t>
        </is>
      </c>
      <c r="C37" s="28" t="inlineStr">
        <is>
          <t>Functional</t>
        </is>
      </c>
      <c r="D37" s="28" t="inlineStr">
        <is>
          <t>Minor</t>
        </is>
      </c>
      <c r="E37" s="28" t="inlineStr">
        <is>
          <t>Figma: GIGW 3.0 quality: a page loads without scripting errors.  →  Live: The page logs 21 JavaScript errors on load. First: Loading the font 'https://fonts.gstatic.com/s/notosans/v42/o-0ZIpQlx3QUlC5A4PNr4C5OaxRsfNNlKbCePevttHOmHS91ixg0.woff2' violates the following Content Security Policy directive: "fo Measured on 146 pages.</t>
        </is>
      </c>
      <c r="F37" s="28" t="inlineStr">
        <is>
          <t>Fix the first error on load: Loading the font 'https://fonts.gstatic.com/s/notosans/v42/… — later errors often follow from it. Check again with the browser console open.</t>
        </is>
      </c>
      <c r="G37" s="28" t="n"/>
      <c r="H37" s="28" t="inlineStr">
        <is>
          <t>https://www.dosje.gov.in/about-the-division/</t>
        </is>
      </c>
      <c r="I37" s="28" t="inlineStr">
        <is>
          <t>Open</t>
        </is>
      </c>
      <c r="J37" s="28" t="n"/>
      <c r="K37" s="28" t="n"/>
      <c r="L37" s="28" t="inlineStr">
        <is>
          <t>env: live  ·  Scope: Global — fix once, lands everywhere</t>
        </is>
      </c>
      <c r="M37" s="28" t="inlineStr">
        <is>
          <t>Global</t>
        </is>
      </c>
    </row>
    <row r="38">
      <c r="A38" s="27" t="inlineStr">
        <is>
          <t>WEB-GLOBAL-068</t>
        </is>
      </c>
      <c r="B38" s="28" t="inlineStr">
        <is>
          <t>Global · Automated accessibility violation — landmark-no-duplicate-contentinfo</t>
        </is>
      </c>
      <c r="C38" s="28" t="inlineStr">
        <is>
          <t>Accessibility</t>
        </is>
      </c>
      <c r="D38" s="28" t="inlineStr">
        <is>
          <t>Minor</t>
        </is>
      </c>
      <c r="E38" s="28" t="inlineStr">
        <is>
          <t>Figma: GIGW 3.0 mandates WCAG 2.2 AA conformance; axe-core tests a subset of it programmatically.  →  Live: Document should not have more than one contentinfo landmark — &lt;footer data-elementor-type="footer" data-elementor-id="370" class="elementor elementor-370 elementor-location-footer" data-elementor-post-type="elementor_libra (landmark-no-duplicate-contentinfo, ). Measured on 145 pages.</t>
        </is>
      </c>
      <c r="F38" s="28" t="inlineStr">
        <is>
          <t>Keep exactly one contentinfo landmark: the same fix — drop `role="contentinfo"` from the visitor counter inside the footer.</t>
        </is>
      </c>
      <c r="G38" s="28" t="n"/>
      <c r="H38" s="28" t="inlineStr">
        <is>
          <t>https://www.dosje.gov.in/about-the-division/</t>
        </is>
      </c>
      <c r="I38" s="28" t="inlineStr">
        <is>
          <t>Open</t>
        </is>
      </c>
      <c r="J38" s="28" t="n"/>
      <c r="K38" s="28" t="n"/>
      <c r="L38" s="28" t="inlineStr">
        <is>
          <t>env: live  ·  Scope: Global — fix once, lands everywhere</t>
        </is>
      </c>
      <c r="M38" s="28" t="inlineStr">
        <is>
          <t>Global</t>
        </is>
      </c>
    </row>
    <row r="39">
      <c r="A39" s="27" t="inlineStr">
        <is>
          <t>WEB-GLOBAL-112</t>
        </is>
      </c>
      <c r="B39" s="28" t="inlineStr">
        <is>
          <t>Global · Touch target below the minimum — View</t>
        </is>
      </c>
      <c r="C39" s="28" t="inlineStr">
        <is>
          <t>Layout &amp; Spacing</t>
        </is>
      </c>
      <c r="D39" s="28" t="inlineStr">
        <is>
          <t>Minor</t>
        </is>
      </c>
      <c r="E39" s="28" t="inlineStr">
        <is>
          <t>Figma: UX4G 3.0 §6: interactive targets are at least 44×44px with 8px between them. WCAG 2.5.8 AA sets an absolute floor of 24×24.  →  Live: “View” is 67×40px. UX4G 3.0 §6 sets 44×44px as the minimum interactive size; WCAG 2.5.8's 24×24 floor is met. Measured on 143 pages.</t>
        </is>
      </c>
      <c r="F39" s="28" t="inlineStr">
        <is>
          <t>Make “View” at least 44×44px: it is 67×40px. Add 2px padding top and bottom (or set `min-height: 44px; min-width: 44px`), keeping 8px clear of the next control.</t>
        </is>
      </c>
      <c r="G39" s="28" t="n"/>
      <c r="H39" s="28" t="inlineStr">
        <is>
          <t>https://www.dosje.gov.in/about-the-division/</t>
        </is>
      </c>
      <c r="I39" s="28" t="inlineStr">
        <is>
          <t>Open</t>
        </is>
      </c>
      <c r="J39" s="28" t="n"/>
      <c r="K39" s="28" t="n"/>
      <c r="L39" s="28" t="inlineStr">
        <is>
          <t>env: live  ·  Scope: Global — fix once, lands everywhere</t>
        </is>
      </c>
      <c r="M39" s="28" t="inlineStr">
        <is>
          <t>Global</t>
        </is>
      </c>
    </row>
    <row r="40">
      <c r="A40" s="27" t="inlineStr">
        <is>
          <t>WEB-GLOBAL-081</t>
        </is>
      </c>
      <c r="B40" s="28" t="inlineStr">
        <is>
          <t>Global · Automated accessibility violation — region</t>
        </is>
      </c>
      <c r="C40" s="28" t="inlineStr">
        <is>
          <t>Accessibility</t>
        </is>
      </c>
      <c r="D40" s="28" t="inlineStr">
        <is>
          <t>Minor</t>
        </is>
      </c>
      <c r="E40" s="28" t="inlineStr">
        <is>
          <t>Figma: GIGW 3.0 mandates WCAG 2.2 AA conformance; axe-core tests a subset of it programmatically.  →  Live: All page content should be contained by landmarks — &lt;a class="skip-link screen-reader-text" href="#content"&gt;Skip to content&lt;/a&gt; (region, ). Measured on 78 pages.</t>
        </is>
      </c>
      <c r="F40" s="28" t="inlineStr">
        <is>
          <t>Move the skip link and the floating widgets inside a landmark, or give their wrapper `role="region"` with an `aria-label`; all visible content must sit in header/nav/main/footer.</t>
        </is>
      </c>
      <c r="G40" s="28" t="n"/>
      <c r="H40" s="28" t="inlineStr">
        <is>
          <t>https://www.dosje.gov.in/acts-rules/</t>
        </is>
      </c>
      <c r="I40" s="28" t="inlineStr">
        <is>
          <t>Open</t>
        </is>
      </c>
      <c r="J40" s="28" t="n"/>
      <c r="K40" s="28" t="n"/>
      <c r="L40" s="28" t="inlineStr">
        <is>
          <t>env: live  ·  Scope: Global — fix once, lands everywhere</t>
        </is>
      </c>
      <c r="M40" s="28" t="inlineStr">
        <is>
          <t>Global</t>
        </is>
      </c>
    </row>
    <row r="41">
      <c r="A41" s="27" t="inlineStr">
        <is>
          <t>WEB-GLOBAL-082</t>
        </is>
      </c>
      <c r="B41" s="28" t="inlineStr">
        <is>
          <t>Global · Automated accessibility violation — skip-link</t>
        </is>
      </c>
      <c r="C41" s="28" t="inlineStr">
        <is>
          <t>Accessibility</t>
        </is>
      </c>
      <c r="D41" s="28" t="inlineStr">
        <is>
          <t>Minor</t>
        </is>
      </c>
      <c r="E41" s="28" t="inlineStr">
        <is>
          <t>Figma: GIGW 3.0 mandates WCAG 2.2 AA conformance; axe-core tests a subset of it programmatically.  →  Live: The skip-link target should exist and be focusable — &lt;a class="skip-link screen-reader-text" href="#content"&gt;Skip to content&lt;/a&gt; (skip-link, ). Measured on 70 pages.</t>
        </is>
      </c>
      <c r="F41" s="28" t="inlineStr">
        <is>
          <t>This page template has no `&lt;main&gt;` element, so “Skip to content” points at `#content`, which does not exist. Wrap the page content in `&lt;main id="content"&gt;` — as the About Us template already does (verified on /policies/ and /newsletter/, 18 Sep).</t>
        </is>
      </c>
      <c r="G41" s="28" t="n"/>
      <c r="H41" s="28" t="inlineStr">
        <is>
          <t>https://www.dosje.gov.in/acts-rules/</t>
        </is>
      </c>
      <c r="I41" s="28" t="inlineStr">
        <is>
          <t>Open</t>
        </is>
      </c>
      <c r="J41" s="28" t="n"/>
      <c r="K41" s="28" t="n"/>
      <c r="L41" s="28" t="inlineStr">
        <is>
          <t>env: live  ·  Scope: Global — fix once, lands everywhere</t>
        </is>
      </c>
      <c r="M41" s="28" t="inlineStr">
        <is>
          <t>Global</t>
        </is>
      </c>
    </row>
    <row r="42">
      <c r="A42" s="27" t="inlineStr">
        <is>
          <t>WEB-GLOBAL-071</t>
        </is>
      </c>
      <c r="B42" s="28" t="inlineStr">
        <is>
          <t>Global · Page title or description missing — meta description</t>
        </is>
      </c>
      <c r="C42" s="28" t="inlineStr">
        <is>
          <t>Content &amp; Iconography</t>
        </is>
      </c>
      <c r="D42" s="28" t="inlineStr">
        <is>
          <t>Minor</t>
        </is>
      </c>
      <c r="E42" s="28" t="inlineStr">
        <is>
          <t>Figma: GIGW 3.0: every page publishes a descriptive title and meta description.  →  Live: The page publishes no meta description. Measured on 56 pages.</t>
        </is>
      </c>
      <c r="F42" s="28" t="inlineStr">
        <is>
          <t>Add a meta description of 120–160 characters saying what the page offers (Yoast/Rank Math → the page's SEO box).</t>
        </is>
      </c>
      <c r="G42" s="28" t="n"/>
      <c r="H42" s="28" t="inlineStr">
        <is>
          <t>https://www.dosje.gov.in/advertisement/</t>
        </is>
      </c>
      <c r="I42" s="28" t="inlineStr">
        <is>
          <t>Open</t>
        </is>
      </c>
      <c r="J42" s="28" t="n"/>
      <c r="K42" s="28" t="n"/>
      <c r="L42" s="28" t="inlineStr">
        <is>
          <t>env: live  ·  Scope: Global — fix once, lands everywhere</t>
        </is>
      </c>
      <c r="M42" s="28" t="inlineStr">
        <is>
          <t>Global</t>
        </is>
      </c>
    </row>
    <row r="43">
      <c r="A43" s="27" t="inlineStr">
        <is>
          <t>WEB-GLOBAL-072</t>
        </is>
      </c>
      <c r="B43" s="28" t="inlineStr">
        <is>
          <t>Global · Icon size outside the DBIM set — Icon-Container.svg</t>
        </is>
      </c>
      <c r="C43" s="28" t="inlineStr">
        <is>
          <t>Content &amp; Iconography</t>
        </is>
      </c>
      <c r="D43" s="28" t="inlineStr">
        <is>
          <t>Minor</t>
        </is>
      </c>
      <c r="E43" s="28" t="inlineStr">
        <is>
          <t>Figma: DBIM 3.0 §3.7: icons are drawn at 24, 32, 48 or 64px, in proportion.  →  Live: 6 icon(s) render at sizes outside DBIM 3.7's set (24/32/48/64 px) — the first is Icon-Container.svg at 35×35px. Measured on 20 pages.</t>
        </is>
      </c>
      <c r="F43" s="28" t="inlineStr">
        <is>
          <t>Export “Icon-Container.svg” at 24px (or 32 / 48 / 64) and render it at that size, keeping its proportion.</t>
        </is>
      </c>
      <c r="G43" s="28" t="n"/>
      <c r="H43" s="28" t="inlineStr">
        <is>
          <t>https://www.dosje.gov.in/home-page/for-beneficiary/</t>
        </is>
      </c>
      <c r="I43" s="28" t="inlineStr">
        <is>
          <t>Open</t>
        </is>
      </c>
      <c r="J43" s="28" t="n"/>
      <c r="K43" s="28" t="n"/>
      <c r="L43" s="28" t="inlineStr">
        <is>
          <t>env: live  ·  Scope: Global — fix once, lands everywhere</t>
        </is>
      </c>
      <c r="M43" s="28" t="inlineStr">
        <is>
          <t>Global</t>
        </is>
      </c>
    </row>
    <row r="44">
      <c r="A44" s="27" t="inlineStr">
        <is>
          <t>WEB-GLOBAL-076</t>
        </is>
      </c>
      <c r="B44" s="28" t="inlineStr">
        <is>
          <t>Global · Font size outside the UX4G type scale — 15px text</t>
        </is>
      </c>
      <c r="C44" s="28" t="inlineStr">
        <is>
          <t>Typography</t>
        </is>
      </c>
      <c r="D44" s="28" t="inlineStr">
        <is>
          <t>Minor</t>
        </is>
      </c>
      <c r="E44" s="28" t="inlineStr">
        <is>
          <t>Figma: UX4G 3.0 §2.3: font sizes come from the published type scale (12/14/16/18/20/24/28/32/36/40/52/60), and Body/XS 12px is the minimum.  →  Live: 19 element(s) render at 15px, which is not on the UX4G type scale (12/14/16/18/20/24/28/32/36/40/52/60). Measured on 19 pages.</t>
        </is>
      </c>
      <c r="F44" s="28" t="inlineStr">
        <is>
          <t>Change the 15px text to 16px (Body/M on the UX4G scale).</t>
        </is>
      </c>
      <c r="G44" s="28" t="n"/>
      <c r="H44" s="28" t="inlineStr">
        <is>
          <t>https://www.dosje.gov.in/contact-us/</t>
        </is>
      </c>
      <c r="I44" s="28" t="inlineStr">
        <is>
          <t>Open</t>
        </is>
      </c>
      <c r="J44" s="28" t="n"/>
      <c r="K44" s="28" t="n"/>
      <c r="L44" s="28" t="inlineStr">
        <is>
          <t>env: live  ·  Scope: Global — fix once, lands everywhere</t>
        </is>
      </c>
      <c r="M44" s="28" t="inlineStr">
        <is>
          <t>Global</t>
        </is>
      </c>
    </row>
    <row r="45">
      <c r="A45" s="27" t="inlineStr">
        <is>
          <t>WEB-GLOBAL-077</t>
        </is>
      </c>
      <c r="B45" s="28" t="inlineStr">
        <is>
          <t>Global · Font size outside the UX4G type scale — 22px text</t>
        </is>
      </c>
      <c r="C45" s="28" t="inlineStr">
        <is>
          <t>Typography</t>
        </is>
      </c>
      <c r="D45" s="28" t="inlineStr">
        <is>
          <t>Minor</t>
        </is>
      </c>
      <c r="E45" s="28" t="inlineStr">
        <is>
          <t>Figma: UX4G 3.0 §2.3: font sizes come from the published type scale (12/14/16/18/20/24/28/32/36/40/52/60), and Body/XS 12px is the minimum.  →  Live: 5 element(s) render at 22px, which is not on the UX4G type scale (12/14/16/18/20/24/28/32/36/40/52/60). Measured on 19 pages.</t>
        </is>
      </c>
      <c r="F45" s="28" t="inlineStr">
        <is>
          <t>Change the 22px text to 24px (Heading/M on the UX4G scale).</t>
        </is>
      </c>
      <c r="G45" s="28" t="n"/>
      <c r="H45" s="28" t="inlineStr">
        <is>
          <t>https://www.dosje.gov.in/</t>
        </is>
      </c>
      <c r="I45" s="28" t="inlineStr">
        <is>
          <t>Open</t>
        </is>
      </c>
      <c r="J45" s="28" t="n"/>
      <c r="K45" s="28" t="n"/>
      <c r="L45" s="28" t="inlineStr">
        <is>
          <t>env: live  ·  Scope: Global — fix once, lands everywhere</t>
        </is>
      </c>
      <c r="M45" s="28" t="inlineStr">
        <is>
          <t>Global</t>
        </is>
      </c>
    </row>
    <row r="46">
      <c r="A46" s="27" t="inlineStr">
        <is>
          <t>WEB-GLOBAL-083</t>
        </is>
      </c>
      <c r="B46" s="28" t="inlineStr">
        <is>
          <t>Global · Automated accessibility violation — landmark-unique</t>
        </is>
      </c>
      <c r="C46" s="28" t="inlineStr">
        <is>
          <t>Accessibility</t>
        </is>
      </c>
      <c r="D46" s="28" t="inlineStr">
        <is>
          <t>Minor</t>
        </is>
      </c>
      <c r="E46" s="28" t="inlineStr">
        <is>
          <t>Figma: GIGW 3.0 mandates WCAG 2.2 AA conformance; axe-core tests a subset of it programmatically.  →  Live: Landmarks should have a unique role or role/label/title (i.e. accessible name) combination — &lt;nav class="e-n-menu" data-widget-number="240" aria-label="Menu" data-touch-mode="false" data-layout="horizontal"&gt; (landmark-unique, ). Measured on 17 pages.</t>
        </is>
      </c>
      <c r="F46" s="28" t="inlineStr">
        <is>
          <t>Give each navigation a different name: e.g. `aria-label="Main menu"` on the header nav and `aria-label="Footer menu"` on the footer nav.</t>
        </is>
      </c>
      <c r="G46" s="28" t="n"/>
      <c r="H46" s="28" t="inlineStr">
        <is>
          <t>https://www.dosje.gov.in/cpio/</t>
        </is>
      </c>
      <c r="I46" s="28" t="inlineStr">
        <is>
          <t>Open</t>
        </is>
      </c>
      <c r="J46" s="28" t="n"/>
      <c r="K46" s="28" t="n"/>
      <c r="L46" s="28" t="inlineStr">
        <is>
          <t>env: live  ·  Scope: Global — fix once, lands everywhere</t>
        </is>
      </c>
      <c r="M46" s="28" t="inlineStr">
        <is>
          <t>Global</t>
        </is>
      </c>
    </row>
    <row r="47">
      <c r="A47" s="27" t="inlineStr">
        <is>
          <t>WEB-GLOBAL-087</t>
        </is>
      </c>
      <c r="B47" s="28" t="inlineStr">
        <is>
          <t>Global · Focus indicator too faint to find — Pagination page numbers</t>
        </is>
      </c>
      <c r="C47" s="28" t="inlineStr">
        <is>
          <t>Components &amp; States</t>
        </is>
      </c>
      <c r="D47" s="28" t="inlineStr">
        <is>
          <t>Minor</t>
        </is>
      </c>
      <c r="E47" s="28" t="inlineStr">
        <is>
          <t>Figma: WCAG 2.2 AA (2.4.7): every keyboard-focusable control shows a visible focus indicator. DBIM and UX4G both draw a 4px ring.  →  Live: Pagination page numbers: screenshotted focused and then blurred, only 1.3% of the region changes — the digit turns from grey to black, with no ring or fill, which is hard to find on a page. Measured on 8 pages.</t>
        </is>
      </c>
      <c r="F47" s="28" t="inlineStr">
        <is>
          <t>Add a visible focus style to the pagination links (`.pagination a`, `.page-link`): `:focus-visible { outline: 2px solid #0373DF; outline-offset: 2px; }` — and remove any `outline: none` that overrides it; the current page needs a different style from the focused one, so a keyboard user can tell them apart.</t>
        </is>
      </c>
      <c r="G47" s="28" t="n"/>
      <c r="H47" s="28" t="inlineStr">
        <is>
          <t>https://www.dosje.gov.in/annual-reports/</t>
        </is>
      </c>
      <c r="I47" s="28" t="inlineStr">
        <is>
          <t>Open</t>
        </is>
      </c>
      <c r="J47" s="28" t="n"/>
      <c r="K47" s="28" t="n"/>
      <c r="L47" s="28" t="inlineStr">
        <is>
          <t>env: live  ·  Scope: Global — fix once, lands everywhere</t>
        </is>
      </c>
      <c r="M47" s="28" t="inlineStr">
        <is>
          <t>Global</t>
        </is>
      </c>
    </row>
    <row r="48">
      <c r="A48" s="27" t="inlineStr">
        <is>
          <t>WEB-GLOBAL-074</t>
        </is>
      </c>
      <c r="B48" s="28" t="inlineStr">
        <is>
          <t>Global · Typeface other than Noto Sans — Helvetica</t>
        </is>
      </c>
      <c r="C48" s="28" t="inlineStr">
        <is>
          <t>Typography</t>
        </is>
      </c>
      <c r="D48" s="28" t="inlineStr">
        <is>
          <t>Minor</t>
        </is>
      </c>
      <c r="E48" s="28" t="inlineStr">
        <is>
          <t>Figma: UX4G 3.0 §2.2 and the Government standard: Noto Sans across the estate.  →  Live: 3 element(s) render in Helvetica. Noto Sans is the mandated typeface across Government of India properties. Measured on 3 pages.</t>
        </is>
      </c>
      <c r="F48" s="28" t="inlineStr">
        <is>
          <t>Set “Helvetica” to Noto Sans (`font-family: "Noto Sans", sans-serif`).</t>
        </is>
      </c>
      <c r="G48" s="28" t="n"/>
      <c r="H48" s="28" t="inlineStr">
        <is>
          <t>https://www.dosje.gov.in/events/ek-ped-maa-ke-naam-6/</t>
        </is>
      </c>
      <c r="I48" s="28" t="inlineStr">
        <is>
          <t>Open</t>
        </is>
      </c>
      <c r="J48" s="28" t="n"/>
      <c r="K48" s="28" t="n"/>
      <c r="L48" s="28" t="inlineStr">
        <is>
          <t>env: live  ·  Scope: Global — fix once, lands everywhere</t>
        </is>
      </c>
      <c r="M48" s="28" t="inlineStr">
        <is>
          <t>Global</t>
        </is>
      </c>
    </row>
    <row r="49">
      <c r="A49" s="27" t="inlineStr">
        <is>
          <t>WEB-GLOBAL-073</t>
        </is>
      </c>
      <c r="B49" s="28" t="inlineStr">
        <is>
          <t>Global · Built value differs from the design — Choose a portal to visit</t>
        </is>
      </c>
      <c r="C49" s="28" t="inlineStr">
        <is>
          <t>Typography</t>
        </is>
      </c>
      <c r="D49" s="28" t="inlineStr">
        <is>
          <t>Minor</t>
        </is>
      </c>
      <c r="E49" s="28" t="inlineStr">
        <is>
          <t>Figma: The approved Figma handoff frame for this screen. Built 500 weight · design 600  →  Live: “Choose a portal to visit” — weight 600 → 500. Measured on 4 pages.</t>
        </is>
      </c>
      <c r="F49" s="28" t="inlineStr">
        <is>
          <t>On “Choose a portal to visit”, change 500 weight to 600 — as in the Figma frame (link on this board). Make the change in the shared style for this element, so every page using it follows.</t>
        </is>
      </c>
      <c r="G49" s="28" t="inlineStr">
        <is>
          <t>https://www.figma.com/design/Ds5qx61QsI0ZkYSrLKxo0A/MoSJE--Handoff-?node-id=7116-34665</t>
        </is>
      </c>
      <c r="H49" s="28" t="n"/>
      <c r="I49" s="28" t="inlineStr">
        <is>
          <t>Open</t>
        </is>
      </c>
      <c r="J49" s="28" t="n"/>
      <c r="K49" s="28" t="n"/>
      <c r="L49" s="28" t="inlineStr">
        <is>
          <t>env: live  ·  Scope: Global — fix once, lands everywhere</t>
        </is>
      </c>
      <c r="M49" s="28" t="inlineStr">
        <is>
          <t>Global</t>
        </is>
      </c>
    </row>
    <row r="50">
      <c r="A50" s="27" t="inlineStr">
        <is>
          <t>WEB-GLOBAL-115</t>
        </is>
      </c>
      <c r="B50" s="28" t="inlineStr">
        <is>
          <t>Global · Built value differs from the design — Current Events</t>
        </is>
      </c>
      <c r="C50" s="28" t="inlineStr">
        <is>
          <t>Typography</t>
        </is>
      </c>
      <c r="D50" s="28" t="inlineStr">
        <is>
          <t>Minor</t>
        </is>
      </c>
      <c r="E50" s="28" t="inlineStr">
        <is>
          <t>Figma: The approved Figma handoff frame for this screen. Built 22px · design 20px  →  Live: “Current Events” — size 20 → 22. Measured on 4 pages.</t>
        </is>
      </c>
      <c r="F50" s="28" t="inlineStr">
        <is>
          <t>On “Current Events”, change 22px to 20px — as in the Figma frame (link on this board). Make the change in the shared style for this element, so every page using it follows.</t>
        </is>
      </c>
      <c r="G50" s="28" t="inlineStr">
        <is>
          <t>https://www.figma.com/design/Ds5qx61QsI0ZkYSrLKxo0A/MoSJE--Handoff-?node-id=4571-114418</t>
        </is>
      </c>
      <c r="H50" s="28" t="n"/>
      <c r="I50" s="28" t="inlineStr">
        <is>
          <t>Open</t>
        </is>
      </c>
      <c r="J50" s="28" t="n"/>
      <c r="K50" s="28" t="n"/>
      <c r="L50" s="28" t="inlineStr">
        <is>
          <t>env: live  ·  Scope: Global — fix once, lands everywhere</t>
        </is>
      </c>
      <c r="M50" s="28" t="inlineStr">
        <is>
          <t>Global</t>
        </is>
      </c>
    </row>
    <row r="51">
      <c r="A51" s="27" t="inlineStr">
        <is>
          <t>WEB-GLOBAL-114</t>
        </is>
      </c>
      <c r="B51" s="28" t="inlineStr">
        <is>
          <t>Global · Built value differs from the design</t>
        </is>
      </c>
      <c r="C51" s="28" t="inlineStr">
        <is>
          <t>Typography</t>
        </is>
      </c>
      <c r="D51" s="28" t="inlineStr">
        <is>
          <t>Minor</t>
        </is>
      </c>
      <c r="E51" s="28" t="inlineStr">
        <is>
          <t>Figma: The approved Figma handoff frame for this screen. Built 16px · design 14px  →  Live: “Access official reports released by the Commission and its associated ” — size 14 → 16. Measured on 3 pages.</t>
        </is>
      </c>
      <c r="F51" s="28" t="inlineStr">
        <is>
          <t>On “Access official reports released by the Commission and its a”, change 16px to 14px — as in the Figma frame (link on this board). Make the change in the shared style for this element, so every page using it follows.</t>
        </is>
      </c>
      <c r="G51" s="28" t="inlineStr">
        <is>
          <t>https://www.figma.com/design/Ds5qx61QsI0ZkYSrLKxo0A/MoSJE--Handoff-?node-id=4571-109359</t>
        </is>
      </c>
      <c r="H51" s="28" t="n"/>
      <c r="I51" s="28" t="inlineStr">
        <is>
          <t>Open</t>
        </is>
      </c>
      <c r="J51" s="28" t="n"/>
      <c r="K51" s="28" t="n"/>
      <c r="L51" s="28" t="inlineStr">
        <is>
          <t>env: live  ·  Scope: Global — fix once, lands everywhere</t>
        </is>
      </c>
      <c r="M51" s="28" t="inlineStr">
        <is>
          <t>Global</t>
        </is>
      </c>
    </row>
    <row r="52">
      <c r="A52" s="27" t="inlineStr">
        <is>
          <t>WEB-SCREEN-012</t>
        </is>
      </c>
      <c r="B52" s="28" t="inlineStr">
        <is>
          <t>About The Division Social Defence · mobile</t>
        </is>
      </c>
      <c r="C52" s="28" t="inlineStr">
        <is>
          <t>Layout &amp; Spacing</t>
        </is>
      </c>
      <c r="D52" s="28" t="inlineStr">
        <is>
          <t>Blocker</t>
        </is>
      </c>
      <c r="E52" s="28" t="inlineStr">
        <is>
          <t>Figma: WCAG 2.2 AA (1.4.10): content reflows to 320 CSS px with no horizontal scrolling.  →  Live: The widest element is the link “https://www.dosje.gov.in/organisation/national-po…”. The page scrolls horizontally at 375px: content reaches 446px. WCAG 1.4.10 requires reflow without a horizontal scrollbar down to 320 CSS px. Measured on 2 pages.</t>
        </is>
      </c>
      <c r="F52" s="28" t="inlineStr">
        <is>
          <t>At 375px the page is 446px wide; the cause is the link “https://www.dosje.gov.in/organisation/national-po…”. For a long link or word add `overflow-wrap: anywhere` to its paragraph; for a table, wrap it in a container with `overflow-x: auto`. The page itself must never scroll sideways.</t>
        </is>
      </c>
      <c r="G52" s="28" t="n"/>
      <c r="H52" s="28" t="inlineStr">
        <is>
          <t>https://www.dosje.gov.in/about-the-division-social-defence/</t>
        </is>
      </c>
      <c r="I52" s="28" t="inlineStr">
        <is>
          <t>Open</t>
        </is>
      </c>
      <c r="J52" s="28" t="n"/>
      <c r="K52" s="28" t="n"/>
      <c r="L52" s="28" t="inlineStr">
        <is>
          <t>env: live</t>
        </is>
      </c>
      <c r="M52" s="28" t="inlineStr">
        <is>
          <t>Screen</t>
        </is>
      </c>
    </row>
    <row r="53">
      <c r="A53" s="27" t="inlineStr">
        <is>
          <t>WEB-SCREEN-357</t>
        </is>
      </c>
      <c r="B53" s="28" t="inlineStr">
        <is>
          <t>About Us · desktop</t>
        </is>
      </c>
      <c r="C53" s="28" t="inlineStr">
        <is>
          <t>Content &amp; Iconography</t>
        </is>
      </c>
      <c r="D53" s="28" t="inlineStr">
        <is>
          <t>Major</t>
        </is>
      </c>
      <c r="E53" s="28" t="inlineStr">
        <is>
          <t>Figma: The approved Figma handoff frame for this screen. Design: “matters related to the national schedule” · absent from the build  →  Live: The design frame carries this copy and nothing with the same text renders on the live page: “Matters related to the National Schedule”; “Discover the initiatives that drive nati”. Also measured on the 375px capture of the same page.</t>
        </is>
      </c>
      <c r="F53" s="28" t="inlineStr">
        <is>
          <t>Add this copy where the Figma frame places it (each piece is outlined on the design panel): “Matters related to the National Schedule”; “Discover the initiatives that drive nati”. Where a piece was dropped on purpose, tell the design team so the frame is updated instead.</t>
        </is>
      </c>
      <c r="G53" s="28" t="inlineStr">
        <is>
          <t>https://www.figma.com/design/Ds5qx61QsI0ZkYSrLKxo0A/MoSJE--Handoff-?node-id=3453-8567</t>
        </is>
      </c>
      <c r="H53" s="28" t="inlineStr">
        <is>
          <t>https://www.dosje.gov.in/about-us/</t>
        </is>
      </c>
      <c r="I53" s="28" t="inlineStr">
        <is>
          <t>Open</t>
        </is>
      </c>
      <c r="J53" s="28" t="n"/>
      <c r="K53" s="28" t="n"/>
      <c r="L53" s="28" t="inlineStr">
        <is>
          <t>env: live</t>
        </is>
      </c>
      <c r="M53" s="28" t="inlineStr">
        <is>
          <t>Screen</t>
        </is>
      </c>
    </row>
    <row r="54">
      <c r="A54" s="27" t="inlineStr">
        <is>
          <t>WEB-SCREEN-406</t>
        </is>
      </c>
      <c r="B54" s="28" t="inlineStr">
        <is>
          <t>About Us · desktop</t>
        </is>
      </c>
      <c r="C54" s="28" t="inlineStr">
        <is>
          <t>Typography</t>
        </is>
      </c>
      <c r="D54" s="28" t="inlineStr">
        <is>
          <t>Major</t>
        </is>
      </c>
      <c r="E54" s="28" t="inlineStr">
        <is>
          <t>Figma: The approved Figma handoff frame for this screen. Built 400 weight · design 500 · Built #1F2937 · design #343A40  →  Live: “Evolution of the Department Over Time” — weight 500 → 400; colour #343A40 → #1F2937. Measured on 2 pages.</t>
        </is>
      </c>
      <c r="F54" s="28" t="inlineStr">
        <is>
          <t>On “Evolution of the Department Over Time”, change 400 weight to 500; change #1F2937 to #343A40 — as in the Figma frame (link on this board). Make the change in the shared style for this element, so every page using it follows.</t>
        </is>
      </c>
      <c r="G54" s="28" t="inlineStr">
        <is>
          <t>https://www.figma.com/design/Ds5qx61QsI0ZkYSrLKxo0A/MoSJE--Handoff-?node-id=3453-8567</t>
        </is>
      </c>
      <c r="H54" s="28" t="inlineStr">
        <is>
          <t>https://www.dosje.gov.in/about-us/</t>
        </is>
      </c>
      <c r="I54" s="28" t="inlineStr">
        <is>
          <t>Open</t>
        </is>
      </c>
      <c r="J54" s="28" t="n"/>
      <c r="K54" s="28" t="n"/>
      <c r="L54" s="28" t="inlineStr">
        <is>
          <t>env: live</t>
        </is>
      </c>
      <c r="M54" s="28" t="inlineStr">
        <is>
          <t>Screen</t>
        </is>
      </c>
    </row>
    <row r="55">
      <c r="A55" s="27" t="inlineStr">
        <is>
          <t>WEB-SCREEN-001</t>
        </is>
      </c>
      <c r="B55" s="28" t="inlineStr">
        <is>
          <t>About Us · desktop</t>
        </is>
      </c>
      <c r="C55" s="28" t="inlineStr">
        <is>
          <t>Accessibility</t>
        </is>
      </c>
      <c r="D55" s="28" t="inlineStr">
        <is>
          <t>Blocker</t>
        </is>
      </c>
      <c r="E55" s="28" t="inlineStr">
        <is>
          <t>Figma: GIGW 3.0 mandates WCAG 2.2 AA conformance; axe-core tests a subset of it programmatically.  →  Live: Certain ARIA roles must contain particular children — &lt;div class="elementor-loop-container elementor-grid" role="list"&gt; (aria-required-children, wcag2a, wcag131). Also measured on the 375px capture of the same page.</t>
        </is>
      </c>
      <c r="F55" s="28" t="inlineStr">
        <is>
          <t>The card grid has `role="list"` but its cards are not `role="listitem"`. Either add `role="listitem"` to each card or remove `role="list"`.</t>
        </is>
      </c>
      <c r="G55" s="28" t="inlineStr">
        <is>
          <t>https://www.figma.com/design/Ds5qx61QsI0ZkYSrLKxo0A/MoSJE--Handoff-?node-id=3453-8567</t>
        </is>
      </c>
      <c r="H55" s="28" t="inlineStr">
        <is>
          <t>https://www.dosje.gov.in/about-us/</t>
        </is>
      </c>
      <c r="I55" s="28" t="inlineStr">
        <is>
          <t>Open</t>
        </is>
      </c>
      <c r="J55" s="28" t="n"/>
      <c r="K55" s="28" t="n"/>
      <c r="L55" s="28" t="inlineStr">
        <is>
          <t>env: live</t>
        </is>
      </c>
      <c r="M55" s="28" t="inlineStr">
        <is>
          <t>Screen</t>
        </is>
      </c>
    </row>
    <row r="56">
      <c r="A56" s="27" t="inlineStr">
        <is>
          <t>WEB-SCREEN-405</t>
        </is>
      </c>
      <c r="B56" s="28" t="inlineStr">
        <is>
          <t>About Us · desktop</t>
        </is>
      </c>
      <c r="C56" s="28" t="inlineStr">
        <is>
          <t>Typography</t>
        </is>
      </c>
      <c r="D56" s="28" t="inlineStr">
        <is>
          <t>Major</t>
        </is>
      </c>
      <c r="E56" s="28" t="inlineStr">
        <is>
          <t>Figma: The approved Figma handoff frame for this screen. Built 12px · design 14px · Built #5E5E5E · design #374151  →  Live: “Union Minister of Social Justice and Empowerment” — size 14 → 12; colour #374151 → #5E5E5E.</t>
        </is>
      </c>
      <c r="F56" s="28" t="inlineStr">
        <is>
          <t>On “Union Minister of Social Justice and Empowerment”, change 12px to 14px; change #5E5E5E to #374151 — as in the Figma frame (link on this board). Make the change in the shared style for this element, so every page using it follows.</t>
        </is>
      </c>
      <c r="G56" s="28" t="inlineStr">
        <is>
          <t>https://www.figma.com/design/Ds5qx61QsI0ZkYSrLKxo0A/MoSJE--Handoff-?node-id=3453-8567</t>
        </is>
      </c>
      <c r="H56" s="28" t="inlineStr">
        <is>
          <t>https://www.dosje.gov.in/about-us/</t>
        </is>
      </c>
      <c r="I56" s="28" t="inlineStr">
        <is>
          <t>Open</t>
        </is>
      </c>
      <c r="J56" s="28" t="n"/>
      <c r="K56" s="28" t="n"/>
      <c r="L56" s="28" t="inlineStr">
        <is>
          <t>env: live</t>
        </is>
      </c>
      <c r="M56" s="28" t="inlineStr">
        <is>
          <t>Screen</t>
        </is>
      </c>
    </row>
    <row r="57">
      <c r="A57" s="27" t="inlineStr">
        <is>
          <t>WEB-SCREEN-284</t>
        </is>
      </c>
      <c r="B57" s="28" t="inlineStr">
        <is>
          <t>About Us · desktop</t>
        </is>
      </c>
      <c r="C57" s="28" t="inlineStr">
        <is>
          <t>Typography</t>
        </is>
      </c>
      <c r="D57" s="28" t="inlineStr">
        <is>
          <t>Minor</t>
        </is>
      </c>
      <c r="E57" s="28" t="inlineStr">
        <is>
          <t>Figma: UX4G 3.0 §2.2 and the Government standard: Noto Sans across the estate.  →  Live: 80 element(s) render in Arial. Noto Sans is the mandated typeface across Government of India properties. Also measured on the 375px capture of the same page.</t>
        </is>
      </c>
      <c r="F57" s="28" t="inlineStr">
        <is>
          <t>Set “Arial” to Noto Sans (`font-family: "Noto Sans", sans-serif`).</t>
        </is>
      </c>
      <c r="G57" s="28" t="inlineStr">
        <is>
          <t>https://www.figma.com/design/Ds5qx61QsI0ZkYSrLKxo0A/MoSJE--Handoff-?node-id=3453-8567</t>
        </is>
      </c>
      <c r="H57" s="28" t="inlineStr">
        <is>
          <t>https://www.dosje.gov.in/about-us/</t>
        </is>
      </c>
      <c r="I57" s="28" t="inlineStr">
        <is>
          <t>Open</t>
        </is>
      </c>
      <c r="J57" s="28" t="n"/>
      <c r="K57" s="28" t="n"/>
      <c r="L57" s="28" t="inlineStr">
        <is>
          <t>env: live</t>
        </is>
      </c>
      <c r="M57" s="28" t="inlineStr">
        <is>
          <t>Screen</t>
        </is>
      </c>
    </row>
    <row r="58">
      <c r="A58" s="27" t="inlineStr">
        <is>
          <t>WEB-SCREEN-396</t>
        </is>
      </c>
      <c r="B58" s="28" t="inlineStr">
        <is>
          <t>About Us · mobile</t>
        </is>
      </c>
      <c r="C58" s="28" t="inlineStr">
        <is>
          <t>Typography</t>
        </is>
      </c>
      <c r="D58" s="28" t="inlineStr">
        <is>
          <t>Major</t>
        </is>
      </c>
      <c r="E58" s="28" t="inlineStr">
        <is>
          <t>Figma: The approved Figma handoff frame for this screen. Built 28px · design 20px · Built 500 weight · design 600  →  Live: “Overview” — size 20 → 28; weight 600 → 500. Measured on 2 pages.</t>
        </is>
      </c>
      <c r="F58" s="28" t="inlineStr">
        <is>
          <t>On “Overview”, change 28px to 20px; change 500 weight to 600 — as in the Figma frame (link on this board). Make the change in the shared style for this element, so every page using it follows.</t>
        </is>
      </c>
      <c r="G58" s="28" t="inlineStr">
        <is>
          <t>https://www.figma.com/design/Ds5qx61QsI0ZkYSrLKxo0A/MoSJE--Handoff-?node-id=4571-88901</t>
        </is>
      </c>
      <c r="H58" s="28" t="inlineStr">
        <is>
          <t>https://www.dosje.gov.in/about-us/</t>
        </is>
      </c>
      <c r="I58" s="28" t="inlineStr">
        <is>
          <t>Open</t>
        </is>
      </c>
      <c r="J58" s="28" t="n"/>
      <c r="K58" s="28" t="n"/>
      <c r="L58" s="28" t="inlineStr">
        <is>
          <t>env: live</t>
        </is>
      </c>
      <c r="M58" s="28" t="inlineStr">
        <is>
          <t>Screen</t>
        </is>
      </c>
    </row>
    <row r="59">
      <c r="A59" s="27" t="inlineStr">
        <is>
          <t>WEB-SCREEN-394</t>
        </is>
      </c>
      <c r="B59" s="28" t="inlineStr">
        <is>
          <t>About Us · mobile</t>
        </is>
      </c>
      <c r="C59" s="28" t="inlineStr">
        <is>
          <t>Typography</t>
        </is>
      </c>
      <c r="D59" s="28" t="inlineStr">
        <is>
          <t>Major</t>
        </is>
      </c>
      <c r="E59" s="28" t="inlineStr">
        <is>
          <t>Figma: The approved Figma handoff frame for this screen. Built 16px · design 12px · Built #1F2937 · design #343A40  →  Live: “Evolution of the Department Over Time” — size 12 → 16; colour #343A40 → #1F2937. Measured on 2 pages.</t>
        </is>
      </c>
      <c r="F59" s="28" t="inlineStr">
        <is>
          <t>On “Evolution of the Department Over Time”, change 16px to 12px; change #1F2937 to #343A40 — as in the Figma frame (link on this board). Make the change in the shared style for this element, so every page using it follows.</t>
        </is>
      </c>
      <c r="G59" s="28" t="inlineStr">
        <is>
          <t>https://www.figma.com/design/Ds5qx61QsI0ZkYSrLKxo0A/MoSJE--Handoff-?node-id=4571-88901</t>
        </is>
      </c>
      <c r="H59" s="28" t="inlineStr">
        <is>
          <t>https://www.dosje.gov.in/about-us/</t>
        </is>
      </c>
      <c r="I59" s="28" t="inlineStr">
        <is>
          <t>Open</t>
        </is>
      </c>
      <c r="J59" s="28" t="n"/>
      <c r="K59" s="28" t="n"/>
      <c r="L59" s="28" t="inlineStr">
        <is>
          <t>env: live</t>
        </is>
      </c>
      <c r="M59" s="28" t="inlineStr">
        <is>
          <t>Screen</t>
        </is>
      </c>
    </row>
    <row r="60">
      <c r="A60" s="27" t="inlineStr">
        <is>
          <t>WEB-SCREEN-395</t>
        </is>
      </c>
      <c r="B60" s="28" t="inlineStr">
        <is>
          <t>About Us · mobile</t>
        </is>
      </c>
      <c r="C60" s="28" t="inlineStr">
        <is>
          <t>Typography</t>
        </is>
      </c>
      <c r="D60" s="28" t="inlineStr">
        <is>
          <t>Major</t>
        </is>
      </c>
      <c r="E60" s="28" t="inlineStr">
        <is>
          <t>Figma: The approved Figma handoff frame for this screen. Built 20px · design 16px · Built 600 weight · design 500 · Built #1F2937 · design #1F2428  →  Live: “Formation of the Ministry of Welfare” — size 16 → 20; weight 500 → 600; colour #1F2428 → #1F2937.</t>
        </is>
      </c>
      <c r="F60" s="28" t="inlineStr">
        <is>
          <t>On “Formation of the Ministry of Welfare”, change 20px to 16px; change 600 weight to 500; change #1F2937 to #1F2428 — as in the Figma frame (link on this board). Make the change in the shared style for this element, so every page using it follows.</t>
        </is>
      </c>
      <c r="G60" s="28" t="inlineStr">
        <is>
          <t>https://www.figma.com/design/Ds5qx61QsI0ZkYSrLKxo0A/MoSJE--Handoff-?node-id=4571-88901</t>
        </is>
      </c>
      <c r="H60" s="28" t="inlineStr">
        <is>
          <t>https://www.dosje.gov.in/about-us/</t>
        </is>
      </c>
      <c r="I60" s="28" t="inlineStr">
        <is>
          <t>Open</t>
        </is>
      </c>
      <c r="J60" s="28" t="n"/>
      <c r="K60" s="28" t="n"/>
      <c r="L60" s="28" t="inlineStr">
        <is>
          <t>env: live</t>
        </is>
      </c>
      <c r="M60" s="28" t="inlineStr">
        <is>
          <t>Screen</t>
        </is>
      </c>
    </row>
    <row r="61">
      <c r="A61" s="27" t="inlineStr">
        <is>
          <t>WEB-SCREEN-358</t>
        </is>
      </c>
      <c r="B61" s="28" t="inlineStr">
        <is>
          <t>About Us · mobile</t>
        </is>
      </c>
      <c r="C61" s="28" t="inlineStr">
        <is>
          <t>Content &amp; Iconography</t>
        </is>
      </c>
      <c r="D61" s="28" t="inlineStr">
        <is>
          <t>Major</t>
        </is>
      </c>
      <c r="E61" s="28" t="inlineStr">
        <is>
          <t>Figma: The approved Figma handoff frame for this screen. Design: “there are two departments viz. departmen” · absent from the build  →  Live: The design frame carries this copy and nothing with the same text renders on the live page: “There are two departments viz. Departmen”.</t>
        </is>
      </c>
      <c r="F61" s="28" t="inlineStr">
        <is>
          <t>Add this copy where the Figma frame places it (each piece is outlined on the design panel): “There are two departments viz. Departmen”. Where a piece was dropped on purpose, tell the design team so the frame is updated instead.</t>
        </is>
      </c>
      <c r="G61" s="28" t="inlineStr">
        <is>
          <t>https://www.figma.com/design/Ds5qx61QsI0ZkYSrLKxo0A/MoSJE--Handoff-?node-id=4571-88901</t>
        </is>
      </c>
      <c r="H61" s="28" t="inlineStr">
        <is>
          <t>https://www.dosje.gov.in/about-us/</t>
        </is>
      </c>
      <c r="I61" s="28" t="inlineStr">
        <is>
          <t>Open</t>
        </is>
      </c>
      <c r="J61" s="28" t="n"/>
      <c r="K61" s="28" t="n"/>
      <c r="L61" s="28" t="inlineStr">
        <is>
          <t>env: live</t>
        </is>
      </c>
      <c r="M61" s="28" t="inlineStr">
        <is>
          <t>Screen</t>
        </is>
      </c>
    </row>
    <row r="62">
      <c r="A62" s="27" t="inlineStr">
        <is>
          <t>WEB-SCREEN-014</t>
        </is>
      </c>
      <c r="B62" s="28" t="inlineStr">
        <is>
          <t>About Us · mobile</t>
        </is>
      </c>
      <c r="C62" s="28" t="inlineStr">
        <is>
          <t>Accessibility</t>
        </is>
      </c>
      <c r="D62" s="28" t="inlineStr">
        <is>
          <t>Major</t>
        </is>
      </c>
      <c r="E62" s="28" t="inlineStr">
        <is>
          <t>Figma: GIGW 3.0 mandates WCAG 2.2 AA conformance; axe-core tests a subset of it programmatically.  →  Live: Scrollable region must have keyboard access — &lt;div class="table-responsive w-100"&gt; (scrollable-region-focusable, wcag2a, wcag211, wcag213). Measured on 2 pages.</t>
        </is>
      </c>
      <c r="F62" s="28" t="inlineStr">
        <is>
          <t>Make the scrolling table wrapper reachable by keyboard: add `tabindex="0"`, `role="region"` and `aria-label="&lt;table name&gt;"` to `&lt;div class="table-responsive"&gt;`.</t>
        </is>
      </c>
      <c r="G62" s="28" t="inlineStr">
        <is>
          <t>https://www.figma.com/design/Ds5qx61QsI0ZkYSrLKxo0A/MoSJE--Handoff-?node-id=4571-88901</t>
        </is>
      </c>
      <c r="H62" s="28" t="inlineStr">
        <is>
          <t>https://www.dosje.gov.in/about-us/</t>
        </is>
      </c>
      <c r="I62" s="28" t="inlineStr">
        <is>
          <t>Open</t>
        </is>
      </c>
      <c r="J62" s="28" t="n"/>
      <c r="K62" s="28" t="n"/>
      <c r="L62" s="28" t="inlineStr">
        <is>
          <t>env: live</t>
        </is>
      </c>
      <c r="M62" s="28" t="inlineStr">
        <is>
          <t>Screen</t>
        </is>
      </c>
    </row>
    <row r="63">
      <c r="A63" s="27" t="inlineStr">
        <is>
          <t>WEB-SCREEN-404</t>
        </is>
      </c>
      <c r="B63" s="28" t="inlineStr">
        <is>
          <t>About Us · mobile</t>
        </is>
      </c>
      <c r="C63" s="28" t="inlineStr">
        <is>
          <t>Typography</t>
        </is>
      </c>
      <c r="D63" s="28" t="inlineStr">
        <is>
          <t>Major</t>
        </is>
      </c>
      <c r="E63" s="28" t="inlineStr">
        <is>
          <t>Figma: The approved Figma handoff frame for this screen. Built 20px · design 11px · Built 600 weight · design 500  →  Live: “May 1998” — size 11 → 20; weight 500 → 600.</t>
        </is>
      </c>
      <c r="F63" s="28" t="inlineStr">
        <is>
          <t>On “May 1998”, change 20px to 11px; change 600 weight to 500 — as in the Figma frame (link on this board). Make the change in the shared style for this element, so every page using it follows.</t>
        </is>
      </c>
      <c r="G63" s="28" t="inlineStr">
        <is>
          <t>https://www.figma.com/design/Ds5qx61QsI0ZkYSrLKxo0A/MoSJE--Handoff-?node-id=4571-88901</t>
        </is>
      </c>
      <c r="H63" s="28" t="inlineStr">
        <is>
          <t>https://www.dosje.gov.in/about-us/</t>
        </is>
      </c>
      <c r="I63" s="28" t="inlineStr">
        <is>
          <t>Open</t>
        </is>
      </c>
      <c r="J63" s="28" t="n"/>
      <c r="K63" s="28" t="n"/>
      <c r="L63" s="28" t="inlineStr">
        <is>
          <t>env: live</t>
        </is>
      </c>
      <c r="M63" s="28" t="inlineStr">
        <is>
          <t>Screen</t>
        </is>
      </c>
    </row>
    <row r="64">
      <c r="A64" s="27" t="inlineStr">
        <is>
          <t>WEB-SCREEN-362</t>
        </is>
      </c>
      <c r="B64" s="28" t="inlineStr">
        <is>
          <t>Annual Reports · desktop</t>
        </is>
      </c>
      <c r="C64" s="28" t="inlineStr">
        <is>
          <t>Content &amp; Iconography</t>
        </is>
      </c>
      <c r="D64" s="28" t="inlineStr">
        <is>
          <t>Major</t>
        </is>
      </c>
      <c r="E64" s="28" t="inlineStr">
        <is>
          <t>Figma: The approved Figma handoff frame for this screen. Design: “access official reports released by the ” · absent from the build  →  Live: The design frame carries this copy and nothing with the same text renders on the live page: “Access official reports released by the ”. Also measured on the 375px capture of the same page.</t>
        </is>
      </c>
      <c r="F64" s="28" t="inlineStr">
        <is>
          <t>Add this copy where the Figma frame places it (each piece is outlined on the design panel): “Access official reports released by the ”. Where a piece was dropped on purpose, tell the design team so the frame is updated instead.</t>
        </is>
      </c>
      <c r="G64" s="28" t="inlineStr">
        <is>
          <t>https://www.figma.com/design/Ds5qx61QsI0ZkYSrLKxo0A/MoSJE--Handoff-?node-id=3453-12795</t>
        </is>
      </c>
      <c r="H64" s="28" t="n"/>
      <c r="I64" s="28" t="inlineStr">
        <is>
          <t>Open</t>
        </is>
      </c>
      <c r="J64" s="28" t="n"/>
      <c r="K64" s="28" t="n"/>
      <c r="L64" s="28" t="inlineStr">
        <is>
          <t>env: live</t>
        </is>
      </c>
      <c r="M64" s="28" t="inlineStr">
        <is>
          <t>Screen</t>
        </is>
      </c>
    </row>
    <row r="65">
      <c r="A65" s="27" t="inlineStr">
        <is>
          <t>WEB-SCREEN-397</t>
        </is>
      </c>
      <c r="B65" s="28" t="inlineStr">
        <is>
          <t>Annual Reports · mobile</t>
        </is>
      </c>
      <c r="C65" s="28" t="inlineStr">
        <is>
          <t>Color &amp; Token</t>
        </is>
      </c>
      <c r="D65" s="28" t="inlineStr">
        <is>
          <t>Major</t>
        </is>
      </c>
      <c r="E65" s="28" t="inlineStr">
        <is>
          <t>Figma: The approved Figma handoff frame for this screen. Built #0373DF · design #1F2428  →  Live: “NSFDC” — colour #1F2428 → #0373DF.</t>
        </is>
      </c>
      <c r="F65" s="28" t="inlineStr">
        <is>
          <t>On “NSFDC”, change #0373DF to #1F2428 — as in the Figma frame (link on this board). Make the change in the shared style for this element, so every page using it follows.</t>
        </is>
      </c>
      <c r="G65" s="28" t="inlineStr">
        <is>
          <t>https://www.figma.com/design/Ds5qx61QsI0ZkYSrLKxo0A/MoSJE--Handoff-?node-id=4571-109359</t>
        </is>
      </c>
      <c r="H65" s="28" t="n"/>
      <c r="I65" s="28" t="inlineStr">
        <is>
          <t>Open</t>
        </is>
      </c>
      <c r="J65" s="28" t="n"/>
      <c r="K65" s="28" t="n"/>
      <c r="L65" s="28" t="inlineStr">
        <is>
          <t>env: live</t>
        </is>
      </c>
      <c r="M65" s="28" t="inlineStr">
        <is>
          <t>Screen</t>
        </is>
      </c>
    </row>
    <row r="66">
      <c r="A66" s="27" t="inlineStr">
        <is>
          <t>WEB-SCREEN-254</t>
        </is>
      </c>
      <c r="B66" s="28" t="inlineStr">
        <is>
          <t>Booking  Conference 3 · desktop</t>
        </is>
      </c>
      <c r="C66" s="28" t="inlineStr">
        <is>
          <t>Typography</t>
        </is>
      </c>
      <c r="D66" s="28" t="inlineStr">
        <is>
          <t>Major</t>
        </is>
      </c>
      <c r="E66" s="28" t="inlineStr">
        <is>
          <t>Figma: The approved Figma handoff frame for this screen. Built 400 weight · design 500 · Built #212121 · design #1F2428  →  Live: “Government” — weight 500 → 400; colour #1F2428 → #212121. Measured on 2 pages. Also measured on the 375px capture of the same page.</t>
        </is>
      </c>
      <c r="F66" s="28" t="inlineStr">
        <is>
          <t>On “Government”, change 400 weight to 500; change #212121 to #1F2428 — as in the Figma frame (link on this board). Make the change in the shared style for this element, so every page using it follows.</t>
        </is>
      </c>
      <c r="G66" s="28" t="inlineStr">
        <is>
          <t>https://www.figma.com/design/Ds5qx61QsI0ZkYSrLKxo0A/MoSJE--Handoff-?node-id=4743-129775</t>
        </is>
      </c>
      <c r="H66" s="28" t="n"/>
      <c r="I66" s="28" t="inlineStr">
        <is>
          <t>Open</t>
        </is>
      </c>
      <c r="J66" s="28" t="n"/>
      <c r="K66" s="28" t="n"/>
      <c r="L66" s="28" t="inlineStr">
        <is>
          <t>env: live</t>
        </is>
      </c>
      <c r="M66" s="28" t="inlineStr">
        <is>
          <t>Screen</t>
        </is>
      </c>
    </row>
    <row r="67">
      <c r="A67" s="27" t="inlineStr">
        <is>
          <t>WEB-SCREEN-255</t>
        </is>
      </c>
      <c r="B67" s="28" t="inlineStr">
        <is>
          <t>Booking  Vaishali · desktop</t>
        </is>
      </c>
      <c r="C67" s="28" t="inlineStr">
        <is>
          <t>Typography</t>
        </is>
      </c>
      <c r="D67" s="28" t="inlineStr">
        <is>
          <t>Major</t>
        </is>
      </c>
      <c r="E67" s="28" t="inlineStr">
        <is>
          <t>Figma: The approved Figma handoff frame for this screen. Built 400 weight · design 500 · Built #212121 · design #1F2428  →  Live: “Government” — weight 500 → 400; colour #1F2428 → #212121. Measured on 2 pages. Also measured on the 375px capture of the same page.</t>
        </is>
      </c>
      <c r="F67" s="28" t="inlineStr">
        <is>
          <t>On “Government”, change 400 weight to 500; change #212121 to #1F2428 — as in the Figma frame (link on this board). Make the change in the shared style for this element, so every page using it follows.</t>
        </is>
      </c>
      <c r="G67" s="28" t="inlineStr">
        <is>
          <t>https://www.figma.com/design/Ds5qx61QsI0ZkYSrLKxo0A/MoSJE--Handoff-?node-id=4743-129775</t>
        </is>
      </c>
      <c r="H67" s="28" t="n"/>
      <c r="I67" s="28" t="inlineStr">
        <is>
          <t>Open</t>
        </is>
      </c>
      <c r="J67" s="28" t="n"/>
      <c r="K67" s="28" t="n"/>
      <c r="L67" s="28" t="inlineStr">
        <is>
          <t>env: live</t>
        </is>
      </c>
      <c r="M67" s="28" t="inlineStr">
        <is>
          <t>Screen</t>
        </is>
      </c>
    </row>
    <row r="68">
      <c r="A68" s="27" t="inlineStr">
        <is>
          <t>WEB-SCREEN-292</t>
        </is>
      </c>
      <c r="B68" s="28" t="inlineStr">
        <is>
          <t>Circulars Notifications · desktop</t>
        </is>
      </c>
      <c r="C68" s="28" t="inlineStr">
        <is>
          <t>Functional</t>
        </is>
      </c>
      <c r="D68" s="28" t="inlineStr">
        <is>
          <t>Blocker</t>
        </is>
      </c>
      <c r="E68" s="28" t="inlineStr">
        <is>
          <t>Figma: GIGW 3.0: every published link resolves; a document a page offers is downloadable.  →  Live: Every internal link on the site was checked (1,248 unique URLs). Two are dead, both on this page: /wp-content/uploads/2026/04/DoPTOM08.06.2018.pdf and /wp-content/uploads/2026/04/dopteng.pdf, each returning HTTP 404 from the Download button on the reservation-for-OBC rows.</t>
        </is>
      </c>
      <c r="F68" s="28" t="inlineStr">
        <is>
          <t>Re-upload the two circulars, or point the rows at the current files. A citizen following a published circular reaches a dead end.</t>
        </is>
      </c>
      <c r="G68" s="28" t="n"/>
      <c r="H68" s="28" t="inlineStr">
        <is>
          <t>https://www.dosje.gov.in/circulars-notifications/</t>
        </is>
      </c>
      <c r="I68" s="28" t="inlineStr">
        <is>
          <t>Open</t>
        </is>
      </c>
      <c r="J68" s="28" t="n"/>
      <c r="K68" s="28" t="n"/>
      <c r="L68" s="28" t="inlineStr">
        <is>
          <t>env: live</t>
        </is>
      </c>
      <c r="M68" s="28" t="inlineStr">
        <is>
          <t>Screen</t>
        </is>
      </c>
    </row>
    <row r="69">
      <c r="A69" s="27" t="inlineStr">
        <is>
          <t>WEB-SCREEN-015</t>
        </is>
      </c>
      <c r="B69" s="28" t="inlineStr">
        <is>
          <t>Contact Person · mobile</t>
        </is>
      </c>
      <c r="C69" s="28" t="inlineStr">
        <is>
          <t>Accessibility</t>
        </is>
      </c>
      <c r="D69" s="28" t="inlineStr">
        <is>
          <t>Major</t>
        </is>
      </c>
      <c r="E69" s="28" t="inlineStr">
        <is>
          <t>Figma: GIGW 3.0 mandates WCAG 2.2 AA conformance; axe-core tests a subset of it programmatically.  →  Live: Scrollable region must have keyboard access — &lt;div class="table-responsive w-100"&gt; (scrollable-region-focusable, wcag2a, wcag211, wcag213). Measured on 2 pages.</t>
        </is>
      </c>
      <c r="F69" s="28" t="inlineStr">
        <is>
          <t>Make the scrolling table wrapper reachable by keyboard: add `tabindex="0"`, `role="region"` and `aria-label="&lt;table name&gt;"` to `&lt;div class="table-responsive"&gt;`.</t>
        </is>
      </c>
      <c r="G69" s="28" t="n"/>
      <c r="H69" s="28" t="inlineStr">
        <is>
          <t>https://www.dosje.gov.in/contact-person/</t>
        </is>
      </c>
      <c r="I69" s="28" t="inlineStr">
        <is>
          <t>Open</t>
        </is>
      </c>
      <c r="J69" s="28" t="n"/>
      <c r="K69" s="28" t="n"/>
      <c r="L69" s="28" t="inlineStr">
        <is>
          <t>env: live</t>
        </is>
      </c>
      <c r="M69" s="28" t="inlineStr">
        <is>
          <t>Screen</t>
        </is>
      </c>
    </row>
    <row r="70">
      <c r="A70" s="27" t="inlineStr">
        <is>
          <t>WEB-SCREEN-363</t>
        </is>
      </c>
      <c r="B70" s="28" t="inlineStr">
        <is>
          <t>Contact Us · desktop</t>
        </is>
      </c>
      <c r="C70" s="28" t="inlineStr">
        <is>
          <t>Content &amp; Iconography</t>
        </is>
      </c>
      <c r="D70" s="28" t="inlineStr">
        <is>
          <t>Major</t>
        </is>
      </c>
      <c r="E70" s="28" t="inlineStr">
        <is>
          <t>Figma: The approved Figma handoff frame for this screen. Design: “contact details” · absent from the build  →  Live: The design frame carries this copy and nothing with the same text renders on the live page: “Contact Details”; “Connect directly with the Ministry, reac”; “Ministry of Social Justice and Empowerme”. Also measured on the 375px capture of the same page.</t>
        </is>
      </c>
      <c r="F70" s="28" t="inlineStr">
        <is>
          <t>Add this copy where the Figma frame places it (each piece is outlined on the design panel): “Contact Details”; “Connect directly with the Ministry, reac”; “Ministry of Social Justice and Empowerme”. Where a piece was dropped on purpose, tell the design team so the frame is updated instead.</t>
        </is>
      </c>
      <c r="G70" s="28" t="inlineStr">
        <is>
          <t>https://www.figma.com/design/Ds5qx61QsI0ZkYSrLKxo0A/MoSJE--Handoff-?node-id=3453-14626</t>
        </is>
      </c>
      <c r="H70" s="28" t="n"/>
      <c r="I70" s="28" t="inlineStr">
        <is>
          <t>Open</t>
        </is>
      </c>
      <c r="J70" s="28" t="n"/>
      <c r="K70" s="28" t="n"/>
      <c r="L70" s="28" t="inlineStr">
        <is>
          <t>env: live</t>
        </is>
      </c>
      <c r="M70" s="28" t="inlineStr">
        <is>
          <t>Screen</t>
        </is>
      </c>
    </row>
    <row r="71">
      <c r="A71" s="27" t="inlineStr">
        <is>
          <t>WEB-SCREEN-256</t>
        </is>
      </c>
      <c r="B71" s="28" t="inlineStr">
        <is>
          <t>Contact Us · desktop</t>
        </is>
      </c>
      <c r="C71" s="28" t="inlineStr">
        <is>
          <t>Typography</t>
        </is>
      </c>
      <c r="D71" s="28" t="inlineStr">
        <is>
          <t>Major</t>
        </is>
      </c>
      <c r="E71" s="28" t="inlineStr">
        <is>
          <t>Figma: The approved Figma handoff frame for this screen. Built 15px · design 16px · Built #333333 · design #1F2428  →  Live: “National Commission for Scheduled Castes (NCSC)” — size 16 → 15; colour #1F2428 → #333333.</t>
        </is>
      </c>
      <c r="F71" s="28" t="inlineStr">
        <is>
          <t>On “National Commission for Scheduled Castes (NCSC)”, change 15px to 16px; change #333333 to #1F2428 — as in the Figma frame (link on this board). Make the change in the shared style for this element, so every page using it follows.</t>
        </is>
      </c>
      <c r="G71" s="28" t="inlineStr">
        <is>
          <t>https://www.figma.com/design/Ds5qx61QsI0ZkYSrLKxo0A/MoSJE--Handoff-?node-id=3453-14626</t>
        </is>
      </c>
      <c r="H71" s="28" t="n"/>
      <c r="I71" s="28" t="inlineStr">
        <is>
          <t>Open</t>
        </is>
      </c>
      <c r="J71" s="28" t="n"/>
      <c r="K71" s="28" t="n"/>
      <c r="L71" s="28" t="inlineStr">
        <is>
          <t>env: live</t>
        </is>
      </c>
      <c r="M71" s="28" t="inlineStr">
        <is>
          <t>Screen</t>
        </is>
      </c>
    </row>
    <row r="72">
      <c r="A72" s="27" t="inlineStr">
        <is>
          <t>WEB-SCREEN-002</t>
        </is>
      </c>
      <c r="B72" s="28" t="inlineStr">
        <is>
          <t>Contact Us · mobile</t>
        </is>
      </c>
      <c r="C72" s="28" t="inlineStr">
        <is>
          <t>Accessibility</t>
        </is>
      </c>
      <c r="D72" s="28" t="inlineStr">
        <is>
          <t>Blocker</t>
        </is>
      </c>
      <c r="E72" s="28" t="inlineStr">
        <is>
          <t>Figma: GIGW 3.0 mandates WCAG 2.2 AA conformance; axe-core tests a subset of it programmatically.  →  Live: Select element must have an accessible name — &lt;select class="form-select mobile-tab-select d-block d-lg-none mb-3" id="mobileTabSelect"&gt; (select-name, wcag2a, wcag412).</t>
        </is>
      </c>
      <c r="F72" s="28" t="inlineStr">
        <is>
          <t>Label the mobile tab selector: add `aria-label="Choose a section"` to `&lt;select id="mobileTabSelect"&gt;`.</t>
        </is>
      </c>
      <c r="G72" s="28" t="n"/>
      <c r="H72" s="28" t="inlineStr">
        <is>
          <t>https://www.dosje.gov.in/contact-us/</t>
        </is>
      </c>
      <c r="I72" s="28" t="inlineStr">
        <is>
          <t>Open</t>
        </is>
      </c>
      <c r="J72" s="28" t="n"/>
      <c r="K72" s="28" t="n"/>
      <c r="L72" s="28" t="inlineStr">
        <is>
          <t>env: live</t>
        </is>
      </c>
      <c r="M72" s="28" t="inlineStr">
        <is>
          <t>Screen</t>
        </is>
      </c>
    </row>
    <row r="73">
      <c r="A73" s="27" t="inlineStr">
        <is>
          <t>WEB-SCREEN-365</t>
        </is>
      </c>
      <c r="B73" s="28" t="inlineStr">
        <is>
          <t>Cpio · desktop</t>
        </is>
      </c>
      <c r="C73" s="28" t="inlineStr">
        <is>
          <t>Content &amp; Iconography</t>
        </is>
      </c>
      <c r="D73" s="28" t="inlineStr">
        <is>
          <t>Major</t>
        </is>
      </c>
      <c r="E73" s="28" t="inlineStr">
        <is>
          <t>Figma: The approved Figma handoff frame for this screen. Design: “the designated authority responsible for” · absent from the build  →  Live: The design frame carries this copy and nothing with the same text renders on the live page: “The designated authority responsible for”.</t>
        </is>
      </c>
      <c r="F73" s="28" t="inlineStr">
        <is>
          <t>Add this copy where the Figma frame places it (each piece is outlined on the design panel): “The designated authority responsible for”. Where a piece was dropped on purpose, tell the design team so the frame is updated instead.</t>
        </is>
      </c>
      <c r="G73" s="28" t="inlineStr">
        <is>
          <t>https://www.figma.com/design/Ds5qx61QsI0ZkYSrLKxo0A/MoSJE--Handoff-?node-id=3453-14262</t>
        </is>
      </c>
      <c r="H73" s="28" t="n"/>
      <c r="I73" s="28" t="inlineStr">
        <is>
          <t>Open</t>
        </is>
      </c>
      <c r="J73" s="28" t="n"/>
      <c r="K73" s="28" t="n"/>
      <c r="L73" s="28" t="inlineStr">
        <is>
          <t>env: live</t>
        </is>
      </c>
      <c r="M73" s="28" t="inlineStr">
        <is>
          <t>Screen</t>
        </is>
      </c>
    </row>
    <row r="74">
      <c r="A74" s="27" t="inlineStr">
        <is>
          <t>WEB-SCREEN-398</t>
        </is>
      </c>
      <c r="B74" s="28" t="inlineStr">
        <is>
          <t>Cpio · desktop</t>
        </is>
      </c>
      <c r="C74" s="28" t="inlineStr">
        <is>
          <t>Color &amp; Token</t>
        </is>
      </c>
      <c r="D74" s="28" t="inlineStr">
        <is>
          <t>Major</t>
        </is>
      </c>
      <c r="E74" s="28" t="inlineStr">
        <is>
          <t>Figma: The approved Figma handoff frame for this screen. Built #1F2937 · design #014B92  →  Live: “List of CPIOs/AAs” — colour #014B92 → #1F2937.</t>
        </is>
      </c>
      <c r="F74" s="28" t="inlineStr">
        <is>
          <t>On “List of CPIOs/AAs”, change #1F2937 to #014B92 — as in the Figma frame (link on this board). Make the change in the shared style for this element, so every page using it follows.</t>
        </is>
      </c>
      <c r="G74" s="28" t="inlineStr">
        <is>
          <t>https://www.figma.com/design/Ds5qx61QsI0ZkYSrLKxo0A/MoSJE--Handoff-?node-id=3453-14262</t>
        </is>
      </c>
      <c r="H74" s="28" t="n"/>
      <c r="I74" s="28" t="inlineStr">
        <is>
          <t>Open</t>
        </is>
      </c>
      <c r="J74" s="28" t="n"/>
      <c r="K74" s="28" t="n"/>
      <c r="L74" s="28" t="inlineStr">
        <is>
          <t>env: live</t>
        </is>
      </c>
      <c r="M74" s="28" t="inlineStr">
        <is>
          <t>Screen</t>
        </is>
      </c>
    </row>
    <row r="75">
      <c r="A75" s="27" t="inlineStr">
        <is>
          <t>WEB-SCREEN-257</t>
        </is>
      </c>
      <c r="B75" s="28" t="inlineStr">
        <is>
          <t>Cpio · mobile</t>
        </is>
      </c>
      <c r="C75" s="28" t="inlineStr">
        <is>
          <t>Typography</t>
        </is>
      </c>
      <c r="D75" s="28" t="inlineStr">
        <is>
          <t>Major</t>
        </is>
      </c>
      <c r="E75" s="28" t="inlineStr">
        <is>
          <t>Figma: The approved Figma handoff frame for this screen. Built 22px · design 20px · Built #1F2937 · design #014B92  →  Live: “List of CPIOs/AAs” — size 20 → 22; colour #014B92 → #1F2937.</t>
        </is>
      </c>
      <c r="F75" s="28" t="inlineStr">
        <is>
          <t>On “List of CPIOs/AAs”, change 22px to 20px; change #1F2937 to #014B92 — as in the Figma frame (link on this board). Make the change in the shared style for this element, so every page using it follows.</t>
        </is>
      </c>
      <c r="G75" s="28" t="inlineStr">
        <is>
          <t>https://www.figma.com/design/Ds5qx61QsI0ZkYSrLKxo0A/MoSJE--Handoff-?node-id=4626-80865</t>
        </is>
      </c>
      <c r="H75" s="28" t="n"/>
      <c r="I75" s="28" t="inlineStr">
        <is>
          <t>Open</t>
        </is>
      </c>
      <c r="J75" s="28" t="n"/>
      <c r="K75" s="28" t="n"/>
      <c r="L75" s="28" t="inlineStr">
        <is>
          <t>env: live</t>
        </is>
      </c>
      <c r="M75" s="28" t="inlineStr">
        <is>
          <t>Screen</t>
        </is>
      </c>
    </row>
    <row r="76">
      <c r="A76" s="27" t="inlineStr">
        <is>
          <t>WEB-SCREEN-407</t>
        </is>
      </c>
      <c r="B76" s="28" t="inlineStr">
        <is>
          <t>Dashboard · desktop</t>
        </is>
      </c>
      <c r="C76" s="28" t="inlineStr">
        <is>
          <t>Typography</t>
        </is>
      </c>
      <c r="D76" s="28" t="inlineStr">
        <is>
          <t>Major</t>
        </is>
      </c>
      <c r="E76" s="28" t="inlineStr">
        <is>
          <t>Figma: The approved Figma handoff frame for this screen. Built 14px · design 40px · Built 500 weight · design 600 · Built #1F2937 · design #FFFFFF  →  Live: “Dashboard” — size 40 → 14; weight 600 → 500; colour #FFFFFF → #1F2937.</t>
        </is>
      </c>
      <c r="F76" s="28" t="inlineStr">
        <is>
          <t>On “Dashboard”, change 14px to 40px; change 500 weight to 600; change #1F2937 to #FFFFFF — as in the Figma frame (link on this board). Make the change in the shared style for this element, so every page using it follows.</t>
        </is>
      </c>
      <c r="G76" s="28" t="inlineStr">
        <is>
          <t>https://www.figma.com/design/Ds5qx61QsI0ZkYSrLKxo0A/MoSJE--Handoff-?node-id=4743-128714</t>
        </is>
      </c>
      <c r="H76" s="28" t="inlineStr">
        <is>
          <t>https://www.dosje.gov.in/dashboard/</t>
        </is>
      </c>
      <c r="I76" s="28" t="inlineStr">
        <is>
          <t>Open</t>
        </is>
      </c>
      <c r="J76" s="28" t="n"/>
      <c r="K76" s="28" t="n"/>
      <c r="L76" s="28" t="inlineStr">
        <is>
          <t>env: live</t>
        </is>
      </c>
      <c r="M76" s="28" t="inlineStr">
        <is>
          <t>Screen</t>
        </is>
      </c>
    </row>
    <row r="77">
      <c r="A77" s="27" t="inlineStr">
        <is>
          <t>WEB-SCREEN-366</t>
        </is>
      </c>
      <c r="B77" s="28" t="inlineStr">
        <is>
          <t>Dashboard · desktop</t>
        </is>
      </c>
      <c r="C77" s="28" t="inlineStr">
        <is>
          <t>Content &amp; Iconography</t>
        </is>
      </c>
      <c r="D77" s="28" t="inlineStr">
        <is>
          <t>Major</t>
        </is>
      </c>
      <c r="E77" s="28" t="inlineStr">
        <is>
          <t>Figma: The approved Figma handoff frame for this screen. Design: “sc/st women beneficiary percentage” · absent from the build  →  Live: The design frame carries this copy and nothing with the same text renders on the live page: “SC/ST Women Beneficiary Percentage”; “Total SC/ST Beneficiary Count”. Also measured on the 375px capture of the same page.</t>
        </is>
      </c>
      <c r="F77" s="28" t="inlineStr">
        <is>
          <t>Add this copy where the Figma frame places it (each piece is outlined on the design panel): “SC/ST Women Beneficiary Percentage”; “Total SC/ST Beneficiary Count”. Where a piece was dropped on purpose, tell the design team so the frame is updated instead.</t>
        </is>
      </c>
      <c r="G77" s="28" t="inlineStr">
        <is>
          <t>https://www.figma.com/design/Ds5qx61QsI0ZkYSrLKxo0A/MoSJE--Handoff-?node-id=4743-128714</t>
        </is>
      </c>
      <c r="H77" s="28" t="inlineStr">
        <is>
          <t>https://www.dosje.gov.in/dashboard/</t>
        </is>
      </c>
      <c r="I77" s="28" t="inlineStr">
        <is>
          <t>Open</t>
        </is>
      </c>
      <c r="J77" s="28" t="n"/>
      <c r="K77" s="28" t="n"/>
      <c r="L77" s="28" t="inlineStr">
        <is>
          <t>env: live</t>
        </is>
      </c>
      <c r="M77" s="28" t="inlineStr">
        <is>
          <t>Screen</t>
        </is>
      </c>
    </row>
    <row r="78">
      <c r="A78" s="27" t="inlineStr">
        <is>
          <t>WEB-SCREEN-331</t>
        </is>
      </c>
      <c r="B78" s="28" t="inlineStr">
        <is>
          <t>Dashboard · desktop</t>
        </is>
      </c>
      <c r="C78" s="28" t="inlineStr">
        <is>
          <t>Color &amp; Token</t>
        </is>
      </c>
      <c r="D78" s="28" t="inlineStr">
        <is>
          <t>Major</t>
        </is>
      </c>
      <c r="E78" s="28" t="inlineStr">
        <is>
          <t>Figma: WCAG 2.2 AA (1.4.3), carried into GIGW 3.0: text needs 4.5:1 against its background, or 3:1 at 24px+ / 18.66px+ bold.  →  Live: Text “Pre-Matric (SCs &amp; Others)” (span.mosje-cat-metric-label) renders #6B6F78 on #EAF2FB at 12px/500 — #6B6F78 on #EAF2FB as painted on the capture: 4.46:1 against the 4.5:1 minimum.</t>
        </is>
      </c>
      <c r="F78" s="28" t="inlineStr">
        <is>
          <t>Change the text colour of “Pre-Matric (SCs &amp; Others)” from #6B6F78 to #014B92 (the site's dark blue (footer strip)) — 7.67:1 on #EAF2FB, which passes the 4.5:1 minimum. Or keep #6B6F78 and lighten the background from #EAF2FB to #EBF3FB (4.5:1). Change it where the colour is set (the shared class or theme setting), so every page using this pair is fixed at once.</t>
        </is>
      </c>
      <c r="G78" s="28" t="inlineStr">
        <is>
          <t>https://www.figma.com/design/Ds5qx61QsI0ZkYSrLKxo0A/MoSJE--Handoff-?node-id=4743-128714</t>
        </is>
      </c>
      <c r="H78" s="28" t="inlineStr">
        <is>
          <t>https://www.dosje.gov.in/dashboard/</t>
        </is>
      </c>
      <c r="I78" s="28" t="inlineStr">
        <is>
          <t>Open</t>
        </is>
      </c>
      <c r="J78" s="28" t="n"/>
      <c r="K78" s="28" t="n"/>
      <c r="L78" s="28" t="inlineStr">
        <is>
          <t>env: live</t>
        </is>
      </c>
      <c r="M78" s="28" t="inlineStr">
        <is>
          <t>Screen</t>
        </is>
      </c>
    </row>
    <row r="79">
      <c r="A79" s="27" t="inlineStr">
        <is>
          <t>WEB-SCREEN-290</t>
        </is>
      </c>
      <c r="B79" s="28" t="inlineStr">
        <is>
          <t>Dashboard · desktop</t>
        </is>
      </c>
      <c r="C79" s="28" t="inlineStr">
        <is>
          <t>Typography</t>
        </is>
      </c>
      <c r="D79" s="28" t="inlineStr">
        <is>
          <t>Minor</t>
        </is>
      </c>
      <c r="E79" s="28" t="inlineStr">
        <is>
          <t>Figma: UX4G 3.0 §2.3: font sizes come from the published type scale (12/14/16/18/20/24/28/32/36/40/52/60), and Body/XS 12px is the minimum.  →  Live: 41 element(s) render at 13px, which is not on the UX4G type scale (12/14/16/18/20/24/28/32/36/40/52/60). Measured on 2 pages. Also measured on the 375px capture of the same page.</t>
        </is>
      </c>
      <c r="F79" s="28" t="inlineStr">
        <is>
          <t>Change the 13px text to 14px (Body/S on the UX4G scale).</t>
        </is>
      </c>
      <c r="G79" s="28" t="inlineStr">
        <is>
          <t>https://www.figma.com/design/Ds5qx61QsI0ZkYSrLKxo0A/MoSJE--Handoff-?node-id=4743-128714</t>
        </is>
      </c>
      <c r="H79" s="28" t="inlineStr">
        <is>
          <t>https://www.dosje.gov.in/dashboard/</t>
        </is>
      </c>
      <c r="I79" s="28" t="inlineStr">
        <is>
          <t>Open</t>
        </is>
      </c>
      <c r="J79" s="28" t="n"/>
      <c r="K79" s="28" t="n"/>
      <c r="L79" s="28" t="inlineStr">
        <is>
          <t>env: live</t>
        </is>
      </c>
      <c r="M79" s="28" t="inlineStr">
        <is>
          <t>Screen</t>
        </is>
      </c>
    </row>
    <row r="80">
      <c r="A80" s="27" t="inlineStr">
        <is>
          <t>WEB-SCREEN-328</t>
        </is>
      </c>
      <c r="B80" s="28" t="inlineStr">
        <is>
          <t>Dashboard · mobile</t>
        </is>
      </c>
      <c r="C80" s="28" t="inlineStr">
        <is>
          <t>Color &amp; Token</t>
        </is>
      </c>
      <c r="D80" s="28" t="inlineStr">
        <is>
          <t>Blocker</t>
        </is>
      </c>
      <c r="E80" s="28" t="inlineStr">
        <is>
          <t>Figma: WCAG 2.2 AA (1.4.3), carried into GIGW 3.0: text needs 4.5:1 against its background, or 3:1 at 24px+ / 18.66px+ bold.  →  Live: Text “29,015” (div.mosje-hostel-num) renders #2BA84A on #FFFFFF at 20px/600 — #2BA84A on #FFFFFF as painted on the capture: 3.09:1 against the 4.5:1 minimum.</t>
        </is>
      </c>
      <c r="F80" s="28" t="inlineStr">
        <is>
          <t>Change the text colour of “29,015” from #2BA84A to #0373DF (the site's primary blue) — 4.64:1 on #FFFFFF, which passes the 4.5:1 minimum. Change it where the colour is set (the shared class or theme setting), so every page using this pair is fixed at once.</t>
        </is>
      </c>
      <c r="G80" s="28" t="n"/>
      <c r="H80" s="28" t="inlineStr">
        <is>
          <t>https://www.dosje.gov.in/dashboard/</t>
        </is>
      </c>
      <c r="I80" s="28" t="inlineStr">
        <is>
          <t>Open</t>
        </is>
      </c>
      <c r="J80" s="28" t="n"/>
      <c r="K80" s="28" t="n"/>
      <c r="L80" s="28" t="inlineStr">
        <is>
          <t>env: live</t>
        </is>
      </c>
      <c r="M80" s="28" t="inlineStr">
        <is>
          <t>Screen</t>
        </is>
      </c>
    </row>
    <row r="81">
      <c r="A81" s="27" t="inlineStr">
        <is>
          <t>WEB-SCREEN-368</t>
        </is>
      </c>
      <c r="B81" s="28" t="inlineStr">
        <is>
          <t>Events · desktop</t>
        </is>
      </c>
      <c r="C81" s="28" t="inlineStr">
        <is>
          <t>Content &amp; Iconography</t>
        </is>
      </c>
      <c r="D81" s="28" t="inlineStr">
        <is>
          <t>Major</t>
        </is>
      </c>
      <c r="E81" s="28" t="inlineStr">
        <is>
          <t>Figma: The approved Figma handoff frame for this screen. Design: “discover initiatives, workshops, and awa” · absent from the build  →  Live: The design frame carries this copy and nothing with the same text renders on the live page: “Discover initiatives, workshops, and awa”; “View All”. Also measured on the 375px capture of the same page.</t>
        </is>
      </c>
      <c r="F81" s="28" t="inlineStr">
        <is>
          <t>Add this copy where the Figma frame places it (each piece is outlined on the design panel): “Discover initiatives, workshops, and awa”; “View All”. Where a piece was dropped on purpose, tell the design team so the frame is updated instead.</t>
        </is>
      </c>
      <c r="G81" s="28" t="inlineStr">
        <is>
          <t>https://www.figma.com/design/Ds5qx61QsI0ZkYSrLKxo0A/MoSJE--Handoff-?node-id=3453-13841</t>
        </is>
      </c>
      <c r="H81" s="28" t="n"/>
      <c r="I81" s="28" t="inlineStr">
        <is>
          <t>Open</t>
        </is>
      </c>
      <c r="J81" s="28" t="n"/>
      <c r="K81" s="28" t="n"/>
      <c r="L81" s="28" t="inlineStr">
        <is>
          <t>env: live</t>
        </is>
      </c>
      <c r="M81" s="28" t="inlineStr">
        <is>
          <t>Screen</t>
        </is>
      </c>
    </row>
    <row r="82">
      <c r="A82" s="27" t="inlineStr">
        <is>
          <t>WEB-SCREEN-412</t>
        </is>
      </c>
      <c r="B82" s="28" t="inlineStr">
        <is>
          <t>Events · desktop</t>
        </is>
      </c>
      <c r="C82" s="28" t="inlineStr">
        <is>
          <t>Typography</t>
        </is>
      </c>
      <c r="D82" s="28" t="inlineStr">
        <is>
          <t>Major</t>
        </is>
      </c>
      <c r="E82" s="28" t="inlineStr">
        <is>
          <t>Figma: The approved Figma handoff frame for this screen. Built 24px · design 28px · Built 500 weight · design 600 · Built #1F2937 · design #1F2428  →  Live: “Other Events” — size 28 → 24; weight 600 → 500; colour #1F2428 → #1F2937.</t>
        </is>
      </c>
      <c r="F82" s="28" t="inlineStr">
        <is>
          <t>On “Other Events”, change 24px to 28px; change 500 weight to 600; change #1F2937 to #1F2428 — as in the Figma frame (link on this board). Make the change in the shared style for this element, so every page using it follows.</t>
        </is>
      </c>
      <c r="G82" s="28" t="inlineStr">
        <is>
          <t>https://www.figma.com/design/Ds5qx61QsI0ZkYSrLKxo0A/MoSJE--Handoff-?node-id=3453-13841</t>
        </is>
      </c>
      <c r="H82" s="28" t="n"/>
      <c r="I82" s="28" t="inlineStr">
        <is>
          <t>Open</t>
        </is>
      </c>
      <c r="J82" s="28" t="n"/>
      <c r="K82" s="28" t="n"/>
      <c r="L82" s="28" t="inlineStr">
        <is>
          <t>env: live</t>
        </is>
      </c>
      <c r="M82" s="28" t="inlineStr">
        <is>
          <t>Screen</t>
        </is>
      </c>
    </row>
    <row r="83">
      <c r="A83" s="27" t="inlineStr">
        <is>
          <t>WEB-SCREEN-408</t>
        </is>
      </c>
      <c r="B83" s="28" t="inlineStr">
        <is>
          <t>Events · desktop</t>
        </is>
      </c>
      <c r="C83" s="28" t="inlineStr">
        <is>
          <t>Color &amp; Token</t>
        </is>
      </c>
      <c r="D83" s="28" t="inlineStr">
        <is>
          <t>Major</t>
        </is>
      </c>
      <c r="E83" s="28" t="inlineStr">
        <is>
          <t>Figma: The approved Figma handoff frame for this screen. Built #374151 · design #1F2428  →  Live: “Upcoming Events” — colour #1F2428 → #374151. Also measured on the 375px capture of the same page.</t>
        </is>
      </c>
      <c r="F83" s="28" t="inlineStr">
        <is>
          <t>On “Upcoming Events”, change #374151 to #1F2428 — as in the Figma frame (link on this board). Make the change in the shared style for this element, so every page using it follows.</t>
        </is>
      </c>
      <c r="G83" s="28" t="inlineStr">
        <is>
          <t>https://www.figma.com/design/Ds5qx61QsI0ZkYSrLKxo0A/MoSJE--Handoff-?node-id=3453-13841</t>
        </is>
      </c>
      <c r="H83" s="28" t="n"/>
      <c r="I83" s="28" t="inlineStr">
        <is>
          <t>Open</t>
        </is>
      </c>
      <c r="J83" s="28" t="n"/>
      <c r="K83" s="28" t="n"/>
      <c r="L83" s="28" t="inlineStr">
        <is>
          <t>env: live</t>
        </is>
      </c>
      <c r="M83" s="28" t="inlineStr">
        <is>
          <t>Screen</t>
        </is>
      </c>
    </row>
    <row r="84">
      <c r="A84" s="27" t="inlineStr">
        <is>
          <t>WEB-SCREEN-409</t>
        </is>
      </c>
      <c r="B84" s="28" t="inlineStr">
        <is>
          <t>Events · desktop</t>
        </is>
      </c>
      <c r="C84" s="28" t="inlineStr">
        <is>
          <t>Color &amp; Token</t>
        </is>
      </c>
      <c r="D84" s="28" t="inlineStr">
        <is>
          <t>Major</t>
        </is>
      </c>
      <c r="E84" s="28" t="inlineStr">
        <is>
          <t>Figma: The approved Figma handoff frame for this screen. Built #1F2937 · design #343A40  →  Live: “Past Events” — colour #343A40 → #1F2937. Measured on 2 pages. Also measured on the 375px capture of the same page.</t>
        </is>
      </c>
      <c r="F84" s="28" t="inlineStr">
        <is>
          <t>On “Past Events”, change #1F2937 to #343A40 — as in the Figma frame (link on this board). Make the change in the shared style for this element, so every page using it follows.</t>
        </is>
      </c>
      <c r="G84" s="28" t="inlineStr">
        <is>
          <t>https://www.figma.com/design/Ds5qx61QsI0ZkYSrLKxo0A/MoSJE--Handoff-?node-id=3453-13841</t>
        </is>
      </c>
      <c r="H84" s="28" t="n"/>
      <c r="I84" s="28" t="inlineStr">
        <is>
          <t>Open</t>
        </is>
      </c>
      <c r="J84" s="28" t="n"/>
      <c r="K84" s="28" t="n"/>
      <c r="L84" s="28" t="inlineStr">
        <is>
          <t>env: live</t>
        </is>
      </c>
      <c r="M84" s="28" t="inlineStr">
        <is>
          <t>Screen</t>
        </is>
      </c>
    </row>
    <row r="85">
      <c r="A85" s="27" t="inlineStr">
        <is>
          <t>WEB-SCREEN-410</t>
        </is>
      </c>
      <c r="B85" s="28" t="inlineStr">
        <is>
          <t>Events · mobile</t>
        </is>
      </c>
      <c r="C85" s="28" t="inlineStr">
        <is>
          <t>Typography</t>
        </is>
      </c>
      <c r="D85" s="28" t="inlineStr">
        <is>
          <t>Major</t>
        </is>
      </c>
      <c r="E85" s="28" t="inlineStr">
        <is>
          <t>Figma: The approved Figma handoff frame for this screen. Built 16px · design 12px · Built 500 weight · design 400 · Built #374151 · design #343A40  →  Live: “Stay updated on the Ministry’s recent events and campaigns for equalit” — size 12 → 16; weight 400 → 500; colour #343A40 → #374151.</t>
        </is>
      </c>
      <c r="F85" s="28" t="inlineStr">
        <is>
          <t>On “Stay updated on the Ministry’s recent events and campaigns f”, change 16px to 12px; change 500 weight to 400; change #374151 to #343A40 — as in the Figma frame (link on this board). Make the change in the shared style for this element, so every page using it follows.</t>
        </is>
      </c>
      <c r="G85" s="28" t="inlineStr">
        <is>
          <t>https://www.figma.com/design/Ds5qx61QsI0ZkYSrLKxo0A/MoSJE--Handoff-?node-id=4571-114418</t>
        </is>
      </c>
      <c r="H85" s="28" t="n"/>
      <c r="I85" s="28" t="inlineStr">
        <is>
          <t>Open</t>
        </is>
      </c>
      <c r="J85" s="28" t="n"/>
      <c r="K85" s="28" t="n"/>
      <c r="L85" s="28" t="inlineStr">
        <is>
          <t>env: live</t>
        </is>
      </c>
      <c r="M85" s="28" t="inlineStr">
        <is>
          <t>Screen</t>
        </is>
      </c>
    </row>
    <row r="86">
      <c r="A86" s="27" t="inlineStr">
        <is>
          <t>WEB-SCREEN-411</t>
        </is>
      </c>
      <c r="B86" s="28" t="inlineStr">
        <is>
          <t>Events · mobile</t>
        </is>
      </c>
      <c r="C86" s="28" t="inlineStr">
        <is>
          <t>Typography</t>
        </is>
      </c>
      <c r="D86" s="28" t="inlineStr">
        <is>
          <t>Major</t>
        </is>
      </c>
      <c r="E86" s="28" t="inlineStr">
        <is>
          <t>Figma: The approved Figma handoff frame for this screen. Built 24px · design 20px · Built 500 weight · design 600 · Built #1F2937 · design #1F2428  →  Live: “Other Events” — size 20 → 24; weight 600 → 500; colour #1F2428 → #1F2937.</t>
        </is>
      </c>
      <c r="F86" s="28" t="inlineStr">
        <is>
          <t>On “Other Events”, change 24px to 20px; change 500 weight to 600; change #1F2937 to #1F2428 — as in the Figma frame (link on this board). Make the change in the shared style for this element, so every page using it follows.</t>
        </is>
      </c>
      <c r="G86" s="28" t="inlineStr">
        <is>
          <t>https://www.figma.com/design/Ds5qx61QsI0ZkYSrLKxo0A/MoSJE--Handoff-?node-id=4571-114418</t>
        </is>
      </c>
      <c r="H86" s="28" t="n"/>
      <c r="I86" s="28" t="inlineStr">
        <is>
          <t>Open</t>
        </is>
      </c>
      <c r="J86" s="28" t="n"/>
      <c r="K86" s="28" t="n"/>
      <c r="L86" s="28" t="inlineStr">
        <is>
          <t>env: live</t>
        </is>
      </c>
      <c r="M86" s="28" t="inlineStr">
        <is>
          <t>Screen</t>
        </is>
      </c>
    </row>
    <row r="87">
      <c r="A87" s="27" t="inlineStr">
        <is>
          <t>WEB-SCREEN-260</t>
        </is>
      </c>
      <c r="B87" s="28" t="inlineStr">
        <is>
          <t>Events  Ek Ped Maa Ke Naam 6 · desktop</t>
        </is>
      </c>
      <c r="C87" s="28" t="inlineStr">
        <is>
          <t>Typography</t>
        </is>
      </c>
      <c r="D87" s="28" t="inlineStr">
        <is>
          <t>Major</t>
        </is>
      </c>
      <c r="E87" s="28" t="inlineStr">
        <is>
          <t>Figma: The approved Figma handoff frame for this screen. Built 20px · design 28px · Built #0373DF · design #014B92  →  Live: “Description” — size 28 → 20; colour #014B92 → #0373DF. Measured on 2 pages.</t>
        </is>
      </c>
      <c r="F87" s="28" t="inlineStr">
        <is>
          <t>On “Description”, change 20px to 28px; change #0373DF to #014B92 — as in the Figma frame (link on this board). Make the change in the shared style for this element, so every page using it follows.</t>
        </is>
      </c>
      <c r="G87" s="28" t="inlineStr">
        <is>
          <t>https://www.figma.com/design/Ds5qx61QsI0ZkYSrLKxo0A/MoSJE--Handoff-?node-id=3453-14110</t>
        </is>
      </c>
      <c r="H87" s="28" t="inlineStr">
        <is>
          <t>https://www.dosje.gov.in/events/ek-ped-maa-ke-naam-6/</t>
        </is>
      </c>
      <c r="I87" s="28" t="inlineStr">
        <is>
          <t>Open</t>
        </is>
      </c>
      <c r="J87" s="28" t="n"/>
      <c r="K87" s="28" t="n"/>
      <c r="L87" s="28" t="inlineStr">
        <is>
          <t>env: live</t>
        </is>
      </c>
      <c r="M87" s="28" t="inlineStr">
        <is>
          <t>Screen</t>
        </is>
      </c>
    </row>
    <row r="88">
      <c r="A88" s="27" t="inlineStr">
        <is>
          <t>WEB-SCREEN-332</t>
        </is>
      </c>
      <c r="B88" s="28" t="inlineStr">
        <is>
          <t>Events  Ek Ped Maa Ke Naam 6 · desktop</t>
        </is>
      </c>
      <c r="C88" s="28" t="inlineStr">
        <is>
          <t>Color &amp; Token</t>
        </is>
      </c>
      <c r="D88" s="28" t="inlineStr">
        <is>
          <t>Major</t>
        </is>
      </c>
      <c r="E88" s="28" t="inlineStr">
        <is>
          <t>Figma: WCAG 2.2 AA (1.4.3), carried into GIGW 3.0: text needs 4.5:1 against its background, or 3:1 at 24px+ / 18.66px+ bold.  →  Live: Text “Declared” (span.badge) renders #FFFFFF on #3C9718 at 12px/500 — #FFFFFF on #3C9718 as painted on the capture: 3.73:1 against the 4.5:1 minimum. Measured on 2 pages. Also measured on the 375px capture of the same page.</t>
        </is>
      </c>
      <c r="F88" s="28" t="inlineStr">
        <is>
          <t>Change the text colour of “Declared” from #FFFFFF to #1C1C1C — 4.57:1 on #3C9718, which passes the 4.5:1 minimum. Or keep #FFFFFF and darken the background from #3C9718 to #358615 (4.57:1). Change it where the colour is set (the shared class or theme setting), so every page using this pair is fixed at once.</t>
        </is>
      </c>
      <c r="G88" s="28" t="inlineStr">
        <is>
          <t>https://www.figma.com/design/Ds5qx61QsI0ZkYSrLKxo0A/MoSJE--Handoff-?node-id=3453-14110</t>
        </is>
      </c>
      <c r="H88" s="28" t="inlineStr">
        <is>
          <t>https://www.dosje.gov.in/events/ek-ped-maa-ke-naam-6/</t>
        </is>
      </c>
      <c r="I88" s="28" t="inlineStr">
        <is>
          <t>Open</t>
        </is>
      </c>
      <c r="J88" s="28" t="n"/>
      <c r="K88" s="28" t="n"/>
      <c r="L88" s="28" t="inlineStr">
        <is>
          <t>env: live</t>
        </is>
      </c>
      <c r="M88" s="28" t="inlineStr">
        <is>
          <t>Screen</t>
        </is>
      </c>
    </row>
    <row r="89">
      <c r="A89" s="27" t="inlineStr">
        <is>
          <t>WEB-SCREEN-258</t>
        </is>
      </c>
      <c r="B89" s="28" t="inlineStr">
        <is>
          <t>Events  Ek Ped Maa Ke Naam 6 · mobile</t>
        </is>
      </c>
      <c r="C89" s="28" t="inlineStr">
        <is>
          <t>Color &amp; Token</t>
        </is>
      </c>
      <c r="D89" s="28" t="inlineStr">
        <is>
          <t>Major</t>
        </is>
      </c>
      <c r="E89" s="28" t="inlineStr">
        <is>
          <t>Figma: The approved Figma handoff frame for this screen. Built #0373DF · design #014B92  →  Live: “Description” — colour #014B92 → #0373DF. Measured on 2 pages.</t>
        </is>
      </c>
      <c r="F89" s="28" t="inlineStr">
        <is>
          <t>On “Description”, change #0373DF to #014B92 — as in the Figma frame (link on this board). Make the change in the shared style for this element, so every page using it follows.</t>
        </is>
      </c>
      <c r="G89" s="28" t="inlineStr">
        <is>
          <t>https://www.figma.com/design/Ds5qx61QsI0ZkYSrLKxo0A/MoSJE--Handoff-?node-id=4571-115254</t>
        </is>
      </c>
      <c r="H89" s="28" t="n"/>
      <c r="I89" s="28" t="inlineStr">
        <is>
          <t>Open</t>
        </is>
      </c>
      <c r="J89" s="28" t="n"/>
      <c r="K89" s="28" t="n"/>
      <c r="L89" s="28" t="inlineStr">
        <is>
          <t>env: live</t>
        </is>
      </c>
      <c r="M89" s="28" t="inlineStr">
        <is>
          <t>Screen</t>
        </is>
      </c>
    </row>
    <row r="90">
      <c r="A90" s="27" t="inlineStr">
        <is>
          <t>WEB-SCREEN-259</t>
        </is>
      </c>
      <c r="B90" s="28" t="inlineStr">
        <is>
          <t>Events  Ek Ped Maa Ke Naam 6 · mobile</t>
        </is>
      </c>
      <c r="C90" s="28" t="inlineStr">
        <is>
          <t>Typography</t>
        </is>
      </c>
      <c r="D90" s="28" t="inlineStr">
        <is>
          <t>Major</t>
        </is>
      </c>
      <c r="E90" s="28" t="inlineStr">
        <is>
          <t>Figma: The approved Figma handoff frame for this screen. Built 12px · design 14px · Built #343A40 · design #1F2937  →  Live: “Email” — size 14 → 12; colour #1F2937 → #343A40. Measured on 2 pages.</t>
        </is>
      </c>
      <c r="F90" s="28" t="inlineStr">
        <is>
          <t>On “Email”, change 12px to 14px; change #343A40 to #1F2937 — as in the Figma frame (link on this board). Make the change in the shared style for this element, so every page using it follows.</t>
        </is>
      </c>
      <c r="G90" s="28" t="inlineStr">
        <is>
          <t>https://www.figma.com/design/Ds5qx61QsI0ZkYSrLKxo0A/MoSJE--Handoff-?node-id=4571-115254</t>
        </is>
      </c>
      <c r="H90" s="28" t="n"/>
      <c r="I90" s="28" t="inlineStr">
        <is>
          <t>Open</t>
        </is>
      </c>
      <c r="J90" s="28" t="n"/>
      <c r="K90" s="28" t="n"/>
      <c r="L90" s="28" t="inlineStr">
        <is>
          <t>env: live</t>
        </is>
      </c>
      <c r="M90" s="28" t="inlineStr">
        <is>
          <t>Screen</t>
        </is>
      </c>
    </row>
    <row r="91">
      <c r="A91" s="27" t="inlineStr">
        <is>
          <t>WEB-SCREEN-263</t>
        </is>
      </c>
      <c r="B91" s="28" t="inlineStr">
        <is>
          <t>Events  Ek Ped Maa Ke Naam 7 · desktop</t>
        </is>
      </c>
      <c r="C91" s="28" t="inlineStr">
        <is>
          <t>Typography</t>
        </is>
      </c>
      <c r="D91" s="28" t="inlineStr">
        <is>
          <t>Major</t>
        </is>
      </c>
      <c r="E91" s="28" t="inlineStr">
        <is>
          <t>Figma: The approved Figma handoff frame for this screen. Built 20px · design 28px · Built #0373DF · design #014B92  →  Live: “Description” — size 28 → 20; colour #014B92 → #0373DF. Measured on 2 pages.</t>
        </is>
      </c>
      <c r="F91" s="28" t="inlineStr">
        <is>
          <t>On “Description”, change 20px to 28px; change #0373DF to #014B92 — as in the Figma frame (link on this board). Make the change in the shared style for this element, so every page using it follows.</t>
        </is>
      </c>
      <c r="G91" s="28" t="inlineStr">
        <is>
          <t>https://www.figma.com/design/Ds5qx61QsI0ZkYSrLKxo0A/MoSJE--Handoff-?node-id=3453-14110</t>
        </is>
      </c>
      <c r="H91" s="28" t="inlineStr">
        <is>
          <t>https://www.dosje.gov.in/events/ek-ped-maa-ke-naam-7/</t>
        </is>
      </c>
      <c r="I91" s="28" t="inlineStr">
        <is>
          <t>Open</t>
        </is>
      </c>
      <c r="J91" s="28" t="n"/>
      <c r="K91" s="28" t="n"/>
      <c r="L91" s="28" t="inlineStr">
        <is>
          <t>env: live</t>
        </is>
      </c>
      <c r="M91" s="28" t="inlineStr">
        <is>
          <t>Screen</t>
        </is>
      </c>
    </row>
    <row r="92">
      <c r="A92" s="27" t="inlineStr">
        <is>
          <t>WEB-SCREEN-333</t>
        </is>
      </c>
      <c r="B92" s="28" t="inlineStr">
        <is>
          <t>Events  Ek Ped Maa Ke Naam 7 · desktop</t>
        </is>
      </c>
      <c r="C92" s="28" t="inlineStr">
        <is>
          <t>Color &amp; Token</t>
        </is>
      </c>
      <c r="D92" s="28" t="inlineStr">
        <is>
          <t>Major</t>
        </is>
      </c>
      <c r="E92" s="28" t="inlineStr">
        <is>
          <t>Figma: WCAG 2.2 AA (1.4.3), carried into GIGW 3.0: text needs 4.5:1 against its background, or 3:1 at 24px+ / 18.66px+ bold.  →  Live: Text “Declared” (span.badge) renders #FFFFFF on #3C9718 at 12px/500 — #FFFFFF on #3C9718 as painted on the capture: 3.73:1 against the 4.5:1 minimum. Measured on 2 pages. Also measured on the 375px capture of the same page.</t>
        </is>
      </c>
      <c r="F92" s="28" t="inlineStr">
        <is>
          <t>Change the text colour of “Declared” from #FFFFFF to #1C1C1C — 4.57:1 on #3C9718, which passes the 4.5:1 minimum. Or keep #FFFFFF and darken the background from #3C9718 to #358615 (4.57:1). Change it where the colour is set (the shared class or theme setting), so every page using this pair is fixed at once.</t>
        </is>
      </c>
      <c r="G92" s="28" t="inlineStr">
        <is>
          <t>https://www.figma.com/design/Ds5qx61QsI0ZkYSrLKxo0A/MoSJE--Handoff-?node-id=3453-14110</t>
        </is>
      </c>
      <c r="H92" s="28" t="inlineStr">
        <is>
          <t>https://www.dosje.gov.in/events/ek-ped-maa-ke-naam-7/</t>
        </is>
      </c>
      <c r="I92" s="28" t="inlineStr">
        <is>
          <t>Open</t>
        </is>
      </c>
      <c r="J92" s="28" t="n"/>
      <c r="K92" s="28" t="n"/>
      <c r="L92" s="28" t="inlineStr">
        <is>
          <t>env: live</t>
        </is>
      </c>
      <c r="M92" s="28" t="inlineStr">
        <is>
          <t>Screen</t>
        </is>
      </c>
    </row>
    <row r="93">
      <c r="A93" s="27" t="inlineStr">
        <is>
          <t>WEB-SCREEN-261</t>
        </is>
      </c>
      <c r="B93" s="28" t="inlineStr">
        <is>
          <t>Events  Ek Ped Maa Ke Naam 7 · mobile</t>
        </is>
      </c>
      <c r="C93" s="28" t="inlineStr">
        <is>
          <t>Color &amp; Token</t>
        </is>
      </c>
      <c r="D93" s="28" t="inlineStr">
        <is>
          <t>Major</t>
        </is>
      </c>
      <c r="E93" s="28" t="inlineStr">
        <is>
          <t>Figma: The approved Figma handoff frame for this screen. Built #0373DF · design #014B92  →  Live: “Description” — colour #014B92 → #0373DF. Measured on 2 pages.</t>
        </is>
      </c>
      <c r="F93" s="28" t="inlineStr">
        <is>
          <t>On “Description”, change #0373DF to #014B92 — as in the Figma frame (link on this board). Make the change in the shared style for this element, so every page using it follows.</t>
        </is>
      </c>
      <c r="G93" s="28" t="inlineStr">
        <is>
          <t>https://www.figma.com/design/Ds5qx61QsI0ZkYSrLKxo0A/MoSJE--Handoff-?node-id=4571-115254</t>
        </is>
      </c>
      <c r="H93" s="28" t="n"/>
      <c r="I93" s="28" t="inlineStr">
        <is>
          <t>Open</t>
        </is>
      </c>
      <c r="J93" s="28" t="n"/>
      <c r="K93" s="28" t="n"/>
      <c r="L93" s="28" t="inlineStr">
        <is>
          <t>env: live</t>
        </is>
      </c>
      <c r="M93" s="28" t="inlineStr">
        <is>
          <t>Screen</t>
        </is>
      </c>
    </row>
    <row r="94">
      <c r="A94" s="27" t="inlineStr">
        <is>
          <t>WEB-SCREEN-262</t>
        </is>
      </c>
      <c r="B94" s="28" t="inlineStr">
        <is>
          <t>Events  Ek Ped Maa Ke Naam 7 · mobile</t>
        </is>
      </c>
      <c r="C94" s="28" t="inlineStr">
        <is>
          <t>Typography</t>
        </is>
      </c>
      <c r="D94" s="28" t="inlineStr">
        <is>
          <t>Major</t>
        </is>
      </c>
      <c r="E94" s="28" t="inlineStr">
        <is>
          <t>Figma: The approved Figma handoff frame for this screen. Built 12px · design 14px · Built #343A40 · design #1F2937  →  Live: “Email” — size 14 → 12; colour #1F2937 → #343A40. Measured on 2 pages.</t>
        </is>
      </c>
      <c r="F94" s="28" t="inlineStr">
        <is>
          <t>On “Email”, change 12px to 14px; change #343A40 to #1F2937 — as in the Figma frame (link on this board). Make the change in the shared style for this element, so every page using it follows.</t>
        </is>
      </c>
      <c r="G94" s="28" t="inlineStr">
        <is>
          <t>https://www.figma.com/design/Ds5qx61QsI0ZkYSrLKxo0A/MoSJE--Handoff-?node-id=4571-115254</t>
        </is>
      </c>
      <c r="H94" s="28" t="n"/>
      <c r="I94" s="28" t="inlineStr">
        <is>
          <t>Open</t>
        </is>
      </c>
      <c r="J94" s="28" t="n"/>
      <c r="K94" s="28" t="n"/>
      <c r="L94" s="28" t="inlineStr">
        <is>
          <t>env: live</t>
        </is>
      </c>
      <c r="M94" s="28" t="inlineStr">
        <is>
          <t>Screen</t>
        </is>
      </c>
    </row>
    <row r="95">
      <c r="A95" s="27" t="inlineStr">
        <is>
          <t>WEB-SCREEN-356</t>
        </is>
      </c>
      <c r="B95" s="28" t="inlineStr">
        <is>
          <t>For Student · desktop</t>
        </is>
      </c>
      <c r="C95" s="28" t="inlineStr">
        <is>
          <t>Content &amp; Iconography</t>
        </is>
      </c>
      <c r="D95" s="28" t="inlineStr">
        <is>
          <t>Nit</t>
        </is>
      </c>
      <c r="E95" s="28" t="inlineStr">
        <is>
          <t>Figma: GIGW 3.0: page content is accurate, specific to the page, and in the Department's own register.  →  Live: All four audience pages open with “Here's how the Ministry empowers citizens like you.” A reader who arrives on the page for their own group is told nothing specific to it.</t>
        </is>
      </c>
      <c r="F95" s="28" t="inlineStr">
        <is>
          <t>Give each audience page a sentence about what that audience will find on it.</t>
        </is>
      </c>
      <c r="G95" s="28" t="n"/>
      <c r="H95" s="28" t="inlineStr">
        <is>
          <t>https://www.dosje.gov.in/home-page/for-student/</t>
        </is>
      </c>
      <c r="I95" s="28" t="inlineStr">
        <is>
          <t>Open</t>
        </is>
      </c>
      <c r="J95" s="28" t="n"/>
      <c r="K95" s="28" t="n"/>
      <c r="L95" s="28" t="inlineStr">
        <is>
          <t>env: live</t>
        </is>
      </c>
      <c r="M95" s="28" t="inlineStr">
        <is>
          <t>Screen</t>
        </is>
      </c>
    </row>
    <row r="96">
      <c r="A96" s="27" t="inlineStr">
        <is>
          <t>WEB-SCREEN-293</t>
        </is>
      </c>
      <c r="B96" s="28" t="inlineStr">
        <is>
          <t>Gallery · desktop</t>
        </is>
      </c>
      <c r="C96" s="28" t="inlineStr">
        <is>
          <t>Content &amp; Iconography</t>
        </is>
      </c>
      <c r="D96" s="28" t="inlineStr">
        <is>
          <t>Major</t>
        </is>
      </c>
      <c r="E96" s="28" t="inlineStr">
        <is>
          <t>Figma: GIGW 3.0: page content is accurate, specific to the page, and in the Department's own register.  →  Live: Under the Gallery page's &lt;h1&gt;, the standfirst reads “Review comprehensive annual reports released by the Commission and its associated organisations.” That is the Annual Reports page's description, and it also says “the Commission” on a Department page. It is the first sentence a citizen reads on the page.</t>
        </is>
      </c>
      <c r="F96" s="28" t="inlineStr">
        <is>
          <t>Replace with a description of the gallery — what it holds and who publishes it — in the Department's own words, and use “the Department”.</t>
        </is>
      </c>
      <c r="G96" s="28" t="inlineStr">
        <is>
          <t>https://www.figma.com/design/Ds5qx61QsI0ZkYSrLKxo0A/MoSJE--Handoff-?node-id=3453-13281</t>
        </is>
      </c>
      <c r="H96" s="28" t="n"/>
      <c r="I96" s="28" t="inlineStr">
        <is>
          <t>Open</t>
        </is>
      </c>
      <c r="J96" s="28" t="n"/>
      <c r="K96" s="28" t="n"/>
      <c r="L96" s="28" t="inlineStr">
        <is>
          <t>env: live</t>
        </is>
      </c>
      <c r="M96" s="28" t="inlineStr">
        <is>
          <t>Screen</t>
        </is>
      </c>
    </row>
    <row r="97">
      <c r="A97" s="27" t="inlineStr">
        <is>
          <t>WEB-SCREEN-371</t>
        </is>
      </c>
      <c r="B97" s="28" t="inlineStr">
        <is>
          <t>Gallery · desktop</t>
        </is>
      </c>
      <c r="C97" s="28" t="inlineStr">
        <is>
          <t>Content &amp; Iconography</t>
        </is>
      </c>
      <c r="D97" s="28" t="inlineStr">
        <is>
          <t>Major</t>
        </is>
      </c>
      <c r="E97" s="28" t="inlineStr">
        <is>
          <t>Figma: The approved Figma handoff frame for this screen. Design: “explore photos, videos and news from the” · absent from the build  →  Live: The design frame carries this copy and nothing with the same text renders on the live page: “Explore photos, videos and news from the”; “Search by keyword or event”. Also measured on the 375px capture of the same page.</t>
        </is>
      </c>
      <c r="F97" s="28" t="inlineStr">
        <is>
          <t>Add this copy where the Figma frame places it (each piece is outlined on the design panel): “Explore photos, videos and news from the”; “Search by keyword or event”. Where a piece was dropped on purpose, tell the design team so the frame is updated instead.</t>
        </is>
      </c>
      <c r="G97" s="28" t="inlineStr">
        <is>
          <t>https://www.figma.com/design/Ds5qx61QsI0ZkYSrLKxo0A/MoSJE--Handoff-?node-id=3453-13281</t>
        </is>
      </c>
      <c r="H97" s="28" t="n"/>
      <c r="I97" s="28" t="inlineStr">
        <is>
          <t>Open</t>
        </is>
      </c>
      <c r="J97" s="28" t="n"/>
      <c r="K97" s="28" t="n"/>
      <c r="L97" s="28" t="inlineStr">
        <is>
          <t>env: live</t>
        </is>
      </c>
      <c r="M97" s="28" t="inlineStr">
        <is>
          <t>Screen</t>
        </is>
      </c>
    </row>
    <row r="98">
      <c r="A98" s="27" t="inlineStr">
        <is>
          <t>WEB-SCREEN-295</t>
        </is>
      </c>
      <c r="B98" s="28" t="inlineStr">
        <is>
          <t>Gallery · desktop</t>
        </is>
      </c>
      <c r="C98" s="28" t="inlineStr">
        <is>
          <t>Functional</t>
        </is>
      </c>
      <c r="D98" s="28" t="inlineStr">
        <is>
          <t>Major</t>
        </is>
      </c>
      <c r="E98" s="28" t="inlineStr">
        <is>
          <t>Figma: GIGW 3.0: published content is reachable by navigating the site, not only by search.  →  Live: The gallery cards link straight to an image file on the CDN (dxrs6j9umb85v.cloudfront.net). A citizen who opens one in a new tab, or whose lightbox script fails, lands on a bare JPEG with no masthead, no context and no way back — and a search engine indexes the file rather than the page.</t>
        </is>
      </c>
      <c r="F98" s="28" t="inlineStr">
        <is>
          <t>Point the card at its gallery page and open the lightbox from there, so the image is always reachable inside the site.</t>
        </is>
      </c>
      <c r="G98" s="28" t="inlineStr">
        <is>
          <t>https://www.figma.com/design/Ds5qx61QsI0ZkYSrLKxo0A/MoSJE--Handoff-?node-id=3453-13281</t>
        </is>
      </c>
      <c r="H98" s="28" t="n"/>
      <c r="I98" s="28" t="inlineStr">
        <is>
          <t>Open</t>
        </is>
      </c>
      <c r="J98" s="28" t="n"/>
      <c r="K98" s="28" t="n"/>
      <c r="L98" s="28" t="inlineStr">
        <is>
          <t>env: live</t>
        </is>
      </c>
      <c r="M98" s="28" t="inlineStr">
        <is>
          <t>Screen</t>
        </is>
      </c>
    </row>
    <row r="99">
      <c r="A99" s="27" t="inlineStr">
        <is>
          <t>WEB-SCREEN-294</t>
        </is>
      </c>
      <c r="B99" s="28" t="inlineStr">
        <is>
          <t>Gallery · desktop</t>
        </is>
      </c>
      <c r="C99" s="28" t="inlineStr">
        <is>
          <t>Functional</t>
        </is>
      </c>
      <c r="D99" s="28" t="inlineStr">
        <is>
          <t>Major</t>
        </is>
      </c>
      <c r="E99" s="28" t="inlineStr">
        <is>
          <t>Figma: GIGW 3.0: published content is reachable by navigating the site, not only by search.  →  Live: The sitemap publishes 590 gallery pages at /gallery/&lt;name&gt;/, and each one loads. The Gallery listing links to CDN image files instead, so those 590 pages can be found only through a search engine.</t>
        </is>
      </c>
      <c r="F99" s="28" t="inlineStr">
        <is>
          <t>Link each card to its /gallery/&lt;name&gt;/ page.</t>
        </is>
      </c>
      <c r="G99" s="28" t="inlineStr">
        <is>
          <t>https://www.figma.com/design/Ds5qx61QsI0ZkYSrLKxo0A/MoSJE--Handoff-?node-id=3453-13281</t>
        </is>
      </c>
      <c r="H99" s="28" t="n"/>
      <c r="I99" s="28" t="inlineStr">
        <is>
          <t>Open</t>
        </is>
      </c>
      <c r="J99" s="28" t="n"/>
      <c r="K99" s="28" t="n"/>
      <c r="L99" s="28" t="inlineStr">
        <is>
          <t>env: live</t>
        </is>
      </c>
      <c r="M99" s="28" t="inlineStr">
        <is>
          <t>Screen</t>
        </is>
      </c>
    </row>
    <row r="100">
      <c r="A100" s="27" t="inlineStr">
        <is>
          <t>WEB-SCREEN-413</t>
        </is>
      </c>
      <c r="B100" s="28" t="inlineStr">
        <is>
          <t>Home · desktop</t>
        </is>
      </c>
      <c r="C100" s="28" t="inlineStr">
        <is>
          <t>Color &amp; Token</t>
        </is>
      </c>
      <c r="D100" s="28" t="inlineStr">
        <is>
          <t>Major</t>
        </is>
      </c>
      <c r="E100" s="28" t="inlineStr">
        <is>
          <t>Figma: The approved Figma handoff frame for this screen. Built #1F2937 · design #000000  →  Live: “BETA” — colour #000000 → #1F2937. Also measured on the 375px capture of the same page.</t>
        </is>
      </c>
      <c r="F100" s="28" t="inlineStr">
        <is>
          <t>On “BETA”, change #1F2937 to #000000 — as in the Figma frame (link on this board). Make the change in the shared style for this element, so every page using it follows.</t>
        </is>
      </c>
      <c r="G100" s="28" t="inlineStr">
        <is>
          <t>https://www.figma.com/design/Ds5qx61QsI0ZkYSrLKxo0A/MoSJE--Handoff-?node-id=3453-7805</t>
        </is>
      </c>
      <c r="H100" s="28" t="inlineStr">
        <is>
          <t>https://www.dosje.gov.in/</t>
        </is>
      </c>
      <c r="I100" s="28" t="inlineStr">
        <is>
          <t>Open</t>
        </is>
      </c>
      <c r="J100" s="28" t="n"/>
      <c r="K100" s="28" t="n"/>
      <c r="L100" s="28" t="inlineStr">
        <is>
          <t>env: live</t>
        </is>
      </c>
      <c r="M100" s="28" t="inlineStr">
        <is>
          <t>Screen</t>
        </is>
      </c>
    </row>
    <row r="101">
      <c r="A101" s="27" t="inlineStr">
        <is>
          <t>WEB-SCREEN-326</t>
        </is>
      </c>
      <c r="B101" s="28" t="inlineStr">
        <is>
          <t>Home · desktop</t>
        </is>
      </c>
      <c r="C101" s="28" t="inlineStr">
        <is>
          <t>Components &amp; States</t>
        </is>
      </c>
      <c r="D101" s="28" t="inlineStr">
        <is>
          <t>Blocker</t>
        </is>
      </c>
      <c r="E101" s="28" t="inlineStr">
        <is>
          <t>Figma: WCAG 2.2 AA (2.4.7): every keyboard-focusable control shows a visible focus indicator. DBIM and UX4G both draw a 4px ring.  →  Live: Home hero banner (an unlabelled link): screenshotted focused and then blurred, no pixel changes, so a keyboard user cannot see where focus is.</t>
        </is>
      </c>
      <c r="F101" s="28" t="inlineStr">
        <is>
          <t>Add a visible focus style to the hero banner link (`.swiper-slide a`): `:focus-visible { outline: 2px solid #0373DF; outline-offset: 2px; }` — and remove any `outline: none` that overrides it. Give the banner link a name too: `aria-label` with the slide's message.</t>
        </is>
      </c>
      <c r="G101" s="28" t="inlineStr">
        <is>
          <t>https://www.figma.com/design/Ds5qx61QsI0ZkYSrLKxo0A/MoSJE--Handoff-?node-id=3453-7805</t>
        </is>
      </c>
      <c r="H101" s="28" t="inlineStr">
        <is>
          <t>https://www.dosje.gov.in/</t>
        </is>
      </c>
      <c r="I101" s="28" t="inlineStr">
        <is>
          <t>Open</t>
        </is>
      </c>
      <c r="J101" s="28" t="n"/>
      <c r="K101" s="28" t="n"/>
      <c r="L101" s="28" t="inlineStr">
        <is>
          <t>env: live</t>
        </is>
      </c>
      <c r="M101" s="28" t="inlineStr">
        <is>
          <t>Screen</t>
        </is>
      </c>
    </row>
    <row r="102">
      <c r="A102" s="27" t="inlineStr">
        <is>
          <t>WEB-SCREEN-375</t>
        </is>
      </c>
      <c r="B102" s="28" t="inlineStr">
        <is>
          <t>Home · desktop</t>
        </is>
      </c>
      <c r="C102" s="28" t="inlineStr">
        <is>
          <t>Content &amp; Iconography</t>
        </is>
      </c>
      <c r="D102" s="28" t="inlineStr">
        <is>
          <t>Major</t>
        </is>
      </c>
      <c r="E102" s="28" t="inlineStr">
        <is>
          <t>Figma: The approved Figma handoff frame for this screen. Design: “the ministry of social justice &amp; empower” · absent from the build  →  Live: The design frame carries this copy and nothing with the same text renders on the live page: “The Ministry of Social Justice &amp; Empower”. Also measured on the 375px capture of the same page.</t>
        </is>
      </c>
      <c r="F102" s="28" t="inlineStr">
        <is>
          <t>Add this copy where the Figma frame places it (each piece is outlined on the design panel): “The Ministry of Social Justice &amp; Empower”. Where a piece was dropped on purpose, tell the design team so the frame is updated instead.</t>
        </is>
      </c>
      <c r="G102" s="28" t="inlineStr">
        <is>
          <t>https://www.figma.com/design/Ds5qx61QsI0ZkYSrLKxo0A/MoSJE--Handoff-?node-id=3453-7805</t>
        </is>
      </c>
      <c r="H102" s="28" t="inlineStr">
        <is>
          <t>https://www.dosje.gov.in/</t>
        </is>
      </c>
      <c r="I102" s="28" t="inlineStr">
        <is>
          <t>Open</t>
        </is>
      </c>
      <c r="J102" s="28" t="n"/>
      <c r="K102" s="28" t="n"/>
      <c r="L102" s="28" t="inlineStr">
        <is>
          <t>env: live</t>
        </is>
      </c>
      <c r="M102" s="28" t="inlineStr">
        <is>
          <t>Screen</t>
        </is>
      </c>
    </row>
    <row r="103">
      <c r="A103" s="27" t="inlineStr">
        <is>
          <t>WEB-SCREEN-419</t>
        </is>
      </c>
      <c r="B103" s="28" t="inlineStr">
        <is>
          <t>Home · desktop</t>
        </is>
      </c>
      <c r="C103" s="28" t="inlineStr">
        <is>
          <t>Typography</t>
        </is>
      </c>
      <c r="D103" s="28" t="inlineStr">
        <is>
          <t>Major</t>
        </is>
      </c>
      <c r="E103" s="28" t="inlineStr">
        <is>
          <t>Figma: The approved Figma handoff frame for this screen. Built 14px · design 16px · Built #0373DF · design #003366  →  Live: “Our Team” — size 16 → 14; colour #003366 → #0373DF. Also measured on the 375px capture of the same page.</t>
        </is>
      </c>
      <c r="F103" s="28" t="inlineStr">
        <is>
          <t>On “Our Team”, change 14px to 16px; change #0373DF to #003366 — as in the Figma frame (link on this board). Make the change in the shared style for this element, so every page using it follows.</t>
        </is>
      </c>
      <c r="G103" s="28" t="inlineStr">
        <is>
          <t>https://www.figma.com/design/Ds5qx61QsI0ZkYSrLKxo0A/MoSJE--Handoff-?node-id=3453-7805</t>
        </is>
      </c>
      <c r="H103" s="28" t="inlineStr">
        <is>
          <t>https://www.dosje.gov.in/</t>
        </is>
      </c>
      <c r="I103" s="28" t="inlineStr">
        <is>
          <t>Open</t>
        </is>
      </c>
      <c r="J103" s="28" t="n"/>
      <c r="K103" s="28" t="n"/>
      <c r="L103" s="28" t="inlineStr">
        <is>
          <t>env: live</t>
        </is>
      </c>
      <c r="M103" s="28" t="inlineStr">
        <is>
          <t>Screen</t>
        </is>
      </c>
    </row>
    <row r="104">
      <c r="A104" s="27" t="inlineStr">
        <is>
          <t>WEB-SCREEN-376</t>
        </is>
      </c>
      <c r="B104" s="28" t="inlineStr">
        <is>
          <t>Home · desktop</t>
        </is>
      </c>
      <c r="C104" s="28" t="inlineStr">
        <is>
          <t>Content &amp; Iconography</t>
        </is>
      </c>
      <c r="D104" s="28" t="inlineStr">
        <is>
          <t>Major</t>
        </is>
      </c>
      <c r="E104" s="28" t="inlineStr">
        <is>
          <t>Figma: The approved Figma handoff frame for this screen. Design: “promotes equality and social participati” · absent from the build  →  Live: The design frame carries this copy and nothing with the same text renders on the live page: “Promotes equality and social participati”.</t>
        </is>
      </c>
      <c r="F104" s="28" t="inlineStr">
        <is>
          <t>Add this copy where the Figma frame places it (each piece is outlined on the design panel): “Promotes equality and social participati”. Where a piece was dropped on purpose, tell the design team so the frame is updated instead.</t>
        </is>
      </c>
      <c r="G104" s="28" t="inlineStr">
        <is>
          <t>https://www.figma.com/design/Ds5qx61QsI0ZkYSrLKxo0A/MoSJE--Handoff-?node-id=3453-7805</t>
        </is>
      </c>
      <c r="H104" s="28" t="inlineStr">
        <is>
          <t>https://www.dosje.gov.in/</t>
        </is>
      </c>
      <c r="I104" s="28" t="inlineStr">
        <is>
          <t>Open</t>
        </is>
      </c>
      <c r="J104" s="28" t="n"/>
      <c r="K104" s="28" t="n"/>
      <c r="L104" s="28" t="inlineStr">
        <is>
          <t>env: live</t>
        </is>
      </c>
      <c r="M104" s="28" t="inlineStr">
        <is>
          <t>Screen</t>
        </is>
      </c>
    </row>
    <row r="105">
      <c r="A105" s="27" t="inlineStr">
        <is>
          <t>WEB-SCREEN-374</t>
        </is>
      </c>
      <c r="B105" s="28" t="inlineStr">
        <is>
          <t>Home · desktop</t>
        </is>
      </c>
      <c r="C105" s="28" t="inlineStr">
        <is>
          <t>Content &amp; Iconography</t>
        </is>
      </c>
      <c r="D105" s="28" t="inlineStr">
        <is>
          <t>Major</t>
        </is>
      </c>
      <c r="E105" s="28" t="inlineStr">
        <is>
          <t>Figma: The approved Figma handoff frame for this screen. Design: “empowering india, every day” · absent from the build  →  Live: The design frame carries this copy and nothing with the same text renders on the live page: “Empowering India, Every Day.”. Also measured on the 375px capture of the same page.</t>
        </is>
      </c>
      <c r="F105" s="28" t="inlineStr">
        <is>
          <t>Add this copy where the Figma frame places it (each piece is outlined on the design panel): “Empowering India, Every Day.”. Where a piece was dropped on purpose, tell the design team so the frame is updated instead.</t>
        </is>
      </c>
      <c r="G105" s="28" t="inlineStr">
        <is>
          <t>https://www.figma.com/design/Ds5qx61QsI0ZkYSrLKxo0A/MoSJE--Handoff-?node-id=3453-7805</t>
        </is>
      </c>
      <c r="H105" s="28" t="inlineStr">
        <is>
          <t>https://www.dosje.gov.in/</t>
        </is>
      </c>
      <c r="I105" s="28" t="inlineStr">
        <is>
          <t>Open</t>
        </is>
      </c>
      <c r="J105" s="28" t="n"/>
      <c r="K105" s="28" t="n"/>
      <c r="L105" s="28" t="inlineStr">
        <is>
          <t>env: live</t>
        </is>
      </c>
      <c r="M105" s="28" t="inlineStr">
        <is>
          <t>Screen</t>
        </is>
      </c>
    </row>
    <row r="106">
      <c r="A106" s="27" t="inlineStr">
        <is>
          <t>WEB-SCREEN-418</t>
        </is>
      </c>
      <c r="B106" s="28" t="inlineStr">
        <is>
          <t>Home · mobile</t>
        </is>
      </c>
      <c r="C106" s="28" t="inlineStr">
        <is>
          <t>Typography</t>
        </is>
      </c>
      <c r="D106" s="28" t="inlineStr">
        <is>
          <t>Major</t>
        </is>
      </c>
      <c r="E106" s="28" t="inlineStr">
        <is>
          <t>Figma: The approved Figma handoff frame for this screen. Built 16px · design 14px · Built 400 weight · design 500 · Built #1F2937 · design #343A40  →  Live: “Discover our schemes, careers, and partnerships.” — size 14 → 16; weight 500 → 400; colour #343A40 → #1F2937.</t>
        </is>
      </c>
      <c r="F106" s="28" t="inlineStr">
        <is>
          <t>On “Discover our schemes, careers, and partnerships.”, change 16px to 14px; change 400 weight to 500; change #1F2937 to #343A40 — as in the Figma frame (link on this board). Make the change in the shared style for this element, so every page using it follows.</t>
        </is>
      </c>
      <c r="G106" s="28" t="inlineStr">
        <is>
          <t>https://www.figma.com/design/Ds5qx61QsI0ZkYSrLKxo0A/MoSJE--Handoff-?node-id=4285-223026</t>
        </is>
      </c>
      <c r="H106" s="28" t="inlineStr">
        <is>
          <t>https://www.dosje.gov.in/</t>
        </is>
      </c>
      <c r="I106" s="28" t="inlineStr">
        <is>
          <t>Open</t>
        </is>
      </c>
      <c r="J106" s="28" t="n"/>
      <c r="K106" s="28" t="n"/>
      <c r="L106" s="28" t="inlineStr">
        <is>
          <t>env: live</t>
        </is>
      </c>
      <c r="M106" s="28" t="inlineStr">
        <is>
          <t>Screen</t>
        </is>
      </c>
    </row>
    <row r="107">
      <c r="A107" s="27" t="inlineStr">
        <is>
          <t>WEB-SCREEN-415</t>
        </is>
      </c>
      <c r="B107" s="28" t="inlineStr">
        <is>
          <t>Home · mobile</t>
        </is>
      </c>
      <c r="C107" s="28" t="inlineStr">
        <is>
          <t>Typography</t>
        </is>
      </c>
      <c r="D107" s="28" t="inlineStr">
        <is>
          <t>Major</t>
        </is>
      </c>
      <c r="E107" s="28" t="inlineStr">
        <is>
          <t>Figma: The approved Figma handoff frame for this screen. Built 16px · design 12px · Built #1F2937 · design #343A40  →  Live: “Explore our schemes, career opportunities, and business partnerships” — size 12 → 16; colour #343A40 → #1F2937. Measured on 2 pages.</t>
        </is>
      </c>
      <c r="F107" s="28" t="inlineStr">
        <is>
          <t>On “Explore our schemes, career opportunities, and business part”, change 16px to 12px; change #1F2937 to #343A40 — as in the Figma frame (link on this board). Make the change in the shared style for this element, so every page using it follows.</t>
        </is>
      </c>
      <c r="G107" s="28" t="inlineStr">
        <is>
          <t>https://www.figma.com/design/Ds5qx61QsI0ZkYSrLKxo0A/MoSJE--Handoff-?node-id=4285-223026</t>
        </is>
      </c>
      <c r="H107" s="28" t="inlineStr">
        <is>
          <t>https://www.dosje.gov.in/</t>
        </is>
      </c>
      <c r="I107" s="28" t="inlineStr">
        <is>
          <t>Open</t>
        </is>
      </c>
      <c r="J107" s="28" t="n"/>
      <c r="K107" s="28" t="n"/>
      <c r="L107" s="28" t="inlineStr">
        <is>
          <t>env: live</t>
        </is>
      </c>
      <c r="M107" s="28" t="inlineStr">
        <is>
          <t>Screen</t>
        </is>
      </c>
    </row>
    <row r="108">
      <c r="A108" s="27" t="inlineStr">
        <is>
          <t>WEB-SCREEN-424</t>
        </is>
      </c>
      <c r="B108" s="28" t="inlineStr">
        <is>
          <t>Home · mobile</t>
        </is>
      </c>
      <c r="C108" s="28" t="inlineStr">
        <is>
          <t>Typography</t>
        </is>
      </c>
      <c r="D108" s="28" t="inlineStr">
        <is>
          <t>Major</t>
        </is>
      </c>
      <c r="E108" s="28" t="inlineStr">
        <is>
          <t>Figma: The approved Figma handoff frame for this screen. Built 500 weight · design 600 · Built #1F2937 · design #1F2428  →  Live: “Need Support?” — weight 600 → 500; colour #1F2428 → #1F2937.</t>
        </is>
      </c>
      <c r="F108" s="28" t="inlineStr">
        <is>
          <t>On “Need Support?”, change 500 weight to 600; change #1F2937 to #1F2428 — as in the Figma frame (link on this board). Make the change in the shared style for this element, so every page using it follows.</t>
        </is>
      </c>
      <c r="G108" s="28" t="inlineStr">
        <is>
          <t>https://www.figma.com/design/Ds5qx61QsI0ZkYSrLKxo0A/MoSJE--Handoff-?node-id=4285-223026</t>
        </is>
      </c>
      <c r="H108" s="28" t="inlineStr">
        <is>
          <t>https://www.dosje.gov.in/</t>
        </is>
      </c>
      <c r="I108" s="28" t="inlineStr">
        <is>
          <t>Open</t>
        </is>
      </c>
      <c r="J108" s="28" t="n"/>
      <c r="K108" s="28" t="n"/>
      <c r="L108" s="28" t="inlineStr">
        <is>
          <t>env: live</t>
        </is>
      </c>
      <c r="M108" s="28" t="inlineStr">
        <is>
          <t>Screen</t>
        </is>
      </c>
    </row>
    <row r="109">
      <c r="A109" s="27" t="inlineStr">
        <is>
          <t>WEB-SCREEN-355</t>
        </is>
      </c>
      <c r="B109" s="28" t="inlineStr">
        <is>
          <t>Home · mobile</t>
        </is>
      </c>
      <c r="C109" s="28" t="inlineStr">
        <is>
          <t>Color &amp; Token</t>
        </is>
      </c>
      <c r="D109" s="28" t="inlineStr">
        <is>
          <t>Blocker</t>
        </is>
      </c>
      <c r="E109" s="28" t="inlineStr">
        <is>
          <t>Figma: WCAG 2.2 AA (1.4.11): the visible part of a control — its icon, its outline, its indicator — needs 3:1 against what is behind it.  →  Live: Text “Previous slide” (div.ccps-nav-btn) renders #EEEEEE on #FFFFFF at 16px/400 — #F0EFED on #FCF9EA as painted on the capture: 1.09:1 against the 3.0:1 minimum.</t>
        </is>
      </c>
      <c r="F109" s="28" t="inlineStr">
        <is>
          <t>Change the icon of “Previous slide” from #F0EFED to #0373DF (the site's primary blue) — 4.4:1 on #FCF9EA, which passes the 3.0:1 minimum. Change it where the colour is set (the shared class or theme setting), so every page using this pair is fixed at once.</t>
        </is>
      </c>
      <c r="G109" s="28" t="inlineStr">
        <is>
          <t>https://www.figma.com/design/Ds5qx61QsI0ZkYSrLKxo0A/MoSJE--Handoff-?node-id=4285-223026</t>
        </is>
      </c>
      <c r="H109" s="28" t="inlineStr">
        <is>
          <t>https://www.dosje.gov.in/</t>
        </is>
      </c>
      <c r="I109" s="28" t="inlineStr">
        <is>
          <t>Open</t>
        </is>
      </c>
      <c r="J109" s="28" t="n"/>
      <c r="K109" s="28" t="n"/>
      <c r="L109" s="28" t="inlineStr">
        <is>
          <t>env: live</t>
        </is>
      </c>
      <c r="M109" s="28" t="inlineStr">
        <is>
          <t>Screen</t>
        </is>
      </c>
    </row>
    <row r="110">
      <c r="A110" s="27" t="inlineStr">
        <is>
          <t>WEB-SCREEN-013</t>
        </is>
      </c>
      <c r="B110" s="28" t="inlineStr">
        <is>
          <t>Minutes Of Screening Committees 2 · mobile</t>
        </is>
      </c>
      <c r="C110" s="28" t="inlineStr">
        <is>
          <t>Layout &amp; Spacing</t>
        </is>
      </c>
      <c r="D110" s="28" t="inlineStr">
        <is>
          <t>Blocker</t>
        </is>
      </c>
      <c r="E110" s="28" t="inlineStr">
        <is>
          <t>Figma: WCAG 2.2 AA (1.4.10): content reflows to 320 CSS px with no horizontal scrolling.  →  Live: The widest element is the th “#”. The page scrolls horizontally at 375px: content reaches 582px. WCAG 1.4.10 requires reflow without a horizontal scrollbar down to 320 CSS px. Measured on 2 pages.</t>
        </is>
      </c>
      <c r="F110" s="28" t="inlineStr">
        <is>
          <t>At 375px the page is 582px wide; the cause is the th “#”. For a long link or word add `overflow-wrap: anywhere` to its paragraph; for a table, wrap it in a container with `overflow-x: auto`. The page itself must never scroll sideways.</t>
        </is>
      </c>
      <c r="G110" s="28" t="n"/>
      <c r="H110" s="28" t="inlineStr">
        <is>
          <t>https://www.dosje.gov.in/minutes-of-screening-committees-2/</t>
        </is>
      </c>
      <c r="I110" s="28" t="inlineStr">
        <is>
          <t>Open</t>
        </is>
      </c>
      <c r="J110" s="28" t="n"/>
      <c r="K110" s="28" t="n"/>
      <c r="L110" s="28" t="inlineStr">
        <is>
          <t>env: live</t>
        </is>
      </c>
      <c r="M110" s="28" t="inlineStr">
        <is>
          <t>Screen</t>
        </is>
      </c>
    </row>
    <row r="111">
      <c r="A111" s="27" t="inlineStr">
        <is>
          <t>WEB-SCREEN-377</t>
        </is>
      </c>
      <c r="B111" s="28" t="inlineStr">
        <is>
          <t>Mosje Directory · desktop</t>
        </is>
      </c>
      <c r="C111" s="28" t="inlineStr">
        <is>
          <t>Content &amp; Iconography</t>
        </is>
      </c>
      <c r="D111" s="28" t="inlineStr">
        <is>
          <t>Major</t>
        </is>
      </c>
      <c r="E111" s="28" t="inlineStr">
        <is>
          <t>Figma: The approved Figma handoff frame for this screen. Design: “discover the commissions, corporations, ” · absent from the build  →  Live: The design frame carries this copy and nothing with the same text renders on the live page: “Discover the Commissions, Corporations, ”.</t>
        </is>
      </c>
      <c r="F111" s="28" t="inlineStr">
        <is>
          <t>Add this copy where the Figma frame places it (each piece is outlined on the design panel): “Discover the Commissions, Corporations, ”. Where a piece was dropped on purpose, tell the design team so the frame is updated instead.</t>
        </is>
      </c>
      <c r="G111" s="28" t="inlineStr">
        <is>
          <t>https://www.figma.com/design/Ds5qx61QsI0ZkYSrLKxo0A/MoSJE--Handoff-?node-id=3453-9324</t>
        </is>
      </c>
      <c r="H111" s="28" t="n"/>
      <c r="I111" s="28" t="inlineStr">
        <is>
          <t>Open</t>
        </is>
      </c>
      <c r="J111" s="28" t="n"/>
      <c r="K111" s="28" t="n"/>
      <c r="L111" s="28" t="inlineStr">
        <is>
          <t>env: live</t>
        </is>
      </c>
      <c r="M111" s="28" t="inlineStr">
        <is>
          <t>Screen</t>
        </is>
      </c>
    </row>
    <row r="112">
      <c r="A112" s="27" t="inlineStr">
        <is>
          <t>WEB-SCREEN-264</t>
        </is>
      </c>
      <c r="B112" s="28" t="inlineStr">
        <is>
          <t>Mosje Directory · mobile</t>
        </is>
      </c>
      <c r="C112" s="28" t="inlineStr">
        <is>
          <t>Typography</t>
        </is>
      </c>
      <c r="D112" s="28" t="inlineStr">
        <is>
          <t>Major</t>
        </is>
      </c>
      <c r="E112" s="28" t="inlineStr">
        <is>
          <t>Figma: The approved Figma handoff frame for this screen. Built 20px · design 12px · Built 600 weight · design 500 · Built #0373DF · design #1F2428  →  Live: “Union Cabinet Minister of Social Justice &amp; Empowerment” — size 12 → 20; weight 500 → 600; colour #1F2428 → #0373DF.</t>
        </is>
      </c>
      <c r="F112" s="28" t="inlineStr">
        <is>
          <t>On “Union Cabinet Minister of Social Justice &amp; Empowerment”, change 20px to 12px; change 600 weight to 500; change #0373DF to #1F2428 — as in the Figma frame (link on this board). Make the change in the shared style for this element, so every page using it follows.</t>
        </is>
      </c>
      <c r="G112" s="28" t="inlineStr">
        <is>
          <t>https://www.figma.com/design/Ds5qx61QsI0ZkYSrLKxo0A/MoSJE--Handoff-?node-id=4571-89516</t>
        </is>
      </c>
      <c r="H112" s="28" t="n"/>
      <c r="I112" s="28" t="inlineStr">
        <is>
          <t>Open</t>
        </is>
      </c>
      <c r="J112" s="28" t="n"/>
      <c r="K112" s="28" t="n"/>
      <c r="L112" s="28" t="inlineStr">
        <is>
          <t>env: live</t>
        </is>
      </c>
      <c r="M112" s="28" t="inlineStr">
        <is>
          <t>Screen</t>
        </is>
      </c>
    </row>
    <row r="113">
      <c r="A113" s="27" t="inlineStr">
        <is>
          <t>WEB-SCREEN-400</t>
        </is>
      </c>
      <c r="B113" s="28" t="inlineStr">
        <is>
          <t>Mosje Directory · mobile</t>
        </is>
      </c>
      <c r="C113" s="28" t="inlineStr">
        <is>
          <t>Typography</t>
        </is>
      </c>
      <c r="D113" s="28" t="inlineStr">
        <is>
          <t>Major</t>
        </is>
      </c>
      <c r="E113" s="28" t="inlineStr">
        <is>
          <t>Figma: The approved Figma handoff frame for this screen. Built 400 weight · design 500 · Built #0373DF · design #1F2428  →  Live: “Prabhat Kumar Tripathy” — weight 500 → 400; colour #1F2428 → #0373DF.</t>
        </is>
      </c>
      <c r="F113" s="28" t="inlineStr">
        <is>
          <t>On “Prabhat Kumar Tripathy”, change 400 weight to 500; change #0373DF to #1F2428 — as in the Figma frame (link on this board). Make the change in the shared style for this element, so every page using it follows.</t>
        </is>
      </c>
      <c r="G113" s="28" t="inlineStr">
        <is>
          <t>https://www.figma.com/design/Ds5qx61QsI0ZkYSrLKxo0A/MoSJE--Handoff-?node-id=4571-89516</t>
        </is>
      </c>
      <c r="H113" s="28" t="n"/>
      <c r="I113" s="28" t="inlineStr">
        <is>
          <t>Open</t>
        </is>
      </c>
      <c r="J113" s="28" t="n"/>
      <c r="K113" s="28" t="n"/>
      <c r="L113" s="28" t="inlineStr">
        <is>
          <t>env: live</t>
        </is>
      </c>
      <c r="M113" s="28" t="inlineStr">
        <is>
          <t>Screen</t>
        </is>
      </c>
    </row>
    <row r="114">
      <c r="A114" s="27" t="inlineStr">
        <is>
          <t>WEB-SCREEN-399</t>
        </is>
      </c>
      <c r="B114" s="28" t="inlineStr">
        <is>
          <t>Mosje Directory · mobile</t>
        </is>
      </c>
      <c r="C114" s="28" t="inlineStr">
        <is>
          <t>Typography</t>
        </is>
      </c>
      <c r="D114" s="28" t="inlineStr">
        <is>
          <t>Major</t>
        </is>
      </c>
      <c r="E114" s="28" t="inlineStr">
        <is>
          <t>Figma: The approved Figma handoff frame for this screen. Built 14px · design 12px · Built 400 weight · design 500 · Built #1F2937 · design #1F2428  →  Live: “011-23381656, 011-23381657, 011-23381669(Fax), 011-23018975, 011-23018” — size 12 → 14; weight 500 → 400; colour #1F2428 → #1F2937. Measured on 2 pages.</t>
        </is>
      </c>
      <c r="F114" s="28" t="inlineStr">
        <is>
          <t>On “011-23381656, 011-23381657, 011-23381669(Fax), 011-23018975,”, change 14px to 12px; change 400 weight to 500; change #1F2937 to #1F2428 — as in the Figma frame (link on this board). Make the change in the shared style for this element, so every page using it follows.</t>
        </is>
      </c>
      <c r="G114" s="28" t="inlineStr">
        <is>
          <t>https://www.figma.com/design/Ds5qx61QsI0ZkYSrLKxo0A/MoSJE--Handoff-?node-id=4571-89516</t>
        </is>
      </c>
      <c r="H114" s="28" t="n"/>
      <c r="I114" s="28" t="inlineStr">
        <is>
          <t>Open</t>
        </is>
      </c>
      <c r="J114" s="28" t="n"/>
      <c r="K114" s="28" t="n"/>
      <c r="L114" s="28" t="inlineStr">
        <is>
          <t>env: live</t>
        </is>
      </c>
      <c r="M114" s="28" t="inlineStr">
        <is>
          <t>Screen</t>
        </is>
      </c>
    </row>
    <row r="115">
      <c r="A115" s="27" t="inlineStr">
        <is>
          <t>WEB-SCREEN-265</t>
        </is>
      </c>
      <c r="B115" s="28" t="inlineStr">
        <is>
          <t>Official  Dr Swati S Mishra · desktop</t>
        </is>
      </c>
      <c r="C115" s="28" t="inlineStr">
        <is>
          <t>Typography</t>
        </is>
      </c>
      <c r="D115" s="28" t="inlineStr">
        <is>
          <t>Major</t>
        </is>
      </c>
      <c r="E115" s="28" t="inlineStr">
        <is>
          <t>Figma: The approved Figma handoff frame for this screen. Built 16px · design 12px · Built 700 weight · design 400 · Built #1F2937 · design #1F2428  →  Live: “Address” — size 12 → 16; weight 400 → 700; colour #1F2428 → #1F2937. Measured on 2 pages.</t>
        </is>
      </c>
      <c r="F115" s="28" t="inlineStr">
        <is>
          <t>On “Address”, change 16px to 12px; change 700 weight to 400; change #1F2937 to #1F2428 — as in the Figma frame (link on this board). Make the change in the shared style for this element, so every page using it follows.</t>
        </is>
      </c>
      <c r="G115" s="28" t="inlineStr">
        <is>
          <t>https://www.figma.com/design/Ds5qx61QsI0ZkYSrLKxo0A/MoSJE--Handoff-?node-id=3453-9455</t>
        </is>
      </c>
      <c r="H115" s="28" t="n"/>
      <c r="I115" s="28" t="inlineStr">
        <is>
          <t>Open</t>
        </is>
      </c>
      <c r="J115" s="28" t="n"/>
      <c r="K115" s="28" t="n"/>
      <c r="L115" s="28" t="inlineStr">
        <is>
          <t>env: live</t>
        </is>
      </c>
      <c r="M115" s="28" t="inlineStr">
        <is>
          <t>Screen</t>
        </is>
      </c>
    </row>
    <row r="116">
      <c r="A116" s="27" t="inlineStr">
        <is>
          <t>WEB-SCREEN-266</t>
        </is>
      </c>
      <c r="B116" s="28" t="inlineStr">
        <is>
          <t>Official  Shri Shailendra Kumar · desktop</t>
        </is>
      </c>
      <c r="C116" s="28" t="inlineStr">
        <is>
          <t>Typography</t>
        </is>
      </c>
      <c r="D116" s="28" t="inlineStr">
        <is>
          <t>Major</t>
        </is>
      </c>
      <c r="E116" s="28" t="inlineStr">
        <is>
          <t>Figma: The approved Figma handoff frame for this screen. Built 16px · design 12px · Built 700 weight · design 400 · Built #1F2937 · design #1F2428  →  Live: “Address” — size 12 → 16; weight 400 → 700; colour #1F2428 → #1F2937. Measured on 2 pages.</t>
        </is>
      </c>
      <c r="F116" s="28" t="inlineStr">
        <is>
          <t>On “Address”, change 16px to 12px; change 700 weight to 400; change #1F2937 to #1F2428 — as in the Figma frame (link on this board). Make the change in the shared style for this element, so every page using it follows.</t>
        </is>
      </c>
      <c r="G116" s="28" t="inlineStr">
        <is>
          <t>https://www.figma.com/design/Ds5qx61QsI0ZkYSrLKxo0A/MoSJE--Handoff-?node-id=3453-9455</t>
        </is>
      </c>
      <c r="H116" s="28" t="n"/>
      <c r="I116" s="28" t="inlineStr">
        <is>
          <t>Open</t>
        </is>
      </c>
      <c r="J116" s="28" t="n"/>
      <c r="K116" s="28" t="n"/>
      <c r="L116" s="28" t="inlineStr">
        <is>
          <t>env: live</t>
        </is>
      </c>
      <c r="M116" s="28" t="inlineStr">
        <is>
          <t>Screen</t>
        </is>
      </c>
    </row>
    <row r="117">
      <c r="A117" s="27" t="inlineStr">
        <is>
          <t>WEB-SCREEN-267</t>
        </is>
      </c>
      <c r="B117" s="28" t="inlineStr">
        <is>
          <t>Organisation  Contact Us · desktop</t>
        </is>
      </c>
      <c r="C117" s="28" t="inlineStr">
        <is>
          <t>Color &amp; Token</t>
        </is>
      </c>
      <c r="D117" s="28" t="inlineStr">
        <is>
          <t>Major</t>
        </is>
      </c>
      <c r="E117" s="28" t="inlineStr">
        <is>
          <t>Figma: The approved Figma handoff frame for this screen. Built #5E5E5E · design #343A40  →  Live: “Indira Gandhi International Airport” — colour #343A40 → #5E5E5E.</t>
        </is>
      </c>
      <c r="F117" s="28" t="inlineStr">
        <is>
          <t>On “Indira Gandhi International Airport”, change #5E5E5E to #343A40 — as in the Figma frame (link on this board). Make the change in the shared style for this element, so every page using it follows.</t>
        </is>
      </c>
      <c r="G117" s="28" t="inlineStr">
        <is>
          <t>https://www.figma.com/design/Ds5qx61QsI0ZkYSrLKxo0A/MoSJE--Handoff-?node-id=3453-14723</t>
        </is>
      </c>
      <c r="H117" s="28" t="n"/>
      <c r="I117" s="28" t="inlineStr">
        <is>
          <t>Open</t>
        </is>
      </c>
      <c r="J117" s="28" t="n"/>
      <c r="K117" s="28" t="n"/>
      <c r="L117" s="28" t="inlineStr">
        <is>
          <t>env: live</t>
        </is>
      </c>
      <c r="M117" s="28" t="inlineStr">
        <is>
          <t>Screen</t>
        </is>
      </c>
    </row>
    <row r="118">
      <c r="A118" s="27" t="inlineStr">
        <is>
          <t>WEB-SCREEN-269</t>
        </is>
      </c>
      <c r="B118" s="28" t="inlineStr">
        <is>
          <t>Organisation  Contact Us · mobile</t>
        </is>
      </c>
      <c r="C118" s="28" t="inlineStr">
        <is>
          <t>Typography</t>
        </is>
      </c>
      <c r="D118" s="28" t="inlineStr">
        <is>
          <t>Major</t>
        </is>
      </c>
      <c r="E118" s="28" t="inlineStr">
        <is>
          <t>Figma: The approved Figma handoff frame for this screen. Built 16px · design 14px · Built #1F2937 · design #1F2428  →  Live: “Nearest Airport” — size 14 → 16; colour #1F2428 → #1F2937.</t>
        </is>
      </c>
      <c r="F118" s="28" t="inlineStr">
        <is>
          <t>On “Nearest Airport”, change 16px to 14px; change #1F2937 to #1F2428 — as in the Figma frame (link on this board). Make the change in the shared style for this element, so every page using it follows.</t>
        </is>
      </c>
      <c r="G118" s="28" t="inlineStr">
        <is>
          <t>https://www.figma.com/design/Ds5qx61QsI0ZkYSrLKxo0A/MoSJE--Handoff-?node-id=4626-81838</t>
        </is>
      </c>
      <c r="H118" s="28" t="n"/>
      <c r="I118" s="28" t="inlineStr">
        <is>
          <t>Open</t>
        </is>
      </c>
      <c r="J118" s="28" t="n"/>
      <c r="K118" s="28" t="n"/>
      <c r="L118" s="28" t="inlineStr">
        <is>
          <t>env: live</t>
        </is>
      </c>
      <c r="M118" s="28" t="inlineStr">
        <is>
          <t>Screen</t>
        </is>
      </c>
    </row>
    <row r="119">
      <c r="A119" s="27" t="inlineStr">
        <is>
          <t>WEB-SCREEN-268</t>
        </is>
      </c>
      <c r="B119" s="28" t="inlineStr">
        <is>
          <t>Organisation  Contact Us · mobile</t>
        </is>
      </c>
      <c r="C119" s="28" t="inlineStr">
        <is>
          <t>Typography</t>
        </is>
      </c>
      <c r="D119" s="28" t="inlineStr">
        <is>
          <t>Major</t>
        </is>
      </c>
      <c r="E119" s="28" t="inlineStr">
        <is>
          <t>Figma: The approved Figma handoff frame for this screen. Built 14px · design 12px · Built #5E5E5E · design #343A40  →  Live: “Indira Gandhi International Airport” — size 12 → 14; colour #343A40 → #5E5E5E.</t>
        </is>
      </c>
      <c r="F119" s="28" t="inlineStr">
        <is>
          <t>On “Indira Gandhi International Airport”, change 14px to 12px; change #5E5E5E to #343A40 — as in the Figma frame (link on this board). Make the change in the shared style for this element, so every page using it follows.</t>
        </is>
      </c>
      <c r="G119" s="28" t="inlineStr">
        <is>
          <t>https://www.figma.com/design/Ds5qx61QsI0ZkYSrLKxo0A/MoSJE--Handoff-?node-id=4626-81838</t>
        </is>
      </c>
      <c r="H119" s="28" t="n"/>
      <c r="I119" s="28" t="inlineStr">
        <is>
          <t>Open</t>
        </is>
      </c>
      <c r="J119" s="28" t="n"/>
      <c r="K119" s="28" t="n"/>
      <c r="L119" s="28" t="inlineStr">
        <is>
          <t>env: live</t>
        </is>
      </c>
      <c r="M119" s="28" t="inlineStr">
        <is>
          <t>Screen</t>
        </is>
      </c>
    </row>
    <row r="120">
      <c r="A120" s="27" t="inlineStr">
        <is>
          <t>WEB-SCREEN-379</t>
        </is>
      </c>
      <c r="B120" s="28" t="inlineStr">
        <is>
          <t>Policies · mobile</t>
        </is>
      </c>
      <c r="C120" s="28" t="inlineStr">
        <is>
          <t>Content &amp; Iconography</t>
        </is>
      </c>
      <c r="D120" s="28" t="inlineStr">
        <is>
          <t>Major</t>
        </is>
      </c>
      <c r="E120" s="28" t="inlineStr">
        <is>
          <t>Figma: The approved Figma handoff frame for this screen. Design: “1. information collection we do not auto” · absent from the build  →  Live: The design frame carries this copy and nothing with the same text renders on the live page: “1. Information Collection We do not auto”.</t>
        </is>
      </c>
      <c r="F120" s="28" t="inlineStr">
        <is>
          <t>Add this copy where the Figma frame places it (each piece is outlined on the design panel): “1. Information Collection We do not auto”. Where a piece was dropped on purpose, tell the design team so the frame is updated instead.</t>
        </is>
      </c>
      <c r="G120" s="28" t="inlineStr">
        <is>
          <t>https://www.figma.com/design/Ds5qx61QsI0ZkYSrLKxo0A/MoSJE--Handoff-?node-id=4330-66694</t>
        </is>
      </c>
      <c r="H120" s="28" t="n"/>
      <c r="I120" s="28" t="inlineStr">
        <is>
          <t>Open</t>
        </is>
      </c>
      <c r="J120" s="28" t="n"/>
      <c r="K120" s="28" t="n"/>
      <c r="L120" s="28" t="inlineStr">
        <is>
          <t>env: live</t>
        </is>
      </c>
      <c r="M120" s="28" t="inlineStr">
        <is>
          <t>Screen</t>
        </is>
      </c>
    </row>
    <row r="121">
      <c r="A121" s="27" t="inlineStr">
        <is>
          <t>WEB-SCREEN-327</t>
        </is>
      </c>
      <c r="B121" s="28" t="inlineStr">
        <is>
          <t>Policies Acts Rules Codes Circular · desktop</t>
        </is>
      </c>
      <c r="C121" s="28" t="inlineStr">
        <is>
          <t>Accessibility</t>
        </is>
      </c>
      <c r="D121" s="28" t="inlineStr">
        <is>
          <t>Nit</t>
        </is>
      </c>
      <c r="E121" s="28" t="inlineStr">
        <is>
          <t>Figma: GIGW 3.0 mandates WCAG 2.2 AA conformance; axe-core tests a subset of it programmatically.  →  Live: Table header text should not be empty — &lt;th class="sorting sorting_asc" tabindex="0" colspan="1" rowspan="1" aria-controls="dataTable1" aria-sort="ascending" aria-label="#: activate to sort column des (empty-table-header, ). Also measured on the 375px capture of the same page.</t>
        </is>
      </c>
      <c r="F121" s="28" t="inlineStr">
        <is>
          <t>Correct the markup named in the finding.</t>
        </is>
      </c>
      <c r="G121" s="28" t="n"/>
      <c r="H121" s="28" t="inlineStr">
        <is>
          <t>https://www.dosje.gov.in/policies-acts-rules-codes-circular/</t>
        </is>
      </c>
      <c r="I121" s="28" t="inlineStr">
        <is>
          <t>Open</t>
        </is>
      </c>
      <c r="J121" s="28" t="n"/>
      <c r="K121" s="28" t="n"/>
      <c r="L121" s="28" t="inlineStr">
        <is>
          <t>env: live</t>
        </is>
      </c>
      <c r="M121" s="28" t="inlineStr">
        <is>
          <t>Screen</t>
        </is>
      </c>
    </row>
    <row r="122">
      <c r="A122" s="27" t="inlineStr">
        <is>
          <t>WEB-SCREEN-380</t>
        </is>
      </c>
      <c r="B122" s="28" t="inlineStr">
        <is>
          <t>Rti · desktop</t>
        </is>
      </c>
      <c r="C122" s="28" t="inlineStr">
        <is>
          <t>Content &amp; Iconography</t>
        </is>
      </c>
      <c r="D122" s="28" t="inlineStr">
        <is>
          <t>Major</t>
        </is>
      </c>
      <c r="E122" s="28" t="inlineStr">
        <is>
          <t>Figma: The approved Figma handoff frame for this screen. Design: “right to information act 2005” · absent from the build  →  Live: The design frame carries this copy and nothing with the same text renders on the live page: “Right to Information Act 2005”; “The National Commission for Scheduled Ca”. Also measured on the 375px capture of the same page.</t>
        </is>
      </c>
      <c r="F122" s="28" t="inlineStr">
        <is>
          <t>Add this copy where the Figma frame places it (each piece is outlined on the design panel): “Right to Information Act 2005”; “The National Commission for Scheduled Ca”. Where a piece was dropped on purpose, tell the design team so the frame is updated instead.</t>
        </is>
      </c>
      <c r="G122" s="28" t="inlineStr">
        <is>
          <t>https://www.figma.com/design/Ds5qx61QsI0ZkYSrLKxo0A/MoSJE--Handoff-?node-id=3453-14221</t>
        </is>
      </c>
      <c r="H122" s="28" t="n"/>
      <c r="I122" s="28" t="inlineStr">
        <is>
          <t>Open</t>
        </is>
      </c>
      <c r="J122" s="28" t="n"/>
      <c r="K122" s="28" t="n"/>
      <c r="L122" s="28" t="inlineStr">
        <is>
          <t>env: live</t>
        </is>
      </c>
      <c r="M122" s="28" t="inlineStr">
        <is>
          <t>Screen</t>
        </is>
      </c>
    </row>
    <row r="123">
      <c r="A123" s="27" t="inlineStr">
        <is>
          <t>WEB-SCREEN-270</t>
        </is>
      </c>
      <c r="B123" s="28" t="inlineStr">
        <is>
          <t>Samavesh Admin Portals · desktop</t>
        </is>
      </c>
      <c r="C123" s="28" t="inlineStr">
        <is>
          <t>Typography</t>
        </is>
      </c>
      <c r="D123" s="28" t="inlineStr">
        <is>
          <t>Major</t>
        </is>
      </c>
      <c r="E123" s="28" t="inlineStr">
        <is>
          <t>Figma: The approved Figma handoff frame for this screen. Built 700 weight · design 500 · Built #FF671F · design #1F2428  →  Live: “SMILE - Transgender” — weight 500 → 700; colour #1F2428 → #FF671F. Measured on 2 pages.</t>
        </is>
      </c>
      <c r="F123" s="28" t="inlineStr">
        <is>
          <t>On “SMILE - Transgender”, change 700 weight to 500; change #FF671F to #1F2428 — as in the Figma frame (link on this board). Make the change in the shared style for this element, so every page using it follows.</t>
        </is>
      </c>
      <c r="G123" s="28" t="inlineStr">
        <is>
          <t>https://www.figma.com/design/Ds5qx61QsI0ZkYSrLKxo0A/MoSJE--Handoff-?node-id=7298-28616</t>
        </is>
      </c>
      <c r="H123" s="28" t="n"/>
      <c r="I123" s="28" t="inlineStr">
        <is>
          <t>Open</t>
        </is>
      </c>
      <c r="J123" s="28" t="n"/>
      <c r="K123" s="28" t="n"/>
      <c r="L123" s="28" t="inlineStr">
        <is>
          <t>env: live</t>
        </is>
      </c>
      <c r="M123" s="28" t="inlineStr">
        <is>
          <t>Screen</t>
        </is>
      </c>
    </row>
    <row r="124">
      <c r="A124" s="27" t="inlineStr">
        <is>
          <t>WEB-SCREEN-271</t>
        </is>
      </c>
      <c r="B124" s="28" t="inlineStr">
        <is>
          <t>Samavesh Citizen Portals · desktop</t>
        </is>
      </c>
      <c r="C124" s="28" t="inlineStr">
        <is>
          <t>Typography</t>
        </is>
      </c>
      <c r="D124" s="28" t="inlineStr">
        <is>
          <t>Major</t>
        </is>
      </c>
      <c r="E124" s="28" t="inlineStr">
        <is>
          <t>Figma: The approved Figma handoff frame for this screen. Built 700 weight · design 500 · Built #FF671F · design #1F2428  →  Live: “SMILE - Transgender” — weight 500 → 700; colour #1F2428 → #FF671F. Measured on 2 pages.</t>
        </is>
      </c>
      <c r="F124" s="28" t="inlineStr">
        <is>
          <t>On “SMILE - Transgender”, change 700 weight to 500; change #FF671F to #1F2428 — as in the Figma frame (link on this board). Make the change in the shared style for this element, so every page using it follows.</t>
        </is>
      </c>
      <c r="G124" s="28" t="inlineStr">
        <is>
          <t>https://www.figma.com/design/Ds5qx61QsI0ZkYSrLKxo0A/MoSJE--Handoff-?node-id=7116-34665</t>
        </is>
      </c>
      <c r="H124" s="28" t="n"/>
      <c r="I124" s="28" t="inlineStr">
        <is>
          <t>Open</t>
        </is>
      </c>
      <c r="J124" s="28" t="n"/>
      <c r="K124" s="28" t="n"/>
      <c r="L124" s="28" t="inlineStr">
        <is>
          <t>env: live</t>
        </is>
      </c>
      <c r="M124" s="28" t="inlineStr">
        <is>
          <t>Screen</t>
        </is>
      </c>
    </row>
    <row r="125">
      <c r="A125" s="27" t="inlineStr">
        <is>
          <t>WEB-SCREEN-329</t>
        </is>
      </c>
      <c r="B125" s="28" t="inlineStr">
        <is>
          <t>Scheme Documents  Dr Ambedkar National Merit Award Scheme  · desktop</t>
        </is>
      </c>
      <c r="C125" s="28" t="inlineStr">
        <is>
          <t>Color &amp; Token</t>
        </is>
      </c>
      <c r="D125" s="28" t="inlineStr">
        <is>
          <t>Blocker</t>
        </is>
      </c>
      <c r="E125" s="28" t="inlineStr">
        <is>
          <t>Figma: WCAG 2.2 AA (1.4.3), carried into GIGW 3.0: text needs 4.5:1 against its background, or 3:1 at 24px+ / 18.66px+ bold.  →  Live: Text “Scheme: Dr. Ambedkar National Merit Award Scheme for meritorious stud…” (p.mb-0) renders #938BB6 on #F9FAFB at 16px/400 — #938BB6 on #F9FAFB as painted on the capture: 3.04:1 against the 4.5:1 minimum. Measured on 2 pages.</t>
        </is>
      </c>
      <c r="F125" s="28" t="inlineStr">
        <is>
          <t>Change the text colour of “Scheme: Dr. Ambedkar National Merit Award S…” from #938BB6 to #014B92 (the site's dark blue (footer strip)) — 8.29:1 on #F9FAFB, which passes the 4.5:1 minimum. Change it where the colour is set (the shared class or theme setting), so every page using this pair is fixed at once.</t>
        </is>
      </c>
      <c r="G125" s="28" t="n"/>
      <c r="H125" s="28" t="inlineStr">
        <is>
          <t>https://www.dosje.gov.in/scheme-documents/dr-ambedkar-national-merit-award-scheme-for-scs-students-for-class-12th-level/</t>
        </is>
      </c>
      <c r="I125" s="28" t="inlineStr">
        <is>
          <t>Open</t>
        </is>
      </c>
      <c r="J125" s="28" t="n"/>
      <c r="K125" s="28" t="n"/>
      <c r="L125" s="28" t="inlineStr">
        <is>
          <t>env: live</t>
        </is>
      </c>
      <c r="M125" s="28" t="inlineStr">
        <is>
          <t>Screen</t>
        </is>
      </c>
    </row>
    <row r="126">
      <c r="A126" s="27" t="inlineStr">
        <is>
          <t>WEB-SCREEN-330</t>
        </is>
      </c>
      <c r="B126" s="28" t="inlineStr">
        <is>
          <t>Scheme Documents  Merger Order · desktop</t>
        </is>
      </c>
      <c r="C126" s="28" t="inlineStr">
        <is>
          <t>Color &amp; Token</t>
        </is>
      </c>
      <c r="D126" s="28" t="inlineStr">
        <is>
          <t>Blocker</t>
        </is>
      </c>
      <c r="E126" s="28" t="inlineStr">
        <is>
          <t>Figma: WCAG 2.2 AA (1.4.3), carried into GIGW 3.0: text needs 4.5:1 against its background, or 3:1 at 24px+ / 18.66px+ bold.  →  Live: Text “Scheme: Dr. Ambedkar Scheme for Social Integration through Inter-Cast…” (p.mb-0) renders #938BB6 on #F9FAFB at 16px/400 — #938BB6 on #F9FAFB as painted on the capture: 3.04:1 against the 4.5:1 minimum. Measured on 2 pages.</t>
        </is>
      </c>
      <c r="F126" s="28" t="inlineStr">
        <is>
          <t>Change the text colour of “Scheme: Dr. Ambedkar Scheme for Social Inte…” from #938BB6 to #014B92 (the site's dark blue (footer strip)) — 8.29:1 on #F9FAFB, which passes the 4.5:1 minimum. Change it where the colour is set (the shared class or theme setting), so every page using this pair is fixed at once.</t>
        </is>
      </c>
      <c r="G126" s="28" t="n"/>
      <c r="H126" s="28" t="inlineStr">
        <is>
          <t>https://www.dosje.gov.in/scheme-documents/merger-order/</t>
        </is>
      </c>
      <c r="I126" s="28" t="inlineStr">
        <is>
          <t>Open</t>
        </is>
      </c>
      <c r="J126" s="28" t="n"/>
      <c r="K126" s="28" t="n"/>
      <c r="L126" s="28" t="inlineStr">
        <is>
          <t>env: live</t>
        </is>
      </c>
      <c r="M126" s="28" t="inlineStr">
        <is>
          <t>Screen</t>
        </is>
      </c>
    </row>
    <row r="127">
      <c r="A127" s="27" t="inlineStr">
        <is>
          <t>WEB-SCREEN-272</t>
        </is>
      </c>
      <c r="B127" s="28" t="inlineStr">
        <is>
          <t>Schemes And Services  Geriatric Caregivers Training · mobile</t>
        </is>
      </c>
      <c r="C127" s="28" t="inlineStr">
        <is>
          <t>Typography</t>
        </is>
      </c>
      <c r="D127" s="28" t="inlineStr">
        <is>
          <t>Major</t>
        </is>
      </c>
      <c r="E127" s="28" t="inlineStr">
        <is>
          <t>Figma: The approved Figma handoff frame for this screen. Built 28px · design 20px · Built 500 weight · design 600  →  Live: “About the Scheme” — size 20 → 28; weight 600 → 500. Measured on 2 pages.</t>
        </is>
      </c>
      <c r="F127" s="28" t="inlineStr">
        <is>
          <t>On “About the Scheme”, change 28px to 20px; change 500 weight to 600 — as in the Figma frame (link on this board). Make the change in the shared style for this element, so every page using it follows.</t>
        </is>
      </c>
      <c r="G127" s="28" t="inlineStr">
        <is>
          <t>https://www.figma.com/design/Ds5qx61QsI0ZkYSrLKxo0A/MoSJE--Handoff-?node-id=4571-105399</t>
        </is>
      </c>
      <c r="H127" s="28" t="n"/>
      <c r="I127" s="28" t="inlineStr">
        <is>
          <t>Open</t>
        </is>
      </c>
      <c r="J127" s="28" t="n"/>
      <c r="K127" s="28" t="n"/>
      <c r="L127" s="28" t="inlineStr">
        <is>
          <t>env: live</t>
        </is>
      </c>
      <c r="M127" s="28" t="inlineStr">
        <is>
          <t>Screen</t>
        </is>
      </c>
    </row>
    <row r="128">
      <c r="A128" s="27" t="inlineStr">
        <is>
          <t>WEB-SCREEN-275</t>
        </is>
      </c>
      <c r="B128" s="28" t="inlineStr">
        <is>
          <t>Schemes And Services  Top Class Education In Colllege For Obc  · desktop</t>
        </is>
      </c>
      <c r="C128" s="28" t="inlineStr">
        <is>
          <t>Typography</t>
        </is>
      </c>
      <c r="D128" s="28" t="inlineStr">
        <is>
          <t>Major</t>
        </is>
      </c>
      <c r="E128" s="28" t="inlineStr">
        <is>
          <t>Figma: The approved Figma handoff frame for this screen. Built 400 weight · design 500 · Built #FFFFFF · design #1F2937  →  Live: “Active” — weight 500 → 400; colour #1F2937 → #FFFFFF.</t>
        </is>
      </c>
      <c r="F128" s="28" t="inlineStr">
        <is>
          <t>On “Active”, change 400 weight to 500; change #FFFFFF to #1F2937 — as in the Figma frame (link on this board). Make the change in the shared style for this element, so every page using it follows.</t>
        </is>
      </c>
      <c r="G128" s="28" t="inlineStr">
        <is>
          <t>https://www.figma.com/design/Ds5qx61QsI0ZkYSrLKxo0A/MoSJE--Handoff-?node-id=3453-11885</t>
        </is>
      </c>
      <c r="H128" s="28" t="n"/>
      <c r="I128" s="28" t="inlineStr">
        <is>
          <t>Open</t>
        </is>
      </c>
      <c r="J128" s="28" t="n"/>
      <c r="K128" s="28" t="n"/>
      <c r="L128" s="28" t="inlineStr">
        <is>
          <t>env: live</t>
        </is>
      </c>
      <c r="M128" s="28" t="inlineStr">
        <is>
          <t>Screen</t>
        </is>
      </c>
    </row>
    <row r="129">
      <c r="A129" s="27" t="inlineStr">
        <is>
          <t>WEB-SCREEN-281</t>
        </is>
      </c>
      <c r="B129" s="28" t="inlineStr">
        <is>
          <t>Schemes And Services  Top Class Education In Colllege For Obc  · desktop</t>
        </is>
      </c>
      <c r="C129" s="28" t="inlineStr">
        <is>
          <t>Typography</t>
        </is>
      </c>
      <c r="D129" s="28" t="inlineStr">
        <is>
          <t>Minor</t>
        </is>
      </c>
      <c r="E129" s="28" t="inlineStr">
        <is>
          <t>Figma: The approved Figma handoff frame for this screen. Built 400 weight · design 500  →  Live: “Scheme” — weight 500 → 400.</t>
        </is>
      </c>
      <c r="F129" s="28" t="inlineStr">
        <is>
          <t>On “Scheme”, change 400 weight to 500 — as in the Figma frame (link on this board). Make the change in the shared style for this element, so every page using it follows.</t>
        </is>
      </c>
      <c r="G129" s="28" t="inlineStr">
        <is>
          <t>https://www.figma.com/design/Ds5qx61QsI0ZkYSrLKxo0A/MoSJE--Handoff-?node-id=3453-11885</t>
        </is>
      </c>
      <c r="H129" s="28" t="n"/>
      <c r="I129" s="28" t="inlineStr">
        <is>
          <t>Open</t>
        </is>
      </c>
      <c r="J129" s="28" t="n"/>
      <c r="K129" s="28" t="n"/>
      <c r="L129" s="28" t="inlineStr">
        <is>
          <t>env: live</t>
        </is>
      </c>
      <c r="M129" s="28" t="inlineStr">
        <is>
          <t>Screen</t>
        </is>
      </c>
    </row>
    <row r="130">
      <c r="A130" s="27" t="inlineStr">
        <is>
          <t>WEB-SCREEN-274</t>
        </is>
      </c>
      <c r="B130" s="28" t="inlineStr">
        <is>
          <t>Schemes And Services  Top Class Education In Colllege For Obc  · mobile</t>
        </is>
      </c>
      <c r="C130" s="28" t="inlineStr">
        <is>
          <t>Typography</t>
        </is>
      </c>
      <c r="D130" s="28" t="inlineStr">
        <is>
          <t>Major</t>
        </is>
      </c>
      <c r="E130" s="28" t="inlineStr">
        <is>
          <t>Figma: The approved Figma handoff frame for this screen. Built 400 weight · design 500 · Built #FFFFFF · design #1F2428  →  Live: “Active” — weight 500 → 400; colour #1F2428 → #FFFFFF.</t>
        </is>
      </c>
      <c r="F130" s="28" t="inlineStr">
        <is>
          <t>On “Active”, change 400 weight to 500; change #FFFFFF to #1F2428 — as in the Figma frame (link on this board). Make the change in the shared style for this element, so every page using it follows.</t>
        </is>
      </c>
      <c r="G130" s="28" t="inlineStr">
        <is>
          <t>https://www.figma.com/design/Ds5qx61QsI0ZkYSrLKxo0A/MoSJE--Handoff-?node-id=4571-105399</t>
        </is>
      </c>
      <c r="H130" s="28" t="n"/>
      <c r="I130" s="28" t="inlineStr">
        <is>
          <t>Open</t>
        </is>
      </c>
      <c r="J130" s="28" t="n"/>
      <c r="K130" s="28" t="n"/>
      <c r="L130" s="28" t="inlineStr">
        <is>
          <t>env: live</t>
        </is>
      </c>
      <c r="M130" s="28" t="inlineStr">
        <is>
          <t>Screen</t>
        </is>
      </c>
    </row>
    <row r="131">
      <c r="A131" s="27" t="inlineStr">
        <is>
          <t>WEB-SCREEN-276</t>
        </is>
      </c>
      <c r="B131" s="28" t="inlineStr">
        <is>
          <t>Schemes And Services  Top Class Education In Colllege For Obc  · mobile</t>
        </is>
      </c>
      <c r="C131" s="28" t="inlineStr">
        <is>
          <t>Typography</t>
        </is>
      </c>
      <c r="D131" s="28" t="inlineStr">
        <is>
          <t>Major</t>
        </is>
      </c>
      <c r="E131" s="28" t="inlineStr">
        <is>
          <t>Figma: The approved Figma handoff frame for this screen. Built 400 weight · design 500 · Built #374151 · design #343A40  →  Live: “Archived” — weight 500 → 400; colour #343A40 → #374151.</t>
        </is>
      </c>
      <c r="F131" s="28" t="inlineStr">
        <is>
          <t>On “Archived”, change 400 weight to 500; change #374151 to #343A40 — as in the Figma frame (link on this board). Make the change in the shared style for this element, so every page using it follows.</t>
        </is>
      </c>
      <c r="G131" s="28" t="inlineStr">
        <is>
          <t>https://www.figma.com/design/Ds5qx61QsI0ZkYSrLKxo0A/MoSJE--Handoff-?node-id=4571-105399</t>
        </is>
      </c>
      <c r="H131" s="28" t="n"/>
      <c r="I131" s="28" t="inlineStr">
        <is>
          <t>Open</t>
        </is>
      </c>
      <c r="J131" s="28" t="n"/>
      <c r="K131" s="28" t="n"/>
      <c r="L131" s="28" t="inlineStr">
        <is>
          <t>env: live</t>
        </is>
      </c>
      <c r="M131" s="28" t="inlineStr">
        <is>
          <t>Screen</t>
        </is>
      </c>
    </row>
    <row r="132">
      <c r="A132" s="27" t="inlineStr">
        <is>
          <t>WEB-SCREEN-273</t>
        </is>
      </c>
      <c r="B132" s="28" t="inlineStr">
        <is>
          <t>Schemes And Services  Top Class Education In Colllege For Obc  · mobile</t>
        </is>
      </c>
      <c r="C132" s="28" t="inlineStr">
        <is>
          <t>Typography</t>
        </is>
      </c>
      <c r="D132" s="28" t="inlineStr">
        <is>
          <t>Major</t>
        </is>
      </c>
      <c r="E132" s="28" t="inlineStr">
        <is>
          <t>Figma: The approved Figma handoff frame for this screen. Built 14px · design 12px · Built 500 weight · design 400 · Built #1F2937 · design #343A40  →  Live: “Start Publish Date” — size 12 → 14; weight 400 → 500; colour #343A40 → #1F2937.</t>
        </is>
      </c>
      <c r="F132" s="28" t="inlineStr">
        <is>
          <t>On “Start Publish Date”, change 14px to 12px; change 500 weight to 400; change #1F2937 to #343A40 — as in the Figma frame (link on this board). Make the change in the shared style for this element, so every page using it follows.</t>
        </is>
      </c>
      <c r="G132" s="28" t="inlineStr">
        <is>
          <t>https://www.figma.com/design/Ds5qx61QsI0ZkYSrLKxo0A/MoSJE--Handoff-?node-id=4571-105399</t>
        </is>
      </c>
      <c r="H132" s="28" t="n"/>
      <c r="I132" s="28" t="inlineStr">
        <is>
          <t>Open</t>
        </is>
      </c>
      <c r="J132" s="28" t="n"/>
      <c r="K132" s="28" t="n"/>
      <c r="L132" s="28" t="inlineStr">
        <is>
          <t>env: live</t>
        </is>
      </c>
      <c r="M132" s="28" t="inlineStr">
        <is>
          <t>Screen</t>
        </is>
      </c>
    </row>
    <row r="133">
      <c r="A133" s="27" t="inlineStr">
        <is>
          <t>WEB-SCREEN-381</t>
        </is>
      </c>
      <c r="B133" s="28" t="inlineStr">
        <is>
          <t>Schemes Services · desktop</t>
        </is>
      </c>
      <c r="C133" s="28" t="inlineStr">
        <is>
          <t>Content &amp; Iconography</t>
        </is>
      </c>
      <c r="D133" s="28" t="inlineStr">
        <is>
          <t>Major</t>
        </is>
      </c>
      <c r="E133" s="28" t="inlineStr">
        <is>
          <t>Figma: The approved Figma handoff frame for this screen. Design: “explore welfare schemes, social empowerm” · absent from the build  →  Live: The design frame carries this copy and nothing with the same text renders on the live page: “Explore welfare schemes, social empowerm”; “Search by scheme name or keyword”. Also measured on the 375px capture of the same page.</t>
        </is>
      </c>
      <c r="F133" s="28" t="inlineStr">
        <is>
          <t>Add this copy where the Figma frame places it (each piece is outlined on the design panel): “Explore welfare schemes, social empowerm”; “Search by scheme name or keyword”. Where a piece was dropped on purpose, tell the design team so the frame is updated instead.</t>
        </is>
      </c>
      <c r="G133" s="28" t="inlineStr">
        <is>
          <t>https://www.figma.com/design/Ds5qx61QsI0ZkYSrLKxo0A/MoSJE--Handoff-?node-id=3453-12250</t>
        </is>
      </c>
      <c r="H133" s="28" t="n"/>
      <c r="I133" s="28" t="inlineStr">
        <is>
          <t>Open</t>
        </is>
      </c>
      <c r="J133" s="28" t="n"/>
      <c r="K133" s="28" t="n"/>
      <c r="L133" s="28" t="inlineStr">
        <is>
          <t>env: live</t>
        </is>
      </c>
      <c r="M133" s="28" t="inlineStr">
        <is>
          <t>Screen</t>
        </is>
      </c>
    </row>
    <row r="134">
      <c r="A134" s="27" t="inlineStr">
        <is>
          <t>WEB-SCREEN-401</t>
        </is>
      </c>
      <c r="B134" s="28" t="inlineStr">
        <is>
          <t>Scw Directory · mobile</t>
        </is>
      </c>
      <c r="C134" s="28" t="inlineStr">
        <is>
          <t>Typography</t>
        </is>
      </c>
      <c r="D134" s="28" t="inlineStr">
        <is>
          <t>Major</t>
        </is>
      </c>
      <c r="E134" s="28" t="inlineStr">
        <is>
          <t>Figma: The approved Figma handoff frame for this screen. Built 14px · design 12px · Built 400 weight · design 500 · Built #1F2937 · design #1F2428  →  Live: “011-23381656, 011-23381657, 011-23381669(Fax), 011-23018975, 011-23018” — size 12 → 14; weight 500 → 400; colour #1F2428 → #1F2937. Measured on 2 pages.</t>
        </is>
      </c>
      <c r="F134" s="28" t="inlineStr">
        <is>
          <t>On “011-23381656, 011-23381657, 011-23381669(Fax), 011-23018975,”, change 14px to 12px; change 400 weight to 500; change #1F2937 to #1F2428 — as in the Figma frame (link on this board). Make the change in the shared style for this element, so every page using it follows.</t>
        </is>
      </c>
      <c r="G134" s="28" t="inlineStr">
        <is>
          <t>https://www.figma.com/design/Ds5qx61QsI0ZkYSrLKxo0A/MoSJE--Handoff-?node-id=4571-89516</t>
        </is>
      </c>
      <c r="H134" s="28" t="n"/>
      <c r="I134" s="28" t="inlineStr">
        <is>
          <t>Open</t>
        </is>
      </c>
      <c r="J134" s="28" t="n"/>
      <c r="K134" s="28" t="n"/>
      <c r="L134" s="28" t="inlineStr">
        <is>
          <t>env: live</t>
        </is>
      </c>
      <c r="M134" s="28" t="inlineStr">
        <is>
          <t>Screen</t>
        </is>
      </c>
    </row>
    <row r="135">
      <c r="A135" s="27" t="inlineStr">
        <is>
          <t>WEB-SCREEN-277</t>
        </is>
      </c>
      <c r="B135" s="28" t="inlineStr">
        <is>
          <t>Sitemap · desktop</t>
        </is>
      </c>
      <c r="C135" s="28" t="inlineStr">
        <is>
          <t>Typography</t>
        </is>
      </c>
      <c r="D135" s="28" t="inlineStr">
        <is>
          <t>Major</t>
        </is>
      </c>
      <c r="E135" s="28" t="inlineStr">
        <is>
          <t>Figma: The approved Figma handoff frame for this screen. Built 14px · design 16px · Built #0373DF · design #014B92  →  Live: “Dashboard” — size 16 → 14; colour #014B92 → #0373DF.</t>
        </is>
      </c>
      <c r="F135" s="28" t="inlineStr">
        <is>
          <t>On “Dashboard”, change 14px to 16px; change #0373DF to #014B92 — as in the Figma frame (link on this board). Make the change in the shared style for this element, so every page using it follows.</t>
        </is>
      </c>
      <c r="G135" s="28" t="inlineStr">
        <is>
          <t>https://www.figma.com/design/Ds5qx61QsI0ZkYSrLKxo0A/MoSJE--Handoff-?node-id=5243-134590</t>
        </is>
      </c>
      <c r="H135" s="28" t="n"/>
      <c r="I135" s="28" t="inlineStr">
        <is>
          <t>Open</t>
        </is>
      </c>
      <c r="J135" s="28" t="n"/>
      <c r="K135" s="28" t="n"/>
      <c r="L135" s="28" t="inlineStr">
        <is>
          <t>env: live</t>
        </is>
      </c>
      <c r="M135" s="28" t="inlineStr">
        <is>
          <t>Screen</t>
        </is>
      </c>
    </row>
    <row r="136">
      <c r="A136" s="27" t="inlineStr">
        <is>
          <t>WEB-SCREEN-287</t>
        </is>
      </c>
      <c r="B136" s="28" t="inlineStr">
        <is>
          <t>State · Accessibility Panel Open · desktop</t>
        </is>
      </c>
      <c r="C136" s="28" t="inlineStr">
        <is>
          <t>Accessibility</t>
        </is>
      </c>
      <c r="D136" s="28" t="inlineStr">
        <is>
          <t>Major</t>
        </is>
      </c>
      <c r="E136" s="28" t="inlineStr">
        <is>
          <t>Figma: GIGW 3.0 mandates WCAG 2.2 AA conformance; axe-core tests a subset of it programmatically.  →  Live: Elements should not have tabindex greater than zero — &lt;button type="button" aria-label="Close main navigation panel" class="uwaw-close" tabindex="1"&gt;&lt;/button&gt; (tabindex, ).</t>
        </is>
      </c>
      <c r="F136" s="28" t="inlineStr">
        <is>
          <t>Remove `tabindex="1"` from the widget's Close button (use `tabindex="0"` or none) so Tab order follows the page.</t>
        </is>
      </c>
      <c r="G136" s="28" t="n"/>
      <c r="H136" s="28" t="inlineStr">
        <is>
          <t>https://www.dosje.gov.in/</t>
        </is>
      </c>
      <c r="I136" s="28" t="inlineStr">
        <is>
          <t>Open</t>
        </is>
      </c>
      <c r="J136" s="28" t="n"/>
      <c r="K136" s="28" t="n"/>
      <c r="L136" s="28" t="inlineStr">
        <is>
          <t>env: live</t>
        </is>
      </c>
      <c r="M136" s="28" t="inlineStr">
        <is>
          <t>Screen</t>
        </is>
      </c>
    </row>
    <row r="137">
      <c r="A137" s="27" t="inlineStr">
        <is>
          <t>WEB-SCREEN-291</t>
        </is>
      </c>
      <c r="B137" s="28" t="inlineStr">
        <is>
          <t>State · Accessibility Panel Open · desktop</t>
        </is>
      </c>
      <c r="C137" s="28" t="inlineStr">
        <is>
          <t>Typography</t>
        </is>
      </c>
      <c r="D137" s="28" t="inlineStr">
        <is>
          <t>Minor</t>
        </is>
      </c>
      <c r="E137" s="28" t="inlineStr">
        <is>
          <t>Figma: UX4G 3.0 §2.3: font sizes come from the published type scale (12/14/16/18/20/24/28/32/36/40/52/60), and Body/XS 12px is the minimum.  →  Live: 14 element(s) render at 13px, which is not on the UX4G type scale (12/14/16/18/20/24/28/32/36/40/52/60). Measured on 2 pages.</t>
        </is>
      </c>
      <c r="F137" s="28" t="inlineStr">
        <is>
          <t>Change the 13px text to 14px (Body/S on the UX4G scale).</t>
        </is>
      </c>
      <c r="G137" s="28" t="n"/>
      <c r="H137" s="28" t="inlineStr">
        <is>
          <t>https://www.dosje.gov.in/</t>
        </is>
      </c>
      <c r="I137" s="28" t="inlineStr">
        <is>
          <t>Open</t>
        </is>
      </c>
      <c r="J137" s="28" t="n"/>
      <c r="K137" s="28" t="n"/>
      <c r="L137" s="28" t="inlineStr">
        <is>
          <t>env: live</t>
        </is>
      </c>
      <c r="M137" s="28" t="inlineStr">
        <is>
          <t>Screen</t>
        </is>
      </c>
    </row>
    <row r="138">
      <c r="A138" s="27" t="inlineStr">
        <is>
          <t>WEB-SCREEN-286</t>
        </is>
      </c>
      <c r="B138" s="28" t="inlineStr">
        <is>
          <t>State · Accessibility Panel Open · desktop</t>
        </is>
      </c>
      <c r="C138" s="28" t="inlineStr">
        <is>
          <t>Accessibility</t>
        </is>
      </c>
      <c r="D138" s="28" t="inlineStr">
        <is>
          <t>Major</t>
        </is>
      </c>
      <c r="E138" s="28" t="inlineStr">
        <is>
          <t>Figma: GIGW 3.0 mandates WCAG 2.2 AA conformance; axe-core tests a subset of it programmatically.  →  Live: Interactive controls must not be nested — &lt;button aria-label="Light Dark Theme" aria-pressed="false" tabindex="9" id="dark-btn" class="uwaw-features__item__i"&gt; (nested-interactive, wcag2a, wcag412).</t>
        </is>
      </c>
      <c r="F138" s="28" t="inlineStr">
        <is>
          <t>In the accessibility widget, the Light/Dark button sits inside another control. Make the outer element a plain container (no role/tabindex).</t>
        </is>
      </c>
      <c r="G138" s="28" t="n"/>
      <c r="H138" s="28" t="inlineStr">
        <is>
          <t>https://www.dosje.gov.in/</t>
        </is>
      </c>
      <c r="I138" s="28" t="inlineStr">
        <is>
          <t>Open</t>
        </is>
      </c>
      <c r="J138" s="28" t="n"/>
      <c r="K138" s="28" t="n"/>
      <c r="L138" s="28" t="inlineStr">
        <is>
          <t>env: live</t>
        </is>
      </c>
      <c r="M138" s="28" t="inlineStr">
        <is>
          <t>Screen</t>
        </is>
      </c>
    </row>
    <row r="139">
      <c r="A139" s="27" t="inlineStr">
        <is>
          <t>WEB-SCREEN-315</t>
        </is>
      </c>
      <c r="B139" s="28" t="inlineStr">
        <is>
          <t>State · Gallery Card Opens · desktop</t>
        </is>
      </c>
      <c r="C139" s="28" t="inlineStr">
        <is>
          <t>Accessibility</t>
        </is>
      </c>
      <c r="D139" s="28" t="inlineStr">
        <is>
          <t>Major</t>
        </is>
      </c>
      <c r="E139"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 Measured on 2 pages.</t>
        </is>
      </c>
      <c r="F139" s="28" t="inlineStr">
        <is>
          <t>Name the search icon: on `&lt;svg role="img"&gt;` add `&lt;title&gt;Search&lt;/title&gt;` as its first child, or set `aria-hidden="true"` if the button already has a label.</t>
        </is>
      </c>
      <c r="G139" s="28" t="n"/>
      <c r="H139" s="28" t="inlineStr">
        <is>
          <t>https://www.dosje.gov.in/gallery/</t>
        </is>
      </c>
      <c r="I139" s="28" t="inlineStr">
        <is>
          <t>Open</t>
        </is>
      </c>
      <c r="J139" s="28" t="n"/>
      <c r="K139" s="28" t="n"/>
      <c r="L139" s="28" t="inlineStr">
        <is>
          <t>env: live</t>
        </is>
      </c>
      <c r="M139" s="28" t="inlineStr">
        <is>
          <t>Screen</t>
        </is>
      </c>
    </row>
    <row r="140">
      <c r="A140" s="27" t="inlineStr">
        <is>
          <t>WEB-SCREEN-016</t>
        </is>
      </c>
      <c r="B140" s="28" t="inlineStr">
        <is>
          <t>State · Gallery Lightbox · desktop</t>
        </is>
      </c>
      <c r="C140" s="28" t="inlineStr">
        <is>
          <t>Accessibility</t>
        </is>
      </c>
      <c r="D140" s="28" t="inlineStr">
        <is>
          <t>Major</t>
        </is>
      </c>
      <c r="E140"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 Measured on 2 pages.</t>
        </is>
      </c>
      <c r="F140" s="28" t="inlineStr">
        <is>
          <t>Name the search icon: on `&lt;svg role="img"&gt;` add `&lt;title&gt;Search&lt;/title&gt;` as its first child, or set `aria-hidden="true"` if the button already has a label.</t>
        </is>
      </c>
      <c r="G140" s="28" t="n"/>
      <c r="H140" s="28" t="inlineStr">
        <is>
          <t>https://www.dosje.gov.in/gallery/</t>
        </is>
      </c>
      <c r="I140" s="28" t="inlineStr">
        <is>
          <t>Open</t>
        </is>
      </c>
      <c r="J140" s="28" t="n"/>
      <c r="K140" s="28" t="n"/>
      <c r="L140" s="28" t="inlineStr">
        <is>
          <t>env: live</t>
        </is>
      </c>
      <c r="M140" s="28" t="inlineStr">
        <is>
          <t>Screen</t>
        </is>
      </c>
    </row>
    <row r="141">
      <c r="A141" s="27" t="inlineStr">
        <is>
          <t>WEB-SCREEN-017</t>
        </is>
      </c>
      <c r="B141" s="28" t="inlineStr">
        <is>
          <t>State · Important Links Modal · desktop</t>
        </is>
      </c>
      <c r="C141" s="28" t="inlineStr">
        <is>
          <t>Accessibility</t>
        </is>
      </c>
      <c r="D141" s="28" t="inlineStr">
        <is>
          <t>Major</t>
        </is>
      </c>
      <c r="E141" s="28" t="inlineStr">
        <is>
          <t>Figma: GIGW 3.0 mandates WCAG 2.2 AA conformance; axe-core tests a subset of it programmatically.  →  Live: ARIA dialog and alertdialog nodes should have an accessible name — &lt;div class="modal fade modal-links show" id="exampleModal" tabindex="-1" aria-labelledby="exampleModalLabel" aria-modal="true" role="dialog" style="display: blo (aria-dialog-name, ).</t>
        </is>
      </c>
      <c r="F141" s="28" t="inlineStr">
        <is>
          <t>On the Important Links dialog `&lt;div id="exampleModal"&gt;`, change `aria-labelledby="exampleModalLabel"` to `aria-labelledby="exampleModalPopoversLabel"` — the id its “Important Links” heading actually has.</t>
        </is>
      </c>
      <c r="G141" s="28" t="n"/>
      <c r="H141" s="28" t="inlineStr">
        <is>
          <t>https://www.dosje.gov.in/</t>
        </is>
      </c>
      <c r="I141" s="28" t="inlineStr">
        <is>
          <t>Open</t>
        </is>
      </c>
      <c r="J141" s="28" t="n"/>
      <c r="K141" s="28" t="n"/>
      <c r="L141" s="28" t="inlineStr">
        <is>
          <t>env: live</t>
        </is>
      </c>
      <c r="M141" s="28" t="inlineStr">
        <is>
          <t>Screen</t>
        </is>
      </c>
    </row>
    <row r="142">
      <c r="A142" s="27" t="inlineStr">
        <is>
          <t>WEB-SCREEN-334</t>
        </is>
      </c>
      <c r="B142" s="28" t="inlineStr">
        <is>
          <t>State · Search Scholarship · desktop</t>
        </is>
      </c>
      <c r="C142" s="28" t="inlineStr">
        <is>
          <t>Color &amp; Token</t>
        </is>
      </c>
      <c r="D142" s="28" t="inlineStr">
        <is>
          <t>Major</t>
        </is>
      </c>
      <c r="E142" s="28" t="inlineStr">
        <is>
          <t>Figma: WCAG 2.2 AA (1.4.3), carried into GIGW 3.0: text needs 4.5:1 against its background, or 3:1 at 24px+ / 18.66px+ bold.  →  Live: Text “Scholarship” (mark) renders #0373DF on #FFF3CD at 16px/600 — #0373DF on #FFF3CD as painted on the capture: 4.19:1 against the 4.5:1 minimum.</t>
        </is>
      </c>
      <c r="F142" s="28" t="inlineStr">
        <is>
          <t>Change the text colour of “Scholarship” from #0373DF to #014B92 (the site's dark blue (footer strip)) — 7.82:1 on #FFF3CD, which passes the 4.5:1 minimum. Or keep #0373DF and lighten the background from #FFF3CD to #FFFBF0 (4.5:1). Change it where the colour is set (the shared class or theme setting), so every page using this pair is fixed at once.</t>
        </is>
      </c>
      <c r="G142" s="28" t="n"/>
      <c r="H142" s="28" t="inlineStr">
        <is>
          <t>https://www.dosje.gov.in/?s=scholarship</t>
        </is>
      </c>
      <c r="I142" s="28" t="inlineStr">
        <is>
          <t>Open</t>
        </is>
      </c>
      <c r="J142" s="28" t="n"/>
      <c r="K142" s="28" t="n"/>
      <c r="L142" s="28" t="inlineStr">
        <is>
          <t>env: live</t>
        </is>
      </c>
      <c r="M142" s="28" t="inlineStr">
        <is>
          <t>Screen</t>
        </is>
      </c>
    </row>
    <row r="143">
      <c r="A143" s="27" t="inlineStr">
        <is>
          <t>WEB-SCREEN-385</t>
        </is>
      </c>
      <c r="B143" s="28" t="inlineStr">
        <is>
          <t>Suo Moto Disclosure · desktop</t>
        </is>
      </c>
      <c r="C143" s="28" t="inlineStr">
        <is>
          <t>Content &amp; Iconography</t>
        </is>
      </c>
      <c r="D143" s="28" t="inlineStr">
        <is>
          <t>Major</t>
        </is>
      </c>
      <c r="E143" s="28" t="inlineStr">
        <is>
          <t>Figma: The approved Figma handoff frame for this screen. Design: “government's proactive release of key in” · absent from the build  →  Live: The design frame carries this copy and nothing with the same text renders on the live page: “Government’s proactive release of key in”.</t>
        </is>
      </c>
      <c r="F143" s="28" t="inlineStr">
        <is>
          <t>Add this copy where the Figma frame places it (each piece is outlined on the design panel): “Government’s proactive release of key in”. Where a piece was dropped on purpose, tell the design team so the frame is updated instead.</t>
        </is>
      </c>
      <c r="G143" s="28" t="inlineStr">
        <is>
          <t>https://www.figma.com/design/Ds5qx61QsI0ZkYSrLKxo0A/MoSJE--Handoff-?node-id=3453-14426</t>
        </is>
      </c>
      <c r="H143" s="28" t="n"/>
      <c r="I143" s="28" t="inlineStr">
        <is>
          <t>Open</t>
        </is>
      </c>
      <c r="J143" s="28" t="n"/>
      <c r="K143" s="28" t="n"/>
      <c r="L143" s="28" t="inlineStr">
        <is>
          <t>env: live</t>
        </is>
      </c>
      <c r="M143" s="28" t="inlineStr">
        <is>
          <t>Screen</t>
        </is>
      </c>
    </row>
    <row r="144">
      <c r="A144" s="27" t="inlineStr">
        <is>
          <t>WEB-SCREEN-387</t>
        </is>
      </c>
      <c r="B144" s="28" t="inlineStr">
        <is>
          <t>Tenders · desktop</t>
        </is>
      </c>
      <c r="C144" s="28" t="inlineStr">
        <is>
          <t>Content &amp; Iconography</t>
        </is>
      </c>
      <c r="D144" s="28" t="inlineStr">
        <is>
          <t>Major</t>
        </is>
      </c>
      <c r="E144" s="28" t="inlineStr">
        <is>
          <t>Figma: The approved Figma handoff frame for this screen. Design: “search by tender name or keyword” · absent from the build  →  Live: The design frame carries this copy and nothing with the same text renders on the live page: “Search by tender name or keyword”. Also measured on the 375px capture of the same page.</t>
        </is>
      </c>
      <c r="F144" s="28" t="inlineStr">
        <is>
          <t>Add this copy where the Figma frame places it (each piece is outlined on the design panel): “Search by tender name or keyword”. Where a piece was dropped on purpose, tell the design team so the frame is updated instead.</t>
        </is>
      </c>
      <c r="G144" s="28" t="inlineStr">
        <is>
          <t>https://www.figma.com/design/Ds5qx61QsI0ZkYSrLKxo0A/MoSJE--Handoff-?node-id=3453-12568</t>
        </is>
      </c>
      <c r="H144" s="28" t="n"/>
      <c r="I144" s="28" t="inlineStr">
        <is>
          <t>Open</t>
        </is>
      </c>
      <c r="J144" s="28" t="n"/>
      <c r="K144" s="28" t="n"/>
      <c r="L144" s="28" t="inlineStr">
        <is>
          <t>env: live</t>
        </is>
      </c>
      <c r="M144" s="28" t="inlineStr">
        <is>
          <t>Screen</t>
        </is>
      </c>
    </row>
    <row r="145">
      <c r="A145" s="27" t="inlineStr">
        <is>
          <t>WEB-SCREEN-388</t>
        </is>
      </c>
      <c r="B145" s="28" t="inlineStr">
        <is>
          <t>Vacancies · desktop</t>
        </is>
      </c>
      <c r="C145" s="28" t="inlineStr">
        <is>
          <t>Content &amp; Iconography</t>
        </is>
      </c>
      <c r="D145" s="28" t="inlineStr">
        <is>
          <t>Major</t>
        </is>
      </c>
      <c r="E145" s="28" t="inlineStr">
        <is>
          <t>Figma: The approved Figma handoff frame for this screen. Design: “search by vacancy name or keyword” · absent from the build  →  Live: The design frame carries this copy and nothing with the same text renders on the live page: “Search by vacancy name or keyword”. Also measured on the 375px capture of the same page.</t>
        </is>
      </c>
      <c r="F145" s="28" t="inlineStr">
        <is>
          <t>Add this copy where the Figma frame places it (each piece is outlined on the design panel): “Search by vacancy name or keyword”. Where a piece was dropped on purpose, tell the design team so the frame is updated instead.</t>
        </is>
      </c>
      <c r="G145" s="28" t="inlineStr">
        <is>
          <t>https://www.figma.com/design/Ds5qx61QsI0ZkYSrLKxo0A/MoSJE--Handoff-?node-id=3453-12427</t>
        </is>
      </c>
      <c r="H145" s="28" t="n"/>
      <c r="I145" s="28" t="inlineStr">
        <is>
          <t>Open</t>
        </is>
      </c>
      <c r="J145" s="28" t="n"/>
      <c r="K145" s="28" t="n"/>
      <c r="L145" s="28" t="inlineStr">
        <is>
          <t>env: live</t>
        </is>
      </c>
      <c r="M145" s="28" t="inlineStr">
        <is>
          <t>Screen</t>
        </is>
      </c>
    </row>
    <row r="146">
      <c r="A146" s="27" t="inlineStr">
        <is>
          <t>WEB-SCREEN-389</t>
        </is>
      </c>
      <c r="B146" s="28" t="inlineStr">
        <is>
          <t>Vacancies · mobile</t>
        </is>
      </c>
      <c r="C146" s="28" t="inlineStr">
        <is>
          <t>Content &amp; Iconography</t>
        </is>
      </c>
      <c r="D146" s="28" t="inlineStr">
        <is>
          <t>Major</t>
        </is>
      </c>
      <c r="E146" s="28" t="inlineStr">
        <is>
          <t>Figma: The approved Figma handoff frame for this screen. Design: “contact &amp; support” · absent from the build  →  Live: The design frame carries this copy and nothing with the same text renders on the live page: “Contact &amp; Support”.</t>
        </is>
      </c>
      <c r="F146" s="28" t="inlineStr">
        <is>
          <t>Add this copy where the Figma frame places it (each piece is outlined on the design panel): “Contact &amp; Support”. Where a piece was dropped on purpose, tell the design team so the frame is updated instead.</t>
        </is>
      </c>
      <c r="G146" s="28" t="inlineStr">
        <is>
          <t>https://www.figma.com/design/Ds5qx61QsI0ZkYSrLKxo0A/MoSJE--Handoff-?node-id=4571-105929</t>
        </is>
      </c>
      <c r="H146" s="28" t="n"/>
      <c r="I146" s="28" t="inlineStr">
        <is>
          <t>Open</t>
        </is>
      </c>
      <c r="J146" s="28" t="n"/>
      <c r="K146" s="28" t="n"/>
      <c r="L146" s="28" t="inlineStr">
        <is>
          <t>env: live</t>
        </is>
      </c>
      <c r="M146" s="28" t="inlineStr">
        <is>
          <t>Screen</t>
        </is>
      </c>
    </row>
    <row r="147">
      <c r="A147" s="27" t="inlineStr">
        <is>
          <t>WEB-SCREEN-391</t>
        </is>
      </c>
      <c r="B147" s="28" t="inlineStr">
        <is>
          <t>Whos Who · desktop</t>
        </is>
      </c>
      <c r="C147" s="28" t="inlineStr">
        <is>
          <t>Content &amp; Iconography</t>
        </is>
      </c>
      <c r="D147" s="28" t="inlineStr">
        <is>
          <t>Major</t>
        </is>
      </c>
      <c r="E147" s="28" t="inlineStr">
        <is>
          <t>Figma: The approved Figma handoff frame for this screen. Design: “discover the commissions, corporations, ” · absent from the build  →  Live: The design frame carries this copy and nothing with the same text renders on the live page: “Discover the Commissions, Corporations, ”.</t>
        </is>
      </c>
      <c r="F147" s="28" t="inlineStr">
        <is>
          <t>Add this copy where the Figma frame places it (each piece is outlined on the design panel): “Discover the Commissions, Corporations, ”. Where a piece was dropped on purpose, tell the design team so the frame is updated instead.</t>
        </is>
      </c>
      <c r="G147" s="28" t="inlineStr">
        <is>
          <t>https://www.figma.com/design/Ds5qx61QsI0ZkYSrLKxo0A/MoSJE--Handoff-?node-id=3453-8801</t>
        </is>
      </c>
      <c r="H147" s="28" t="n"/>
      <c r="I147" s="28" t="inlineStr">
        <is>
          <t>Open</t>
        </is>
      </c>
      <c r="J147" s="28" t="n"/>
      <c r="K147" s="28" t="n"/>
      <c r="L147" s="28" t="inlineStr">
        <is>
          <t>env: live</t>
        </is>
      </c>
      <c r="M147" s="28" t="inlineStr">
        <is>
          <t>Screen</t>
        </is>
      </c>
    </row>
    <row r="148">
      <c r="A148" s="27" t="inlineStr">
        <is>
          <t>WEB-SCREEN-425</t>
        </is>
      </c>
      <c r="B148" s="28" t="inlineStr">
        <is>
          <t>Whos Who · desktop</t>
        </is>
      </c>
      <c r="C148" s="28" t="inlineStr">
        <is>
          <t>Color &amp; Token</t>
        </is>
      </c>
      <c r="D148" s="28" t="inlineStr">
        <is>
          <t>Major</t>
        </is>
      </c>
      <c r="E148" s="28" t="inlineStr">
        <is>
          <t>Figma: The approved Figma handoff frame for this screen. Built #212121 · design #1F2428  →  Live: “Designation” — colour #1F2428 → #212121.</t>
        </is>
      </c>
      <c r="F148" s="28" t="inlineStr">
        <is>
          <t>On “Designation”, change #212121 to #1F2428 — as in the Figma frame (link on this board). Make the change in the shared style for this element, so every page using it follows.</t>
        </is>
      </c>
      <c r="G148" s="28" t="inlineStr">
        <is>
          <t>https://www.figma.com/design/Ds5qx61QsI0ZkYSrLKxo0A/MoSJE--Handoff-?node-id=3453-8801</t>
        </is>
      </c>
      <c r="H148" s="28" t="n"/>
      <c r="I148" s="28" t="inlineStr">
        <is>
          <t>Open</t>
        </is>
      </c>
      <c r="J148" s="28" t="n"/>
      <c r="K148" s="28" t="n"/>
      <c r="L148" s="28" t="inlineStr">
        <is>
          <t>env: live</t>
        </is>
      </c>
      <c r="M148" s="28" t="inlineStr">
        <is>
          <t>Screen</t>
        </is>
      </c>
    </row>
    <row r="149">
      <c r="A149" s="27" t="inlineStr">
        <is>
          <t>WEB-GLOBAL-008</t>
        </is>
      </c>
      <c r="B149" s="28" t="inlineStr">
        <is>
          <t>—</t>
        </is>
      </c>
      <c r="C149" s="28" t="inlineStr">
        <is>
          <t>—</t>
        </is>
      </c>
      <c r="D149" s="28" t="inlineStr">
        <is>
          <t>—</t>
        </is>
      </c>
      <c r="E149" s="28" t="inlineStr">
        <is>
          <t>Global · No visible focus indicator — Open the accessibility option — Open the accessibility option</t>
        </is>
      </c>
      <c r="F149" s="28" t="inlineStr">
        <is>
          <t>No fix required — this finding was withdrawn.</t>
        </is>
      </c>
      <c r="G149" s="28" t="n"/>
      <c r="H149" s="28" t="n"/>
      <c r="I149" s="28" t="inlineStr">
        <is>
          <t>Withdrawn</t>
        </is>
      </c>
      <c r="J149" s="28" t="n"/>
      <c r="K149" s="28" t="n"/>
      <c r="L149" s="28" t="inlineStr">
        <is>
          <t>WITHDRAWN: Re-measured on pixels: the control is invisible until focused and then shows a visible ring. The first version compared styles, not what a keyboard user sees.</t>
        </is>
      </c>
      <c r="M149" s="28" t="inlineStr">
        <is>
          <t>—</t>
        </is>
      </c>
    </row>
    <row r="150">
      <c r="A150" s="27" t="inlineStr">
        <is>
          <t>WEB-GLOBAL-078</t>
        </is>
      </c>
      <c r="B150" s="28" t="inlineStr">
        <is>
          <t>—</t>
        </is>
      </c>
      <c r="C150" s="28" t="inlineStr">
        <is>
          <t>—</t>
        </is>
      </c>
      <c r="D150" s="28" t="inlineStr">
        <is>
          <t>—</t>
        </is>
      </c>
      <c r="E150" s="28" t="inlineStr">
        <is>
          <t>Global · Non-text control below 3:1 — Language Translator — Language Translator</t>
        </is>
      </c>
      <c r="F150" s="28" t="inlineStr">
        <is>
          <t>No fix required — this finding was withdrawn.</t>
        </is>
      </c>
      <c r="G150" s="28" t="n"/>
      <c r="H150" s="28" t="n"/>
      <c r="I150" s="28" t="inlineStr">
        <is>
          <t>Withdrawn</t>
        </is>
      </c>
      <c r="J150" s="28" t="n"/>
      <c r="K150" s="28" t="n"/>
      <c r="L150" s="28" t="inlineStr">
        <is>
          <t>WITHDRAWN: Re-measured on pixels with the element's own CSS colour: the pair passes on screen. The first version read an anti-aliased edge pixel as the text colour.</t>
        </is>
      </c>
      <c r="M150" s="28" t="inlineStr">
        <is>
          <t>—</t>
        </is>
      </c>
    </row>
    <row r="151">
      <c r="A151" s="27" t="inlineStr">
        <is>
          <t>WEB-GLOBAL-007</t>
        </is>
      </c>
      <c r="B151" s="28" t="inlineStr">
        <is>
          <t>—</t>
        </is>
      </c>
      <c r="C151" s="28" t="inlineStr">
        <is>
          <t>—</t>
        </is>
      </c>
      <c r="D151" s="28" t="inlineStr">
        <is>
          <t>—</t>
        </is>
      </c>
      <c r="E151" s="28" t="inlineStr">
        <is>
          <t>Global · Text contrast below AA — Single Access Mechanism for All Verticals o… — Single Access Mechanism for All Verticals o…</t>
        </is>
      </c>
      <c r="F151" s="28" t="inlineStr">
        <is>
          <t>No fix required — this finding was withdrawn.</t>
        </is>
      </c>
      <c r="G151" s="28" t="n"/>
      <c r="H151" s="28" t="n"/>
      <c r="I151" s="28" t="inlineStr">
        <is>
          <t>Withdrawn</t>
        </is>
      </c>
      <c r="J151" s="28" t="n"/>
      <c r="K151" s="28" t="n"/>
      <c r="L151" s="28" t="inlineStr">
        <is>
          <t>WITHDRAWN: Merged into WEB-GLOBAL-088, which now carries this defect together with the others of the same kind — one fix, one row.</t>
        </is>
      </c>
      <c r="M151" s="28" t="inlineStr">
        <is>
          <t>—</t>
        </is>
      </c>
    </row>
    <row r="152">
      <c r="A152" s="27" t="inlineStr">
        <is>
          <t>WEB-GLOBAL-079</t>
        </is>
      </c>
      <c r="B152" s="28" t="inlineStr">
        <is>
          <t>—</t>
        </is>
      </c>
      <c r="C152" s="28" t="inlineStr">
        <is>
          <t>—</t>
        </is>
      </c>
      <c r="D152" s="28" t="inlineStr">
        <is>
          <t>—</t>
        </is>
      </c>
      <c r="E152" s="28" t="inlineStr">
        <is>
          <t>Global · Non-text control below 3:1 — Previous slide — Previous slide</t>
        </is>
      </c>
      <c r="F152" s="28" t="inlineStr">
        <is>
          <t>No fix required — this finding was withdrawn.</t>
        </is>
      </c>
      <c r="G152" s="28" t="n"/>
      <c r="H152" s="28" t="n"/>
      <c r="I152" s="28" t="inlineStr">
        <is>
          <t>Withdrawn</t>
        </is>
      </c>
      <c r="J152" s="28" t="n"/>
      <c r="K152" s="28" t="n"/>
      <c r="L152" s="28" t="inlineStr">
        <is>
          <t>WITHDRAWN: Merged into WEB-SCREEN-355, which now carries this defect together with the others of the same kind — one fix, one row.</t>
        </is>
      </c>
      <c r="M152" s="28" t="inlineStr">
        <is>
          <t>—</t>
        </is>
      </c>
    </row>
    <row r="153">
      <c r="A153" s="27" t="inlineStr">
        <is>
          <t>WEB-GLOBAL-080</t>
        </is>
      </c>
      <c r="B153" s="28" t="inlineStr">
        <is>
          <t>—</t>
        </is>
      </c>
      <c r="C153" s="28" t="inlineStr">
        <is>
          <t>—</t>
        </is>
      </c>
      <c r="D153" s="28" t="inlineStr">
        <is>
          <t>—</t>
        </is>
      </c>
      <c r="E153" s="28" t="inlineStr">
        <is>
          <t>Global · Non-text control below 3:1 — Go to slide 1 — Go to slide 1</t>
        </is>
      </c>
      <c r="F153" s="28" t="inlineStr">
        <is>
          <t>No fix required — this finding was withdrawn.</t>
        </is>
      </c>
      <c r="G153" s="28" t="n"/>
      <c r="H153" s="28" t="n"/>
      <c r="I153" s="28" t="inlineStr">
        <is>
          <t>Withdrawn</t>
        </is>
      </c>
      <c r="J153" s="28" t="n"/>
      <c r="K153" s="28" t="n"/>
      <c r="L153" s="28" t="inlineStr">
        <is>
          <t>WITHDRAWN: Re-measured on pixels with the element's own CSS colour: the pair passes on screen. The first version read an anti-aliased edge pixel as the text colour.</t>
        </is>
      </c>
      <c r="M153" s="28" t="inlineStr">
        <is>
          <t>—</t>
        </is>
      </c>
    </row>
    <row r="154">
      <c r="A154" s="27" t="inlineStr">
        <is>
          <t>WEB-GLOBAL-019</t>
        </is>
      </c>
      <c r="B154" s="28" t="inlineStr">
        <is>
          <t>—</t>
        </is>
      </c>
      <c r="C154" s="28" t="inlineStr">
        <is>
          <t>—</t>
        </is>
      </c>
      <c r="D154" s="28" t="inlineStr">
        <is>
          <t>—</t>
        </is>
      </c>
      <c r="E154" s="28" t="inlineStr">
        <is>
          <t>Global · Text contrast below AA — About Ministry — About Ministry</t>
        </is>
      </c>
      <c r="F154" s="28" t="inlineStr">
        <is>
          <t>No fix required — this finding was withdrawn.</t>
        </is>
      </c>
      <c r="G154" s="28" t="n"/>
      <c r="H154" s="28" t="n"/>
      <c r="I154" s="28" t="inlineStr">
        <is>
          <t>Withdrawn</t>
        </is>
      </c>
      <c r="J154" s="28" t="n"/>
      <c r="K154" s="28" t="n"/>
      <c r="L154" s="28" t="inlineStr">
        <is>
          <t>WITHDRAWN: Merged into WEB-GLOBAL-091, which now carries this defect together with the others of the same kind — one fix, one row.</t>
        </is>
      </c>
      <c r="M154" s="28" t="inlineStr">
        <is>
          <t>—</t>
        </is>
      </c>
    </row>
    <row r="155">
      <c r="A155" s="27" t="inlineStr">
        <is>
          <t>WEB-GLOBAL-026</t>
        </is>
      </c>
      <c r="B155" s="28" t="inlineStr">
        <is>
          <t>—</t>
        </is>
      </c>
      <c r="C155" s="28" t="inlineStr">
        <is>
          <t>—</t>
        </is>
      </c>
      <c r="D155" s="28" t="inlineStr">
        <is>
          <t>—</t>
        </is>
      </c>
      <c r="E155" s="28" t="inlineStr">
        <is>
          <t>Global · Touch target below the minimum — Open Department — Open Department</t>
        </is>
      </c>
      <c r="F155" s="28" t="inlineStr">
        <is>
          <t>No fix required — this finding was withdrawn.</t>
        </is>
      </c>
      <c r="G155" s="28" t="n"/>
      <c r="H155" s="28" t="n"/>
      <c r="I155" s="28" t="inlineStr">
        <is>
          <t>Withdrawn</t>
        </is>
      </c>
      <c r="J155" s="28" t="n"/>
      <c r="K155" s="28" t="n"/>
      <c r="L155" s="28" t="inlineStr">
        <is>
          <t>WITHDRAWN: Merged into WEB-GLOBAL-111 / WEB-GLOBAL-110 / WEB-GLOBAL-112, which now carries this defect together with the others of the same kind — one fix, one row.</t>
        </is>
      </c>
      <c r="M155" s="28" t="inlineStr">
        <is>
          <t>—</t>
        </is>
      </c>
    </row>
    <row r="156">
      <c r="A156" s="27" t="inlineStr">
        <is>
          <t>WEB-GLOBAL-032</t>
        </is>
      </c>
      <c r="B156" s="28" t="inlineStr">
        <is>
          <t>—</t>
        </is>
      </c>
      <c r="C156" s="28" t="inlineStr">
        <is>
          <t>—</t>
        </is>
      </c>
      <c r="D156" s="28" t="inlineStr">
        <is>
          <t>—</t>
        </is>
      </c>
      <c r="E156" s="28" t="inlineStr">
        <is>
          <t>Global · Touch target below the minimum — Home — Home</t>
        </is>
      </c>
      <c r="F156" s="28" t="inlineStr">
        <is>
          <t>No fix required — this finding was withdrawn.</t>
        </is>
      </c>
      <c r="G156" s="28" t="n"/>
      <c r="H156" s="28" t="n"/>
      <c r="I156" s="28" t="inlineStr">
        <is>
          <t>Withdrawn</t>
        </is>
      </c>
      <c r="J156" s="28" t="n"/>
      <c r="K156" s="28" t="n"/>
      <c r="L156" s="28" t="inlineStr">
        <is>
          <t>WITHDRAWN: Merged into WEB-GLOBAL-111, which now carries this defect together with the others of the same kind — one fix, one row.</t>
        </is>
      </c>
      <c r="M156" s="28" t="inlineStr">
        <is>
          <t>—</t>
        </is>
      </c>
    </row>
    <row r="157">
      <c r="A157" s="27" t="inlineStr">
        <is>
          <t>WEB-GLOBAL-033</t>
        </is>
      </c>
      <c r="B157" s="28" t="inlineStr">
        <is>
          <t>—</t>
        </is>
      </c>
      <c r="C157" s="28" t="inlineStr">
        <is>
          <t>—</t>
        </is>
      </c>
      <c r="D157" s="28" t="inlineStr">
        <is>
          <t>—</t>
        </is>
      </c>
      <c r="E157" s="28" t="inlineStr">
        <is>
          <t>Global · Touch target below the minimum — Department — Department</t>
        </is>
      </c>
      <c r="F157" s="28" t="inlineStr">
        <is>
          <t>No fix required — this finding was withdrawn.</t>
        </is>
      </c>
      <c r="G157" s="28" t="n"/>
      <c r="H157" s="28" t="n"/>
      <c r="I157" s="28" t="inlineStr">
        <is>
          <t>Withdrawn</t>
        </is>
      </c>
      <c r="J157" s="28" t="n"/>
      <c r="K157" s="28" t="n"/>
      <c r="L157" s="28" t="inlineStr">
        <is>
          <t>WITHDRAWN: Merged into WEB-GLOBAL-111 / WEB-GLOBAL-110 / WEB-GLOBAL-112, which now carries this defect together with the others of the same kind — one fix, one row.</t>
        </is>
      </c>
      <c r="M157" s="28" t="inlineStr">
        <is>
          <t>—</t>
        </is>
      </c>
    </row>
    <row r="158">
      <c r="A158" s="27" t="inlineStr">
        <is>
          <t>WEB-GLOBAL-031</t>
        </is>
      </c>
      <c r="B158" s="28" t="inlineStr">
        <is>
          <t>—</t>
        </is>
      </c>
      <c r="C158" s="28" t="inlineStr">
        <is>
          <t>—</t>
        </is>
      </c>
      <c r="D158" s="28" t="inlineStr">
        <is>
          <t>—</t>
        </is>
      </c>
      <c r="E158" s="28" t="inlineStr">
        <is>
          <t>Global · Touch target below the minimum — Associated Organisations — Associated Organisations</t>
        </is>
      </c>
      <c r="F158" s="28" t="inlineStr">
        <is>
          <t>No fix required — this finding was withdrawn.</t>
        </is>
      </c>
      <c r="G158" s="28" t="n"/>
      <c r="H158" s="28" t="n"/>
      <c r="I158" s="28" t="inlineStr">
        <is>
          <t>Withdrawn</t>
        </is>
      </c>
      <c r="J158" s="28" t="n"/>
      <c r="K158" s="28" t="n"/>
      <c r="L158" s="28" t="inlineStr">
        <is>
          <t>WITHDRAWN: Merged into WEB-GLOBAL-111 / WEB-GLOBAL-110 / WEB-GLOBAL-112, which now carries this defect together with the others of the same kind — one fix, one row.</t>
        </is>
      </c>
      <c r="M158" s="28" t="inlineStr">
        <is>
          <t>—</t>
        </is>
      </c>
    </row>
    <row r="159">
      <c r="A159" s="27" t="inlineStr">
        <is>
          <t>WEB-GLOBAL-017</t>
        </is>
      </c>
      <c r="B159" s="28" t="inlineStr">
        <is>
          <t>—</t>
        </is>
      </c>
      <c r="C159" s="28" t="inlineStr">
        <is>
          <t>—</t>
        </is>
      </c>
      <c r="D159" s="28" t="inlineStr">
        <is>
          <t>—</t>
        </is>
      </c>
      <c r="E159" s="28" t="inlineStr">
        <is>
          <t>Global · Text contrast below AA — Get in Touch — Get in Touch</t>
        </is>
      </c>
      <c r="F159" s="28" t="inlineStr">
        <is>
          <t>No fix required — this finding was withdrawn.</t>
        </is>
      </c>
      <c r="G159" s="28" t="n"/>
      <c r="H159" s="28" t="n"/>
      <c r="I159" s="28" t="inlineStr">
        <is>
          <t>Withdrawn</t>
        </is>
      </c>
      <c r="J159" s="28" t="n"/>
      <c r="K159" s="28" t="n"/>
      <c r="L159" s="28" t="inlineStr">
        <is>
          <t>WITHDRAWN: Merged into WEB-GLOBAL-090, which now carries this defect together with the others of the same kind — one fix, one row.</t>
        </is>
      </c>
      <c r="M159" s="28" t="inlineStr">
        <is>
          <t>—</t>
        </is>
      </c>
    </row>
    <row r="160">
      <c r="A160" s="27" t="inlineStr">
        <is>
          <t>WEB-GLOBAL-016</t>
        </is>
      </c>
      <c r="B160" s="28" t="inlineStr">
        <is>
          <t>—</t>
        </is>
      </c>
      <c r="C160" s="28" t="inlineStr">
        <is>
          <t>—</t>
        </is>
      </c>
      <c r="D160" s="28" t="inlineStr">
        <is>
          <t>—</t>
        </is>
      </c>
      <c r="E160" s="28" t="inlineStr">
        <is>
          <t>Global · Text contrast below AA — Get in Touch — Get in Touch</t>
        </is>
      </c>
      <c r="F160" s="28" t="inlineStr">
        <is>
          <t>No fix required — this finding was withdrawn.</t>
        </is>
      </c>
      <c r="G160" s="28" t="n"/>
      <c r="H160" s="28" t="n"/>
      <c r="I160" s="28" t="inlineStr">
        <is>
          <t>Withdrawn</t>
        </is>
      </c>
      <c r="J160" s="28" t="n"/>
      <c r="K160" s="28" t="n"/>
      <c r="L160" s="28" t="inlineStr">
        <is>
          <t>WITHDRAWN: Merged into WEB-GLOBAL-090, which now carries this defect together with the others of the same kind — one fix, one row.</t>
        </is>
      </c>
      <c r="M160" s="28" t="inlineStr">
        <is>
          <t>—</t>
        </is>
      </c>
    </row>
    <row r="161">
      <c r="A161" s="27" t="inlineStr">
        <is>
          <t>WEB-GLOBAL-027</t>
        </is>
      </c>
      <c r="B161" s="28" t="inlineStr">
        <is>
          <t>—</t>
        </is>
      </c>
      <c r="C161" s="28" t="inlineStr">
        <is>
          <t>—</t>
        </is>
      </c>
      <c r="D161" s="28" t="inlineStr">
        <is>
          <t>—</t>
        </is>
      </c>
      <c r="E161" s="28" t="inlineStr">
        <is>
          <t>Global · Touch target below the minimum — About Ministry — About Ministry</t>
        </is>
      </c>
      <c r="F161" s="28" t="inlineStr">
        <is>
          <t>No fix required — this finding was withdrawn.</t>
        </is>
      </c>
      <c r="G161" s="28" t="n"/>
      <c r="H161" s="28" t="n"/>
      <c r="I161" s="28" t="inlineStr">
        <is>
          <t>Withdrawn</t>
        </is>
      </c>
      <c r="J161" s="28" t="n"/>
      <c r="K161" s="28" t="n"/>
      <c r="L161" s="28" t="inlineStr">
        <is>
          <t>WITHDRAWN: Merged into WEB-GLOBAL-110, which now carries this defect together with the others of the same kind — one fix, one row.</t>
        </is>
      </c>
      <c r="M161" s="28" t="inlineStr">
        <is>
          <t>—</t>
        </is>
      </c>
    </row>
    <row r="162">
      <c r="A162" s="27" t="inlineStr">
        <is>
          <t>WEB-GLOBAL-030</t>
        </is>
      </c>
      <c r="B162" s="28" t="inlineStr">
        <is>
          <t>—</t>
        </is>
      </c>
      <c r="C162" s="28" t="inlineStr">
        <is>
          <t>—</t>
        </is>
      </c>
      <c r="D162" s="28" t="inlineStr">
        <is>
          <t>—</t>
        </is>
      </c>
      <c r="E162" s="28" t="inlineStr">
        <is>
          <t>Global · Touch target below the minimum — Vision &amp; Mission — Vision &amp; Mission</t>
        </is>
      </c>
      <c r="F162" s="28" t="inlineStr">
        <is>
          <t>No fix required — this finding was withdrawn.</t>
        </is>
      </c>
      <c r="G162" s="28" t="n"/>
      <c r="H162" s="28" t="n"/>
      <c r="I162" s="28" t="inlineStr">
        <is>
          <t>Withdrawn</t>
        </is>
      </c>
      <c r="J162" s="28" t="n"/>
      <c r="K162" s="28" t="n"/>
      <c r="L162" s="28" t="inlineStr">
        <is>
          <t>WITHDRAWN: Merged into WEB-GLOBAL-111 / WEB-GLOBAL-110 / WEB-GLOBAL-112, which now carries this defect together with the others of the same kind — one fix, one row.</t>
        </is>
      </c>
      <c r="M162" s="28" t="inlineStr">
        <is>
          <t>—</t>
        </is>
      </c>
    </row>
    <row r="163">
      <c r="A163" s="27" t="inlineStr">
        <is>
          <t>WEB-GLOBAL-029</t>
        </is>
      </c>
      <c r="B163" s="28" t="inlineStr">
        <is>
          <t>—</t>
        </is>
      </c>
      <c r="C163" s="28" t="inlineStr">
        <is>
          <t>—</t>
        </is>
      </c>
      <c r="D163" s="28" t="inlineStr">
        <is>
          <t>—</t>
        </is>
      </c>
      <c r="E163" s="28" t="inlineStr">
        <is>
          <t>Global · Touch target below the minimum — Organisational Chart — Organisational Chart</t>
        </is>
      </c>
      <c r="F163" s="28" t="inlineStr">
        <is>
          <t>No fix required — this finding was withdrawn.</t>
        </is>
      </c>
      <c r="G163" s="28" t="n"/>
      <c r="H163" s="28" t="n"/>
      <c r="I163" s="28" t="inlineStr">
        <is>
          <t>Withdrawn</t>
        </is>
      </c>
      <c r="J163" s="28" t="n"/>
      <c r="K163" s="28" t="n"/>
      <c r="L163" s="28" t="inlineStr">
        <is>
          <t>WITHDRAWN: Merged into WEB-GLOBAL-111 / WEB-GLOBAL-110 / WEB-GLOBAL-112, which now carries this defect together with the others of the same kind — one fix, one row.</t>
        </is>
      </c>
      <c r="M163" s="28" t="inlineStr">
        <is>
          <t>—</t>
        </is>
      </c>
    </row>
    <row r="164">
      <c r="A164" s="27" t="inlineStr">
        <is>
          <t>WEB-GLOBAL-028</t>
        </is>
      </c>
      <c r="B164" s="28" t="inlineStr">
        <is>
          <t>—</t>
        </is>
      </c>
      <c r="C164" s="28" t="inlineStr">
        <is>
          <t>—</t>
        </is>
      </c>
      <c r="D164" s="28" t="inlineStr">
        <is>
          <t>—</t>
        </is>
      </c>
      <c r="E164" s="28" t="inlineStr">
        <is>
          <t>Global · Touch target below the minimum — Ministers &amp; Officials — Ministers &amp; Officials</t>
        </is>
      </c>
      <c r="F164" s="28" t="inlineStr">
        <is>
          <t>No fix required — this finding was withdrawn.</t>
        </is>
      </c>
      <c r="G164" s="28" t="n"/>
      <c r="H164" s="28" t="n"/>
      <c r="I164" s="28" t="inlineStr">
        <is>
          <t>Withdrawn</t>
        </is>
      </c>
      <c r="J164" s="28" t="n"/>
      <c r="K164" s="28" t="n"/>
      <c r="L164" s="28" t="inlineStr">
        <is>
          <t>WITHDRAWN: Merged into WEB-GLOBAL-111 / WEB-GLOBAL-110 / WEB-GLOBAL-112, which now carries this defect together with the others of the same kind — one fix, one row.</t>
        </is>
      </c>
      <c r="M164" s="28" t="inlineStr">
        <is>
          <t>—</t>
        </is>
      </c>
    </row>
    <row r="165">
      <c r="A165" s="27" t="inlineStr">
        <is>
          <t>WEB-GLOBAL-021</t>
        </is>
      </c>
      <c r="B165" s="28" t="inlineStr">
        <is>
          <t>—</t>
        </is>
      </c>
      <c r="C165" s="28" t="inlineStr">
        <is>
          <t>—</t>
        </is>
      </c>
      <c r="D165" s="28" t="inlineStr">
        <is>
          <t>—</t>
        </is>
      </c>
      <c r="E165" s="28" t="inlineStr">
        <is>
          <t>Global · Text contrast below AA — View All Documents from MoSJE — View All Documents from MoSJE</t>
        </is>
      </c>
      <c r="F165" s="28" t="inlineStr">
        <is>
          <t>No fix required — this finding was withdrawn.</t>
        </is>
      </c>
      <c r="G165" s="28" t="n"/>
      <c r="H165" s="28" t="n"/>
      <c r="I165" s="28" t="inlineStr">
        <is>
          <t>Withdrawn</t>
        </is>
      </c>
      <c r="J165" s="28" t="n"/>
      <c r="K165" s="28" t="n"/>
      <c r="L165" s="28" t="inlineStr">
        <is>
          <t>WITHDRAWN: Merged into WEB-GLOBAL-092, which now carries this defect together with the others of the same kind — one fix, one row.</t>
        </is>
      </c>
      <c r="M165" s="28" t="inlineStr">
        <is>
          <t>—</t>
        </is>
      </c>
    </row>
    <row r="166">
      <c r="A166" s="27" t="inlineStr">
        <is>
          <t>WEB-GLOBAL-020</t>
        </is>
      </c>
      <c r="B166" s="28" t="inlineStr">
        <is>
          <t>—</t>
        </is>
      </c>
      <c r="C166" s="28" t="inlineStr">
        <is>
          <t>—</t>
        </is>
      </c>
      <c r="D166" s="28" t="inlineStr">
        <is>
          <t>—</t>
        </is>
      </c>
      <c r="E166" s="28" t="inlineStr">
        <is>
          <t>Global · Text contrast below AA — Chairperson's office — Chairperson's office</t>
        </is>
      </c>
      <c r="F166" s="28" t="inlineStr">
        <is>
          <t>No fix required — this finding was withdrawn.</t>
        </is>
      </c>
      <c r="G166" s="28" t="n"/>
      <c r="H166" s="28" t="n"/>
      <c r="I166" s="28" t="inlineStr">
        <is>
          <t>Withdrawn</t>
        </is>
      </c>
      <c r="J166" s="28" t="n"/>
      <c r="K166" s="28" t="n"/>
      <c r="L166" s="28" t="inlineStr">
        <is>
          <t>WITHDRAWN: Merged into WEB-GLOBAL-092, which now carries this defect together with the others of the same kind — one fix, one row.</t>
        </is>
      </c>
      <c r="M166" s="28" t="inlineStr">
        <is>
          <t>—</t>
        </is>
      </c>
    </row>
    <row r="167">
      <c r="A167" s="27" t="inlineStr">
        <is>
          <t>WEB-GLOBAL-047</t>
        </is>
      </c>
      <c r="B167" s="28" t="inlineStr">
        <is>
          <t>—</t>
        </is>
      </c>
      <c r="C167" s="28" t="inlineStr">
        <is>
          <t>—</t>
        </is>
      </c>
      <c r="D167" s="28" t="inlineStr">
        <is>
          <t>—</t>
        </is>
      </c>
      <c r="E167" s="28" t="inlineStr">
        <is>
          <t>Global · Content in the design is not in the build — last updated on — last updated on</t>
        </is>
      </c>
      <c r="F167" s="28" t="inlineStr">
        <is>
          <t>No fix required — this finding was withdrawn.</t>
        </is>
      </c>
      <c r="G167" s="28" t="n"/>
      <c r="H167" s="28" t="n"/>
      <c r="I167" s="28" t="inlineStr">
        <is>
          <t>Withdrawn</t>
        </is>
      </c>
      <c r="J167" s="28" t="n"/>
      <c r="K167" s="28" t="n"/>
      <c r="L167" s="28" t="inlineStr">
        <is>
          <t>WITHDRAWN: Withdrawn: the design text is sample content in a repeated list or data field — names, e-mail addresses, dates, figures, event or album titles — which the live page fills with real entries. It is different data, not missing interface copy.</t>
        </is>
      </c>
      <c r="M167" s="28" t="inlineStr">
        <is>
          <t>—</t>
        </is>
      </c>
    </row>
    <row r="168">
      <c r="A168" s="27" t="inlineStr">
        <is>
          <t>WEB-GLOBAL-038</t>
        </is>
      </c>
      <c r="B168" s="28" t="inlineStr">
        <is>
          <t>—</t>
        </is>
      </c>
      <c r="C168" s="28" t="inlineStr">
        <is>
          <t>—</t>
        </is>
      </c>
      <c r="D168" s="28" t="inlineStr">
        <is>
          <t>—</t>
        </is>
      </c>
      <c r="E168" s="28" t="inlineStr">
        <is>
          <t>Global · Touch target below the minimum — MoSJE — MoSJE</t>
        </is>
      </c>
      <c r="F168" s="28" t="inlineStr">
        <is>
          <t>No fix required — this finding was withdrawn.</t>
        </is>
      </c>
      <c r="G168" s="28" t="n"/>
      <c r="H168" s="28" t="n"/>
      <c r="I168" s="28" t="inlineStr">
        <is>
          <t>Withdrawn</t>
        </is>
      </c>
      <c r="J168" s="28" t="n"/>
      <c r="K168" s="28" t="n"/>
      <c r="L168" s="28" t="inlineStr">
        <is>
          <t>WITHDRAWN: Merged into WEB-GLOBAL-111 / WEB-GLOBAL-110 / WEB-GLOBAL-112, which now carries this defect together with the others of the same kind — one fix, one row.</t>
        </is>
      </c>
      <c r="M168" s="28" t="inlineStr">
        <is>
          <t>—</t>
        </is>
      </c>
    </row>
    <row r="169">
      <c r="A169" s="27" t="inlineStr">
        <is>
          <t>WEB-GLOBAL-059</t>
        </is>
      </c>
      <c r="B169" s="28" t="inlineStr">
        <is>
          <t>—</t>
        </is>
      </c>
      <c r="C169" s="28" t="inlineStr">
        <is>
          <t>—</t>
        </is>
      </c>
      <c r="D169" s="28" t="inlineStr">
        <is>
          <t>—</t>
        </is>
      </c>
      <c r="E169" s="28" t="inlineStr">
        <is>
          <t>Global · Built value differs from the design — dr. virendra kumar — dr. virendra kumar</t>
        </is>
      </c>
      <c r="F169" s="28" t="inlineStr">
        <is>
          <t>No fix required — this finding was withdrawn.</t>
        </is>
      </c>
      <c r="G169" s="28" t="n"/>
      <c r="H169" s="28" t="n"/>
      <c r="I169" s="28" t="inlineStr">
        <is>
          <t>Withdrawn</t>
        </is>
      </c>
      <c r="J169" s="28" t="n"/>
      <c r="K169" s="28" t="n"/>
      <c r="L169" s="28" t="inlineStr">
        <is>
          <t>WITHDRAWN: Withdrawn: on the re-capture the design and build values could not both be proven on screen (the element was covered by the sticky header or not painted where the page says it is), so the comparison is not published.</t>
        </is>
      </c>
      <c r="M169" s="28" t="inlineStr">
        <is>
          <t>—</t>
        </is>
      </c>
    </row>
    <row r="170">
      <c r="A170" s="27" t="inlineStr">
        <is>
          <t>WEB-GLOBAL-022</t>
        </is>
      </c>
      <c r="B170" s="28" t="inlineStr">
        <is>
          <t>—</t>
        </is>
      </c>
      <c r="C170" s="28" t="inlineStr">
        <is>
          <t>—</t>
        </is>
      </c>
      <c r="D170" s="28" t="inlineStr">
        <is>
          <t>—</t>
        </is>
      </c>
      <c r="E170" s="28" t="inlineStr">
        <is>
          <t>Global · Text contrast below AA — Dr. Ambedkar International Centre (DAIC) — Dr. Ambedkar International Centre (DAIC)</t>
        </is>
      </c>
      <c r="F170" s="28" t="inlineStr">
        <is>
          <t>No fix required — this finding was withdrawn.</t>
        </is>
      </c>
      <c r="G170" s="28" t="n"/>
      <c r="H170" s="28" t="n"/>
      <c r="I170" s="28" t="inlineStr">
        <is>
          <t>Withdrawn</t>
        </is>
      </c>
      <c r="J170" s="28" t="n"/>
      <c r="K170" s="28" t="n"/>
      <c r="L170" s="28" t="inlineStr">
        <is>
          <t>WITHDRAWN: Merged into WEB-GLOBAL-092, which now carries this defect together with the others of the same kind — one fix, one row.</t>
        </is>
      </c>
      <c r="M170" s="28" t="inlineStr">
        <is>
          <t>—</t>
        </is>
      </c>
    </row>
    <row r="171">
      <c r="A171" s="27" t="inlineStr">
        <is>
          <t>WEB-GLOBAL-057</t>
        </is>
      </c>
      <c r="B171" s="28" t="inlineStr">
        <is>
          <t>—</t>
        </is>
      </c>
      <c r="C171" s="28" t="inlineStr">
        <is>
          <t>—</t>
        </is>
      </c>
      <c r="D171" s="28" t="inlineStr">
        <is>
          <t>—</t>
        </is>
      </c>
      <c r="E171" s="28" t="inlineStr">
        <is>
          <t>Global · Built value differs from the design — dr. virendra kumar — dr. virendra kumar</t>
        </is>
      </c>
      <c r="F171" s="28" t="inlineStr">
        <is>
          <t>No fix required — this finding was withdrawn.</t>
        </is>
      </c>
      <c r="G171" s="28" t="n"/>
      <c r="H171" s="28" t="n"/>
      <c r="I171" s="28" t="inlineStr">
        <is>
          <t>Withdrawn</t>
        </is>
      </c>
      <c r="J171" s="28" t="n"/>
      <c r="K171" s="28" t="n"/>
      <c r="L171" s="28" t="inlineStr">
        <is>
          <t>WITHDRAWN: Withdrawn: on the re-capture the design and build values could not both be proven on screen (the element was covered by the sticky header or not painted where the page says it is), so the comparison is not published.</t>
        </is>
      </c>
      <c r="M171" s="28" t="inlineStr">
        <is>
          <t>—</t>
        </is>
      </c>
    </row>
    <row r="172">
      <c r="A172" s="27" t="inlineStr">
        <is>
          <t>WEB-GLOBAL-035</t>
        </is>
      </c>
      <c r="B172" s="28" t="inlineStr">
        <is>
          <t>—</t>
        </is>
      </c>
      <c r="C172" s="28" t="inlineStr">
        <is>
          <t>—</t>
        </is>
      </c>
      <c r="D172" s="28" t="inlineStr">
        <is>
          <t>—</t>
        </is>
      </c>
      <c r="E172" s="28" t="inlineStr">
        <is>
          <t>Global · Touch target below the minimum — Transgender — Transgender</t>
        </is>
      </c>
      <c r="F172" s="28" t="inlineStr">
        <is>
          <t>No fix required — this finding was withdrawn.</t>
        </is>
      </c>
      <c r="G172" s="28" t="n"/>
      <c r="H172" s="28" t="n"/>
      <c r="I172" s="28" t="inlineStr">
        <is>
          <t>Withdrawn</t>
        </is>
      </c>
      <c r="J172" s="28" t="n"/>
      <c r="K172" s="28" t="n"/>
      <c r="L172" s="28" t="inlineStr">
        <is>
          <t>WITHDRAWN: Merged into WEB-GLOBAL-111 / WEB-GLOBAL-110 / WEB-GLOBAL-112, which now carries this defect together with the others of the same kind — one fix, one row.</t>
        </is>
      </c>
      <c r="M172" s="28" t="inlineStr">
        <is>
          <t>—</t>
        </is>
      </c>
    </row>
    <row r="173">
      <c r="A173" s="27" t="inlineStr">
        <is>
          <t>WEB-GLOBAL-041</t>
        </is>
      </c>
      <c r="B173" s="28" t="inlineStr">
        <is>
          <t>—</t>
        </is>
      </c>
      <c r="C173" s="28" t="inlineStr">
        <is>
          <t>—</t>
        </is>
      </c>
      <c r="D173" s="28" t="inlineStr">
        <is>
          <t>—</t>
        </is>
      </c>
      <c r="E173" s="28" t="inlineStr">
        <is>
          <t>Global · Touch target below the minimum — NBCFDC — NBCFDC</t>
        </is>
      </c>
      <c r="F173" s="28" t="inlineStr">
        <is>
          <t>No fix required — this finding was withdrawn.</t>
        </is>
      </c>
      <c r="G173" s="28" t="n"/>
      <c r="H173" s="28" t="n"/>
      <c r="I173" s="28" t="inlineStr">
        <is>
          <t>Withdrawn</t>
        </is>
      </c>
      <c r="J173" s="28" t="n"/>
      <c r="K173" s="28" t="n"/>
      <c r="L173" s="28" t="inlineStr">
        <is>
          <t>WITHDRAWN: Merged into WEB-GLOBAL-111 / WEB-GLOBAL-110 / WEB-GLOBAL-112, which now carries this defect together with the others of the same kind — one fix, one row.</t>
        </is>
      </c>
      <c r="M173" s="28" t="inlineStr">
        <is>
          <t>—</t>
        </is>
      </c>
    </row>
    <row r="174">
      <c r="A174" s="27" t="inlineStr">
        <is>
          <t>WEB-GLOBAL-034</t>
        </is>
      </c>
      <c r="B174" s="28" t="inlineStr">
        <is>
          <t>—</t>
        </is>
      </c>
      <c r="C174" s="28" t="inlineStr">
        <is>
          <t>—</t>
        </is>
      </c>
      <c r="D174" s="28" t="inlineStr">
        <is>
          <t>—</t>
        </is>
      </c>
      <c r="E174" s="28" t="inlineStr">
        <is>
          <t>Global · Touch target below the minimum — NCBC — NCBC</t>
        </is>
      </c>
      <c r="F174" s="28" t="inlineStr">
        <is>
          <t>No fix required — this finding was withdrawn.</t>
        </is>
      </c>
      <c r="G174" s="28" t="n"/>
      <c r="H174" s="28" t="n"/>
      <c r="I174" s="28" t="inlineStr">
        <is>
          <t>Withdrawn</t>
        </is>
      </c>
      <c r="J174" s="28" t="n"/>
      <c r="K174" s="28" t="n"/>
      <c r="L174" s="28" t="inlineStr">
        <is>
          <t>WITHDRAWN: Merged into WEB-GLOBAL-111 / WEB-GLOBAL-110 / WEB-GLOBAL-112, which now carries this defect together with the others of the same kind — one fix, one row.</t>
        </is>
      </c>
      <c r="M174" s="28" t="inlineStr">
        <is>
          <t>—</t>
        </is>
      </c>
    </row>
    <row r="175">
      <c r="A175" s="27" t="inlineStr">
        <is>
          <t>WEB-GLOBAL-036</t>
        </is>
      </c>
      <c r="B175" s="28" t="inlineStr">
        <is>
          <t>—</t>
        </is>
      </c>
      <c r="C175" s="28" t="inlineStr">
        <is>
          <t>—</t>
        </is>
      </c>
      <c r="D175" s="28" t="inlineStr">
        <is>
          <t>—</t>
        </is>
      </c>
      <c r="E175" s="28" t="inlineStr">
        <is>
          <t>Global · Touch target below the minimum — DAF — DAF</t>
        </is>
      </c>
      <c r="F175" s="28" t="inlineStr">
        <is>
          <t>No fix required — this finding was withdrawn.</t>
        </is>
      </c>
      <c r="G175" s="28" t="n"/>
      <c r="H175" s="28" t="n"/>
      <c r="I175" s="28" t="inlineStr">
        <is>
          <t>Withdrawn</t>
        </is>
      </c>
      <c r="J175" s="28" t="n"/>
      <c r="K175" s="28" t="n"/>
      <c r="L175" s="28" t="inlineStr">
        <is>
          <t>WITHDRAWN: Merged into WEB-GLOBAL-111 / WEB-GLOBAL-110 / WEB-GLOBAL-112, which now carries this defect together with the others of the same kind — one fix, one row.</t>
        </is>
      </c>
      <c r="M175" s="28" t="inlineStr">
        <is>
          <t>—</t>
        </is>
      </c>
    </row>
    <row r="176">
      <c r="A176" s="27" t="inlineStr">
        <is>
          <t>WEB-GLOBAL-037</t>
        </is>
      </c>
      <c r="B176" s="28" t="inlineStr">
        <is>
          <t>—</t>
        </is>
      </c>
      <c r="C176" s="28" t="inlineStr">
        <is>
          <t>—</t>
        </is>
      </c>
      <c r="D176" s="28" t="inlineStr">
        <is>
          <t>—</t>
        </is>
      </c>
      <c r="E176" s="28" t="inlineStr">
        <is>
          <t>Global · Touch target below the minimum — DAIC — DAIC</t>
        </is>
      </c>
      <c r="F176" s="28" t="inlineStr">
        <is>
          <t>No fix required — this finding was withdrawn.</t>
        </is>
      </c>
      <c r="G176" s="28" t="n"/>
      <c r="H176" s="28" t="n"/>
      <c r="I176" s="28" t="inlineStr">
        <is>
          <t>Withdrawn</t>
        </is>
      </c>
      <c r="J176" s="28" t="n"/>
      <c r="K176" s="28" t="n"/>
      <c r="L176" s="28" t="inlineStr">
        <is>
          <t>WITHDRAWN: Merged into WEB-GLOBAL-111 / WEB-GLOBAL-110 / WEB-GLOBAL-112, which now carries this defect together with the others of the same kind — one fix, one row.</t>
        </is>
      </c>
      <c r="M176" s="28" t="inlineStr">
        <is>
          <t>—</t>
        </is>
      </c>
    </row>
    <row r="177">
      <c r="A177" s="27" t="inlineStr">
        <is>
          <t>WEB-GLOBAL-039</t>
        </is>
      </c>
      <c r="B177" s="28" t="inlineStr">
        <is>
          <t>—</t>
        </is>
      </c>
      <c r="C177" s="28" t="inlineStr">
        <is>
          <t>—</t>
        </is>
      </c>
      <c r="D177" s="28" t="inlineStr">
        <is>
          <t>—</t>
        </is>
      </c>
      <c r="E177" s="28" t="inlineStr">
        <is>
          <t>Global · Touch target below the minimum — NSFDC — NSFDC</t>
        </is>
      </c>
      <c r="F177" s="28" t="inlineStr">
        <is>
          <t>No fix required — this finding was withdrawn.</t>
        </is>
      </c>
      <c r="G177" s="28" t="n"/>
      <c r="H177" s="28" t="n"/>
      <c r="I177" s="28" t="inlineStr">
        <is>
          <t>Withdrawn</t>
        </is>
      </c>
      <c r="J177" s="28" t="n"/>
      <c r="K177" s="28" t="n"/>
      <c r="L177" s="28" t="inlineStr">
        <is>
          <t>WITHDRAWN: Merged into WEB-GLOBAL-111 / WEB-GLOBAL-110 / WEB-GLOBAL-112, which now carries this defect together with the others of the same kind — one fix, one row.</t>
        </is>
      </c>
      <c r="M177" s="28" t="inlineStr">
        <is>
          <t>—</t>
        </is>
      </c>
    </row>
    <row r="178">
      <c r="A178" s="27" t="inlineStr">
        <is>
          <t>WEB-GLOBAL-040</t>
        </is>
      </c>
      <c r="B178" s="28" t="inlineStr">
        <is>
          <t>—</t>
        </is>
      </c>
      <c r="C178" s="28" t="inlineStr">
        <is>
          <t>—</t>
        </is>
      </c>
      <c r="D178" s="28" t="inlineStr">
        <is>
          <t>—</t>
        </is>
      </c>
      <c r="E178" s="28" t="inlineStr">
        <is>
          <t>Global · Touch target below the minimum — NMBA — NMBA</t>
        </is>
      </c>
      <c r="F178" s="28" t="inlineStr">
        <is>
          <t>No fix required — this finding was withdrawn.</t>
        </is>
      </c>
      <c r="G178" s="28" t="n"/>
      <c r="H178" s="28" t="n"/>
      <c r="I178" s="28" t="inlineStr">
        <is>
          <t>Withdrawn</t>
        </is>
      </c>
      <c r="J178" s="28" t="n"/>
      <c r="K178" s="28" t="n"/>
      <c r="L178" s="28" t="inlineStr">
        <is>
          <t>WITHDRAWN: Merged into WEB-GLOBAL-111 / WEB-GLOBAL-110 / WEB-GLOBAL-112, which now carries this defect together with the others of the same kind — one fix, one row.</t>
        </is>
      </c>
      <c r="M178" s="28" t="inlineStr">
        <is>
          <t>—</t>
        </is>
      </c>
    </row>
    <row r="179">
      <c r="A179" s="27" t="inlineStr">
        <is>
          <t>WEB-GLOBAL-043</t>
        </is>
      </c>
      <c r="B179" s="28" t="inlineStr">
        <is>
          <t>—</t>
        </is>
      </c>
      <c r="C179" s="28" t="inlineStr">
        <is>
          <t>—</t>
        </is>
      </c>
      <c r="D179" s="28" t="inlineStr">
        <is>
          <t>—</t>
        </is>
      </c>
      <c r="E179" s="28" t="inlineStr">
        <is>
          <t>Global · Touch target below the minimum — SCW — SCW</t>
        </is>
      </c>
      <c r="F179" s="28" t="inlineStr">
        <is>
          <t>No fix required — this finding was withdrawn.</t>
        </is>
      </c>
      <c r="G179" s="28" t="n"/>
      <c r="H179" s="28" t="n"/>
      <c r="I179" s="28" t="inlineStr">
        <is>
          <t>Withdrawn</t>
        </is>
      </c>
      <c r="J179" s="28" t="n"/>
      <c r="K179" s="28" t="n"/>
      <c r="L179" s="28" t="inlineStr">
        <is>
          <t>WITHDRAWN: Merged into WEB-GLOBAL-111 / WEB-GLOBAL-110 / WEB-GLOBAL-112, which now carries this defect together with the others of the same kind — one fix, one row.</t>
        </is>
      </c>
      <c r="M179" s="28" t="inlineStr">
        <is>
          <t>—</t>
        </is>
      </c>
    </row>
    <row r="180">
      <c r="A180" s="27" t="inlineStr">
        <is>
          <t>WEB-GLOBAL-042</t>
        </is>
      </c>
      <c r="B180" s="28" t="inlineStr">
        <is>
          <t>—</t>
        </is>
      </c>
      <c r="C180" s="28" t="inlineStr">
        <is>
          <t>—</t>
        </is>
      </c>
      <c r="D180" s="28" t="inlineStr">
        <is>
          <t>—</t>
        </is>
      </c>
      <c r="E180" s="28" t="inlineStr">
        <is>
          <t>Global · Touch target below the minimum — NSKFDC — NSKFDC</t>
        </is>
      </c>
      <c r="F180" s="28" t="inlineStr">
        <is>
          <t>No fix required — this finding was withdrawn.</t>
        </is>
      </c>
      <c r="G180" s="28" t="n"/>
      <c r="H180" s="28" t="n"/>
      <c r="I180" s="28" t="inlineStr">
        <is>
          <t>Withdrawn</t>
        </is>
      </c>
      <c r="J180" s="28" t="n"/>
      <c r="K180" s="28" t="n"/>
      <c r="L180" s="28" t="inlineStr">
        <is>
          <t>WITHDRAWN: Merged into WEB-GLOBAL-111 / WEB-GLOBAL-110 / WEB-GLOBAL-112, which now carries this defect together with the others of the same kind — one fix, one row.</t>
        </is>
      </c>
      <c r="M180" s="28" t="inlineStr">
        <is>
          <t>—</t>
        </is>
      </c>
    </row>
    <row r="181">
      <c r="A181" s="27" t="inlineStr">
        <is>
          <t>WEB-GLOBAL-023</t>
        </is>
      </c>
      <c r="B181" s="28" t="inlineStr">
        <is>
          <t>—</t>
        </is>
      </c>
      <c r="C181" s="28" t="inlineStr">
        <is>
          <t>—</t>
        </is>
      </c>
      <c r="D181" s="28" t="inlineStr">
        <is>
          <t>—</t>
        </is>
      </c>
      <c r="E181" s="28" t="inlineStr">
        <is>
          <t>Global · Text contrast below AA — Dr. Swati S. Mishra — Dr. Swati S. Mishra</t>
        </is>
      </c>
      <c r="F181" s="28" t="inlineStr">
        <is>
          <t>No fix required — this finding was withdrawn.</t>
        </is>
      </c>
      <c r="G181" s="28" t="n"/>
      <c r="H181" s="28" t="n"/>
      <c r="I181" s="28" t="inlineStr">
        <is>
          <t>Withdrawn</t>
        </is>
      </c>
      <c r="J181" s="28" t="n"/>
      <c r="K181" s="28" t="n"/>
      <c r="L181" s="28" t="inlineStr">
        <is>
          <t>WITHDRAWN: Merged into WEB-GLOBAL-092, which now carries this defect together with the others of the same kind — one fix, one row.</t>
        </is>
      </c>
      <c r="M181" s="28" t="inlineStr">
        <is>
          <t>—</t>
        </is>
      </c>
    </row>
    <row r="182">
      <c r="A182" s="27" t="inlineStr">
        <is>
          <t>WEB-GLOBAL-044</t>
        </is>
      </c>
      <c r="B182" s="28" t="inlineStr">
        <is>
          <t>—</t>
        </is>
      </c>
      <c r="C182" s="28" t="inlineStr">
        <is>
          <t>—</t>
        </is>
      </c>
      <c r="D182" s="28" t="inlineStr">
        <is>
          <t>—</t>
        </is>
      </c>
      <c r="E182" s="28" t="inlineStr">
        <is>
          <t>Global · Touch target below the minimum — DAIC — DAIC</t>
        </is>
      </c>
      <c r="F182" s="28" t="inlineStr">
        <is>
          <t>No fix required — this finding was withdrawn.</t>
        </is>
      </c>
      <c r="G182" s="28" t="n"/>
      <c r="H182" s="28" t="n"/>
      <c r="I182" s="28" t="inlineStr">
        <is>
          <t>Withdrawn</t>
        </is>
      </c>
      <c r="J182" s="28" t="n"/>
      <c r="K182" s="28" t="n"/>
      <c r="L182" s="28" t="inlineStr">
        <is>
          <t>WITHDRAWN: Merged into WEB-GLOBAL-111 / WEB-GLOBAL-110 / WEB-GLOBAL-112, which now carries this defect together with the others of the same kind — one fix, one row.</t>
        </is>
      </c>
      <c r="M182" s="28" t="inlineStr">
        <is>
          <t>—</t>
        </is>
      </c>
    </row>
    <row r="183">
      <c r="A183" s="27" t="inlineStr">
        <is>
          <t>WEB-GLOBAL-061</t>
        </is>
      </c>
      <c r="B183" s="28" t="inlineStr">
        <is>
          <t>—</t>
        </is>
      </c>
      <c r="C183" s="28" t="inlineStr">
        <is>
          <t>—</t>
        </is>
      </c>
      <c r="D183" s="28" t="inlineStr">
        <is>
          <t>—</t>
        </is>
      </c>
      <c r="E183" s="28" t="inlineStr">
        <is>
          <t>Global · Built value differs from the design — mos3-msje[at]gov[dot]in — mos3-msje[at]gov[dot]in</t>
        </is>
      </c>
      <c r="F183" s="28" t="inlineStr">
        <is>
          <t>No fix required — this finding was withdrawn.</t>
        </is>
      </c>
      <c r="G183" s="28" t="n"/>
      <c r="H183" s="28" t="n"/>
      <c r="I183" s="28" t="inlineStr">
        <is>
          <t>Withdrawn</t>
        </is>
      </c>
      <c r="J183" s="28" t="n"/>
      <c r="K183" s="28" t="n"/>
      <c r="L183" s="28" t="inlineStr">
        <is>
          <t>WITHDRAWN: Withdrawn: on the re-capture the design and build values could not both be proven on screen (the element was covered by the sticky header or not painted where the page says it is), so the comparison is not published.</t>
        </is>
      </c>
      <c r="M183" s="28" t="inlineStr">
        <is>
          <t>—</t>
        </is>
      </c>
    </row>
    <row r="184">
      <c r="A184" s="27" t="inlineStr">
        <is>
          <t>WEB-GLOBAL-053</t>
        </is>
      </c>
      <c r="B184" s="28" t="inlineStr">
        <is>
          <t>—</t>
        </is>
      </c>
      <c r="C184" s="28" t="inlineStr">
        <is>
          <t>—</t>
        </is>
      </c>
      <c r="D184" s="28" t="inlineStr">
        <is>
          <t>—</t>
        </is>
      </c>
      <c r="E184" s="28" t="inlineStr">
        <is>
          <t>Global · Content in the design is not in the build — target group — target group</t>
        </is>
      </c>
      <c r="F184" s="28" t="inlineStr">
        <is>
          <t>No fix required — this finding was withdrawn.</t>
        </is>
      </c>
      <c r="G184" s="28" t="n"/>
      <c r="H184" s="28" t="n"/>
      <c r="I184" s="28" t="inlineStr">
        <is>
          <t>Withdrawn</t>
        </is>
      </c>
      <c r="J184" s="28" t="n"/>
      <c r="K184" s="28" t="n"/>
      <c r="L184" s="28" t="inlineStr">
        <is>
          <t>WITHDRAWN: Withdrawn: the design text is sample content in a repeated list or data field — names, e-mail addresses, dates, figures, event or album titles — which the live page fills with real entries. It is different data, not missing interface copy.</t>
        </is>
      </c>
      <c r="M184" s="28" t="inlineStr">
        <is>
          <t>—</t>
        </is>
      </c>
    </row>
    <row r="185">
      <c r="A185" s="27" t="inlineStr">
        <is>
          <t>WEB-GLOBAL-050</t>
        </is>
      </c>
      <c r="B185" s="28" t="inlineStr">
        <is>
          <t>—</t>
        </is>
      </c>
      <c r="C185" s="28" t="inlineStr">
        <is>
          <t>—</t>
        </is>
      </c>
      <c r="D185" s="28" t="inlineStr">
        <is>
          <t>—</t>
        </is>
      </c>
      <c r="E185" s="28" t="inlineStr">
        <is>
          <t>Global · Content in the design is not in the build — sort by recently added — sort by recently added</t>
        </is>
      </c>
      <c r="F185" s="28" t="inlineStr">
        <is>
          <t>No fix required — this finding was withdrawn.</t>
        </is>
      </c>
      <c r="G185" s="28" t="n"/>
      <c r="H185" s="28" t="n"/>
      <c r="I185" s="28" t="inlineStr">
        <is>
          <t>Withdrawn</t>
        </is>
      </c>
      <c r="J185" s="28" t="n"/>
      <c r="K185" s="28" t="n"/>
      <c r="L185" s="28" t="inlineStr">
        <is>
          <t>WITHDRAWN: Withdrawn: the design text is sample content in a repeated list or data field — names, e-mail addresses, dates, figures, event or album titles — which the live page fills with real entries. It is different data, not missing interface copy.</t>
        </is>
      </c>
      <c r="M185" s="28" t="inlineStr">
        <is>
          <t>—</t>
        </is>
      </c>
    </row>
    <row r="186">
      <c r="A186" s="27" t="inlineStr">
        <is>
          <t>WEB-GLOBAL-066</t>
        </is>
      </c>
      <c r="B186" s="28" t="inlineStr">
        <is>
          <t>—</t>
        </is>
      </c>
      <c r="C186" s="28" t="inlineStr">
        <is>
          <t>—</t>
        </is>
      </c>
      <c r="D186" s="28" t="inlineStr">
        <is>
          <t>—</t>
        </is>
      </c>
      <c r="E186" s="28" t="inlineStr">
        <is>
          <t>Global · Automated accessibility violation — heading-order — heading-order</t>
        </is>
      </c>
      <c r="F186" s="28" t="inlineStr">
        <is>
          <t>No fix required — this finding was withdrawn.</t>
        </is>
      </c>
      <c r="G186" s="28" t="n"/>
      <c r="H186" s="28" t="n"/>
      <c r="I186" s="28" t="inlineStr">
        <is>
          <t>Withdrawn</t>
        </is>
      </c>
      <c r="J186" s="28" t="n"/>
      <c r="K186" s="28" t="n"/>
      <c r="L186" s="28" t="inlineStr">
        <is>
          <t>WITHDRAWN: Not reproduced on the re-capture of 18 September 2026.</t>
        </is>
      </c>
      <c r="M186" s="28" t="inlineStr">
        <is>
          <t>—</t>
        </is>
      </c>
    </row>
    <row r="187">
      <c r="A187" s="27" t="inlineStr">
        <is>
          <t>WEB-GLOBAL-084</t>
        </is>
      </c>
      <c r="B187" s="28" t="inlineStr">
        <is>
          <t>—</t>
        </is>
      </c>
      <c r="C187" s="28" t="inlineStr">
        <is>
          <t>—</t>
        </is>
      </c>
      <c r="D187" s="28" t="inlineStr">
        <is>
          <t>—</t>
        </is>
      </c>
      <c r="E187" s="28" t="inlineStr">
        <is>
          <t>Global · The four audience pages share one description — Audience page standfirst — Audience page standfirst</t>
        </is>
      </c>
      <c r="F187" s="28" t="inlineStr">
        <is>
          <t>No fix required — this finding was withdrawn.</t>
        </is>
      </c>
      <c r="G187" s="28" t="n"/>
      <c r="H187" s="28" t="n"/>
      <c r="I187" s="28" t="inlineStr">
        <is>
          <t>Withdrawn</t>
        </is>
      </c>
      <c r="J187" s="28" t="n"/>
      <c r="K187" s="28" t="n"/>
      <c r="L187" s="28" t="inlineStr">
        <is>
          <t>WITHDRAWN: Merged into WEB-SCREEN-356, which now carries this defect together with the others of the same kind — one fix, one row.</t>
        </is>
      </c>
      <c r="M187" s="28" t="inlineStr">
        <is>
          <t>—</t>
        </is>
      </c>
    </row>
    <row r="188">
      <c r="A188" s="27" t="inlineStr">
        <is>
          <t>WEB-SCREEN-061</t>
        </is>
      </c>
      <c r="B188" s="28" t="inlineStr">
        <is>
          <t>—</t>
        </is>
      </c>
      <c r="C188" s="28" t="inlineStr">
        <is>
          <t>—</t>
        </is>
      </c>
      <c r="D188" s="28" t="inlineStr">
        <is>
          <t>—</t>
        </is>
      </c>
      <c r="E188" s="28" t="inlineStr">
        <is>
          <t>About Us · desktop — discover the initiatives that drive national efforts to adva</t>
        </is>
      </c>
      <c r="F188" s="28" t="inlineStr">
        <is>
          <t>No fix required — this finding was withdrawn.</t>
        </is>
      </c>
      <c r="G188" s="28" t="n"/>
      <c r="H188" s="28" t="n"/>
      <c r="I188" s="28" t="inlineStr">
        <is>
          <t>Withdrawn</t>
        </is>
      </c>
      <c r="J188" s="28" t="n"/>
      <c r="K188" s="28" t="n"/>
      <c r="L188" s="28" t="inlineStr">
        <is>
          <t>WITHDRAWN: Withdrawn: the design text is sample content in a repeated list or data field — names, e-mail addresses, dates, figures, event or album titles — which the live page fills with real entries. It is different data, not missing interface copy.</t>
        </is>
      </c>
      <c r="M188" s="28" t="inlineStr">
        <is>
          <t>—</t>
        </is>
      </c>
    </row>
    <row r="189">
      <c r="A189" s="27" t="inlineStr">
        <is>
          <t>WEB-SCREEN-072</t>
        </is>
      </c>
      <c r="B189" s="28" t="inlineStr">
        <is>
          <t>—</t>
        </is>
      </c>
      <c r="C189" s="28" t="inlineStr">
        <is>
          <t>—</t>
        </is>
      </c>
      <c r="D189" s="28" t="inlineStr">
        <is>
          <t>—</t>
        </is>
      </c>
      <c r="E189" s="28" t="inlineStr">
        <is>
          <t xml:space="preserve">About Us · desktop — the department of social justice &amp; empowerment is entrusted </t>
        </is>
      </c>
      <c r="F189" s="28" t="inlineStr">
        <is>
          <t>No fix required — this finding was withdrawn.</t>
        </is>
      </c>
      <c r="G189" s="28" t="n"/>
      <c r="H189" s="28" t="n"/>
      <c r="I189" s="28" t="inlineStr">
        <is>
          <t>Withdrawn</t>
        </is>
      </c>
      <c r="J189" s="28" t="n"/>
      <c r="K189" s="28" t="n"/>
      <c r="L189" s="28" t="inlineStr">
        <is>
          <t>WITHDRAWN: Withdrawn: the design text is sample content in a repeated list or data field — names, e-mail addresses, dates, figures, event or album titles — which the live page fills with real entries. It is different data, not missing interface copy.</t>
        </is>
      </c>
      <c r="M189" s="28" t="inlineStr">
        <is>
          <t>—</t>
        </is>
      </c>
    </row>
    <row r="190">
      <c r="A190" s="27" t="inlineStr">
        <is>
          <t>WEB-SCREEN-074</t>
        </is>
      </c>
      <c r="B190" s="28" t="inlineStr">
        <is>
          <t>—</t>
        </is>
      </c>
      <c r="C190" s="28" t="inlineStr">
        <is>
          <t>—</t>
        </is>
      </c>
      <c r="D190" s="28" t="inlineStr">
        <is>
          <t>—</t>
        </is>
      </c>
      <c r="E190" s="28" t="inlineStr">
        <is>
          <t>About Us · desktop — the ministry has been implementing various programmes/scheme</t>
        </is>
      </c>
      <c r="F190" s="28" t="inlineStr">
        <is>
          <t>No fix required — this finding was withdrawn.</t>
        </is>
      </c>
      <c r="G190" s="28" t="n"/>
      <c r="H190" s="28" t="n"/>
      <c r="I190" s="28" t="inlineStr">
        <is>
          <t>Withdrawn</t>
        </is>
      </c>
      <c r="J190" s="28" t="n"/>
      <c r="K190" s="28" t="n"/>
      <c r="L190" s="28" t="inlineStr">
        <is>
          <t>WITHDRAWN: Withdrawn: the design text is sample content in a repeated list or data field — names, e-mail addresses, dates, figures, event or album titles — which the live page fills with real entries. It is different data, not missing interface copy.</t>
        </is>
      </c>
      <c r="M190" s="28" t="inlineStr">
        <is>
          <t>—</t>
        </is>
      </c>
    </row>
    <row r="191">
      <c r="A191" s="27" t="inlineStr">
        <is>
          <t>WEB-SCREEN-063</t>
        </is>
      </c>
      <c r="B191" s="28" t="inlineStr">
        <is>
          <t>—</t>
        </is>
      </c>
      <c r="C191" s="28" t="inlineStr">
        <is>
          <t>—</t>
        </is>
      </c>
      <c r="D191" s="28" t="inlineStr">
        <is>
          <t>—</t>
        </is>
      </c>
      <c r="E191" s="28" t="inlineStr">
        <is>
          <t>About Us · desktop — in the year 1985-86, the erstwhile ministry of welfare was b</t>
        </is>
      </c>
      <c r="F191" s="28" t="inlineStr">
        <is>
          <t>No fix required — this finding was withdrawn.</t>
        </is>
      </c>
      <c r="G191" s="28" t="n"/>
      <c r="H191" s="28" t="n"/>
      <c r="I191" s="28" t="inlineStr">
        <is>
          <t>Withdrawn</t>
        </is>
      </c>
      <c r="J191" s="28" t="n"/>
      <c r="K191" s="28" t="n"/>
      <c r="L191" s="28" t="inlineStr">
        <is>
          <t>WITHDRAWN: Withdrawn: the design text is sample content in a repeated list or data field — names, e-mail addresses, dates, figures, event or album titles — which the live page fills with real entries. It is different data, not missing interface copy.</t>
        </is>
      </c>
      <c r="M191" s="28" t="inlineStr">
        <is>
          <t>—</t>
        </is>
      </c>
    </row>
    <row r="192">
      <c r="A192" s="27" t="inlineStr">
        <is>
          <t>WEB-SCREEN-062</t>
        </is>
      </c>
      <c r="B192" s="28" t="inlineStr">
        <is>
          <t>—</t>
        </is>
      </c>
      <c r="C192" s="28" t="inlineStr">
        <is>
          <t>—</t>
        </is>
      </c>
      <c r="D192" s="28" t="inlineStr">
        <is>
          <t>—</t>
        </is>
      </c>
      <c r="E192" s="28" t="inlineStr">
        <is>
          <t>About Us · desktop — in january, 2007, the minorities division along with wakf un</t>
        </is>
      </c>
      <c r="F192" s="28" t="inlineStr">
        <is>
          <t>No fix required — this finding was withdrawn.</t>
        </is>
      </c>
      <c r="G192" s="28" t="n"/>
      <c r="H192" s="28" t="n"/>
      <c r="I192" s="28" t="inlineStr">
        <is>
          <t>Withdrawn</t>
        </is>
      </c>
      <c r="J192" s="28" t="n"/>
      <c r="K192" s="28" t="n"/>
      <c r="L192" s="28" t="inlineStr">
        <is>
          <t>WITHDRAWN: Withdrawn: the design text is sample content in a repeated list or data field — names, e-mail addresses, dates, figures, event or album titles — which the live page fills with real entries. It is different data, not missing interface copy.</t>
        </is>
      </c>
      <c r="M192" s="28" t="inlineStr">
        <is>
          <t>—</t>
        </is>
      </c>
    </row>
    <row r="193">
      <c r="A193" s="27" t="inlineStr">
        <is>
          <t>WEB-SCREEN-065</t>
        </is>
      </c>
      <c r="B193" s="28" t="inlineStr">
        <is>
          <t>—</t>
        </is>
      </c>
      <c r="C193" s="28" t="inlineStr">
        <is>
          <t>—</t>
        </is>
      </c>
      <c r="D193" s="28" t="inlineStr">
        <is>
          <t>—</t>
        </is>
      </c>
      <c r="E193" s="28" t="inlineStr">
        <is>
          <t>About Us · mobile — mrs. caralyn khongwar deshmukh, as</t>
        </is>
      </c>
      <c r="F193" s="28" t="inlineStr">
        <is>
          <t>No fix required — this finding was withdrawn.</t>
        </is>
      </c>
      <c r="G193" s="28" t="n"/>
      <c r="H193" s="28" t="n"/>
      <c r="I193" s="28" t="inlineStr">
        <is>
          <t>Withdrawn</t>
        </is>
      </c>
      <c r="J193" s="28" t="n"/>
      <c r="K193" s="28" t="n"/>
      <c r="L193" s="28" t="inlineStr">
        <is>
          <t>WITHDRAWN: Withdrawn: the design text is sample content in a repeated list or data field — names, e-mail addresses, dates, figures, event or album titles — which the live page fills with real entries. It is different data, not missing interface copy.</t>
        </is>
      </c>
      <c r="M193" s="28" t="inlineStr">
        <is>
          <t>—</t>
        </is>
      </c>
    </row>
    <row r="194">
      <c r="A194" s="27" t="inlineStr">
        <is>
          <t>WEB-SCREEN-064</t>
        </is>
      </c>
      <c r="B194" s="28" t="inlineStr">
        <is>
          <t>—</t>
        </is>
      </c>
      <c r="C194" s="28" t="inlineStr">
        <is>
          <t>—</t>
        </is>
      </c>
      <c r="D194" s="28" t="inlineStr">
        <is>
          <t>—</t>
        </is>
      </c>
      <c r="E194" s="28" t="inlineStr">
        <is>
          <t>About Us · mobile — matters related to the national scheduled castes finance and</t>
        </is>
      </c>
      <c r="F194" s="28" t="inlineStr">
        <is>
          <t>No fix required — this finding was withdrawn.</t>
        </is>
      </c>
      <c r="G194" s="28" t="n"/>
      <c r="H194" s="28" t="n"/>
      <c r="I194" s="28" t="inlineStr">
        <is>
          <t>Withdrawn</t>
        </is>
      </c>
      <c r="J194" s="28" t="n"/>
      <c r="K194" s="28" t="n"/>
      <c r="L194" s="28" t="inlineStr">
        <is>
          <t>WITHDRAWN: Withdrawn: the design text is sample content in a repeated list or data field — names, e-mail addresses, dates, figures, event or album titles — which the live page fills with real entries. It is different data, not missing interface copy.</t>
        </is>
      </c>
      <c r="M194" s="28" t="inlineStr">
        <is>
          <t>—</t>
        </is>
      </c>
    </row>
    <row r="195">
      <c r="A195" s="27" t="inlineStr">
        <is>
          <t>WEB-SCREEN-070</t>
        </is>
      </c>
      <c r="B195" s="28" t="inlineStr">
        <is>
          <t>—</t>
        </is>
      </c>
      <c r="C195" s="28" t="inlineStr">
        <is>
          <t>—</t>
        </is>
      </c>
      <c r="D195" s="28" t="inlineStr">
        <is>
          <t>—</t>
        </is>
      </c>
      <c r="E195" s="28" t="inlineStr">
        <is>
          <t>About Us · mobile — shri biswaranjan sasmal, as</t>
        </is>
      </c>
      <c r="F195" s="28" t="inlineStr">
        <is>
          <t>No fix required — this finding was withdrawn.</t>
        </is>
      </c>
      <c r="G195" s="28" t="n"/>
      <c r="H195" s="28" t="n"/>
      <c r="I195" s="28" t="inlineStr">
        <is>
          <t>Withdrawn</t>
        </is>
      </c>
      <c r="J195" s="28" t="n"/>
      <c r="K195" s="28" t="n"/>
      <c r="L195" s="28" t="inlineStr">
        <is>
          <t>WITHDRAWN: Withdrawn: the design text is sample content in a repeated list or data field — names, e-mail addresses, dates, figures, event or album titles — which the live page fills with real entries. It is different data, not missing interface copy.</t>
        </is>
      </c>
      <c r="M195" s="28" t="inlineStr">
        <is>
          <t>—</t>
        </is>
      </c>
    </row>
    <row r="196">
      <c r="A196" s="27" t="inlineStr">
        <is>
          <t>WEB-SCREEN-066</t>
        </is>
      </c>
      <c r="B196" s="28" t="inlineStr">
        <is>
          <t>—</t>
        </is>
      </c>
      <c r="C196" s="28" t="inlineStr">
        <is>
          <t>—</t>
        </is>
      </c>
      <c r="D196" s="28" t="inlineStr">
        <is>
          <t>—</t>
        </is>
      </c>
      <c r="E196" s="28" t="inlineStr">
        <is>
          <t>About Us · mobile — mrs. yogita swaroop, sr. ea</t>
        </is>
      </c>
      <c r="F196" s="28" t="inlineStr">
        <is>
          <t>No fix required — this finding was withdrawn.</t>
        </is>
      </c>
      <c r="G196" s="28" t="n"/>
      <c r="H196" s="28" t="n"/>
      <c r="I196" s="28" t="inlineStr">
        <is>
          <t>Withdrawn</t>
        </is>
      </c>
      <c r="J196" s="28" t="n"/>
      <c r="K196" s="28" t="n"/>
      <c r="L196" s="28" t="inlineStr">
        <is>
          <t>WITHDRAWN: Withdrawn: the design text is sample content in a repeated list or data field — names, e-mail addresses, dates, figures, event or album titles — which the live page fills with real entries. It is different data, not missing interface copy.</t>
        </is>
      </c>
      <c r="M196" s="28" t="inlineStr">
        <is>
          <t>—</t>
        </is>
      </c>
    </row>
    <row r="197">
      <c r="A197" s="27" t="inlineStr">
        <is>
          <t>WEB-SCREEN-067</t>
        </is>
      </c>
      <c r="B197" s="28" t="inlineStr">
        <is>
          <t>—</t>
        </is>
      </c>
      <c r="C197" s="28" t="inlineStr">
        <is>
          <t>—</t>
        </is>
      </c>
      <c r="D197" s="28" t="inlineStr">
        <is>
          <t>—</t>
        </is>
      </c>
      <c r="E197" s="28" t="inlineStr">
        <is>
          <t>About Us · mobile — ms. latha ganapathy, js</t>
        </is>
      </c>
      <c r="F197" s="28" t="inlineStr">
        <is>
          <t>No fix required — this finding was withdrawn.</t>
        </is>
      </c>
      <c r="G197" s="28" t="n"/>
      <c r="H197" s="28" t="n"/>
      <c r="I197" s="28" t="inlineStr">
        <is>
          <t>Withdrawn</t>
        </is>
      </c>
      <c r="J197" s="28" t="n"/>
      <c r="K197" s="28" t="n"/>
      <c r="L197" s="28" t="inlineStr">
        <is>
          <t>WITHDRAWN: Withdrawn: the design text is sample content in a repeated list or data field — names, e-mail addresses, dates, figures, event or album titles — which the live page fills with real entries. It is different data, not missing interface copy.</t>
        </is>
      </c>
      <c r="M197" s="28" t="inlineStr">
        <is>
          <t>—</t>
        </is>
      </c>
    </row>
    <row r="198">
      <c r="A198" s="27" t="inlineStr">
        <is>
          <t>WEB-SCREEN-025</t>
        </is>
      </c>
      <c r="B198" s="28" t="inlineStr">
        <is>
          <t>—</t>
        </is>
      </c>
      <c r="C198" s="28" t="inlineStr">
        <is>
          <t>—</t>
        </is>
      </c>
      <c r="D198" s="28" t="inlineStr">
        <is>
          <t>—</t>
        </is>
      </c>
      <c r="E198" s="28" t="inlineStr">
        <is>
          <t>Acts Rules · mobile — NHAA</t>
        </is>
      </c>
      <c r="F198" s="28" t="inlineStr">
        <is>
          <t>No fix required — this finding was withdrawn.</t>
        </is>
      </c>
      <c r="G198" s="28" t="n"/>
      <c r="H198" s="28" t="n"/>
      <c r="I198" s="28" t="inlineStr">
        <is>
          <t>Withdrawn</t>
        </is>
      </c>
      <c r="J198" s="28" t="n"/>
      <c r="K198" s="28" t="n"/>
      <c r="L198" s="28" t="inlineStr">
        <is>
          <t>WITHDRAWN: Merged into WEB-GLOBAL-111 / WEB-GLOBAL-110 / WEB-GLOBAL-112, which now carries this defect together with the others of the same kind — one fix, one row.</t>
        </is>
      </c>
      <c r="M198" s="28" t="inlineStr">
        <is>
          <t>—</t>
        </is>
      </c>
    </row>
    <row r="199">
      <c r="A199" s="27" t="inlineStr">
        <is>
          <t>WEB-SCREEN-079</t>
        </is>
      </c>
      <c r="B199" s="28" t="inlineStr">
        <is>
          <t>—</t>
        </is>
      </c>
      <c r="C199" s="28" t="inlineStr">
        <is>
          <t>—</t>
        </is>
      </c>
      <c r="D199" s="28" t="inlineStr">
        <is>
          <t>—</t>
        </is>
      </c>
      <c r="E199" s="28" t="inlineStr">
        <is>
          <t>Annual Reports · desktop — access official reports released by the commission and its a</t>
        </is>
      </c>
      <c r="F199" s="28" t="inlineStr">
        <is>
          <t>No fix required — this finding was withdrawn.</t>
        </is>
      </c>
      <c r="G199" s="28" t="n"/>
      <c r="H199" s="28" t="n"/>
      <c r="I199" s="28" t="inlineStr">
        <is>
          <t>Withdrawn</t>
        </is>
      </c>
      <c r="J199" s="28" t="n"/>
      <c r="K199" s="28" t="n"/>
      <c r="L199" s="28" t="inlineStr">
        <is>
          <t>WITHDRAWN: Merged into WEB-GLOBAL-114, which now carries this defect together with the others of the same kind — one fix, one row.</t>
        </is>
      </c>
      <c r="M199" s="28" t="inlineStr">
        <is>
          <t>—</t>
        </is>
      </c>
    </row>
    <row r="200">
      <c r="A200" s="27" t="inlineStr">
        <is>
          <t>WEB-SCREEN-080</t>
        </is>
      </c>
      <c r="B200" s="28" t="inlineStr">
        <is>
          <t>—</t>
        </is>
      </c>
      <c r="C200" s="28" t="inlineStr">
        <is>
          <t>—</t>
        </is>
      </c>
      <c r="D200" s="28" t="inlineStr">
        <is>
          <t>—</t>
        </is>
      </c>
      <c r="E200" s="28" t="inlineStr">
        <is>
          <t>Annual Reports · desktop — download all reports</t>
        </is>
      </c>
      <c r="F200" s="28" t="inlineStr">
        <is>
          <t>No fix required — this finding was withdrawn.</t>
        </is>
      </c>
      <c r="G200" s="28" t="n"/>
      <c r="H200" s="28" t="n"/>
      <c r="I200" s="28" t="inlineStr">
        <is>
          <t>Withdrawn</t>
        </is>
      </c>
      <c r="J200" s="28" t="n"/>
      <c r="K200" s="28" t="n"/>
      <c r="L200" s="28" t="inlineStr">
        <is>
          <t>WITHDRAWN: Withdrawn: the design text is sample content in a repeated list or data field — names, e-mail addresses, dates, figures, event or album titles — which the live page fills with real entries. It is different data, not missing interface copy.</t>
        </is>
      </c>
      <c r="M200" s="28" t="inlineStr">
        <is>
          <t>—</t>
        </is>
      </c>
    </row>
    <row r="201">
      <c r="A201" s="27" t="inlineStr">
        <is>
          <t>WEB-SCREEN-027</t>
        </is>
      </c>
      <c r="B201" s="28" t="inlineStr">
        <is>
          <t>—</t>
        </is>
      </c>
      <c r="C201" s="28" t="inlineStr">
        <is>
          <t>—</t>
        </is>
      </c>
      <c r="D201" s="28" t="inlineStr">
        <is>
          <t>—</t>
        </is>
      </c>
      <c r="E201" s="28" t="inlineStr">
        <is>
          <t>Annual Reports · mobile — NISD</t>
        </is>
      </c>
      <c r="F201" s="28" t="inlineStr">
        <is>
          <t>No fix required — this finding was withdrawn.</t>
        </is>
      </c>
      <c r="G201" s="28" t="n"/>
      <c r="H201" s="28" t="n"/>
      <c r="I201" s="28" t="inlineStr">
        <is>
          <t>Withdrawn</t>
        </is>
      </c>
      <c r="J201" s="28" t="n"/>
      <c r="K201" s="28" t="n"/>
      <c r="L201" s="28" t="inlineStr">
        <is>
          <t>WITHDRAWN: Merged into WEB-GLOBAL-111 / WEB-GLOBAL-110 / WEB-GLOBAL-112, which now carries this defect together with the others of the same kind — one fix, one row.</t>
        </is>
      </c>
      <c r="M201" s="28" t="inlineStr">
        <is>
          <t>—</t>
        </is>
      </c>
    </row>
    <row r="202">
      <c r="A202" s="27" t="inlineStr">
        <is>
          <t>WEB-SCREEN-026</t>
        </is>
      </c>
      <c r="B202" s="28" t="inlineStr">
        <is>
          <t>—</t>
        </is>
      </c>
      <c r="C202" s="28" t="inlineStr">
        <is>
          <t>—</t>
        </is>
      </c>
      <c r="D202" s="28" t="inlineStr">
        <is>
          <t>—</t>
        </is>
      </c>
      <c r="E202" s="28" t="inlineStr">
        <is>
          <t>Annual Reports · mobile — BJRNF</t>
        </is>
      </c>
      <c r="F202" s="28" t="inlineStr">
        <is>
          <t>No fix required — this finding was withdrawn.</t>
        </is>
      </c>
      <c r="G202" s="28" t="n"/>
      <c r="H202" s="28" t="n"/>
      <c r="I202" s="28" t="inlineStr">
        <is>
          <t>Withdrawn</t>
        </is>
      </c>
      <c r="J202" s="28" t="n"/>
      <c r="K202" s="28" t="n"/>
      <c r="L202" s="28" t="inlineStr">
        <is>
          <t>WITHDRAWN: Merged into WEB-GLOBAL-111 / WEB-GLOBAL-110 / WEB-GLOBAL-112, which now carries this defect together with the others of the same kind — one fix, one row.</t>
        </is>
      </c>
      <c r="M202" s="28" t="inlineStr">
        <is>
          <t>—</t>
        </is>
      </c>
    </row>
    <row r="203">
      <c r="A203" s="27" t="inlineStr">
        <is>
          <t>WEB-SCREEN-028</t>
        </is>
      </c>
      <c r="B203" s="28" t="inlineStr">
        <is>
          <t>—</t>
        </is>
      </c>
      <c r="C203" s="28" t="inlineStr">
        <is>
          <t>—</t>
        </is>
      </c>
      <c r="D203" s="28" t="inlineStr">
        <is>
          <t>—</t>
        </is>
      </c>
      <c r="E203" s="28" t="inlineStr">
        <is>
          <t>Circulars Notifications · mobile — PMAJAY</t>
        </is>
      </c>
      <c r="F203" s="28" t="inlineStr">
        <is>
          <t>No fix required — this finding was withdrawn.</t>
        </is>
      </c>
      <c r="G203" s="28" t="n"/>
      <c r="H203" s="28" t="n"/>
      <c r="I203" s="28" t="inlineStr">
        <is>
          <t>Withdrawn</t>
        </is>
      </c>
      <c r="J203" s="28" t="n"/>
      <c r="K203" s="28" t="n"/>
      <c r="L203" s="28" t="inlineStr">
        <is>
          <t>WITHDRAWN: Merged into WEB-GLOBAL-111 / WEB-GLOBAL-110 / WEB-GLOBAL-112, which now carries this defect together with the others of the same kind — one fix, one row.</t>
        </is>
      </c>
      <c r="M203" s="28" t="inlineStr">
        <is>
          <t>—</t>
        </is>
      </c>
    </row>
    <row r="204">
      <c r="A204" s="27" t="inlineStr">
        <is>
          <t>WEB-SCREEN-029</t>
        </is>
      </c>
      <c r="B204" s="28" t="inlineStr">
        <is>
          <t>—</t>
        </is>
      </c>
      <c r="C204" s="28" t="inlineStr">
        <is>
          <t>—</t>
        </is>
      </c>
      <c r="D204" s="28" t="inlineStr">
        <is>
          <t>—</t>
        </is>
      </c>
      <c r="E204" s="28" t="inlineStr">
        <is>
          <t>Circulars Notifications · mobile — Smile Beggary</t>
        </is>
      </c>
      <c r="F204" s="28" t="inlineStr">
        <is>
          <t>No fix required — this finding was withdrawn.</t>
        </is>
      </c>
      <c r="G204" s="28" t="n"/>
      <c r="H204" s="28" t="n"/>
      <c r="I204" s="28" t="inlineStr">
        <is>
          <t>Withdrawn</t>
        </is>
      </c>
      <c r="J204" s="28" t="n"/>
      <c r="K204" s="28" t="n"/>
      <c r="L204" s="28" t="inlineStr">
        <is>
          <t>WITHDRAWN: Merged into WEB-GLOBAL-111 / WEB-GLOBAL-110 / WEB-GLOBAL-112, which now carries this defect together with the others of the same kind — one fix, one row.</t>
        </is>
      </c>
      <c r="M204" s="28" t="inlineStr">
        <is>
          <t>—</t>
        </is>
      </c>
    </row>
    <row r="205">
      <c r="A205" s="27" t="inlineStr">
        <is>
          <t>WEB-SCREEN-083</t>
        </is>
      </c>
      <c r="B205" s="28" t="inlineStr">
        <is>
          <t>—</t>
        </is>
      </c>
      <c r="C205" s="28" t="inlineStr">
        <is>
          <t>—</t>
        </is>
      </c>
      <c r="D205" s="28" t="inlineStr">
        <is>
          <t>—</t>
        </is>
      </c>
      <c r="E205" s="28" t="inlineStr">
        <is>
          <t>Contact Us · desktop — contact details</t>
        </is>
      </c>
      <c r="F205" s="28" t="inlineStr">
        <is>
          <t>No fix required — this finding was withdrawn.</t>
        </is>
      </c>
      <c r="G205" s="28" t="n"/>
      <c r="H205" s="28" t="n"/>
      <c r="I205" s="28" t="inlineStr">
        <is>
          <t>Withdrawn</t>
        </is>
      </c>
      <c r="J205" s="28" t="n"/>
      <c r="K205" s="28" t="n"/>
      <c r="L205" s="28" t="inlineStr">
        <is>
          <t>WITHDRAWN: Merged into WEB-SCREEN-363, which now carries this defect together with the others of the same kind — one fix, one row.</t>
        </is>
      </c>
      <c r="M205" s="28" t="inlineStr">
        <is>
          <t>—</t>
        </is>
      </c>
    </row>
    <row r="206">
      <c r="A206" s="27" t="inlineStr">
        <is>
          <t>WEB-SCREEN-082</t>
        </is>
      </c>
      <c r="B206" s="28" t="inlineStr">
        <is>
          <t>—</t>
        </is>
      </c>
      <c r="C206" s="28" t="inlineStr">
        <is>
          <t>—</t>
        </is>
      </c>
      <c r="D206" s="28" t="inlineStr">
        <is>
          <t>—</t>
        </is>
      </c>
      <c r="E206" s="28" t="inlineStr">
        <is>
          <t>Contact Us · desktop — connect directly with the ministry, reach the concerned depa</t>
        </is>
      </c>
      <c r="F206" s="28" t="inlineStr">
        <is>
          <t>No fix required — this finding was withdrawn.</t>
        </is>
      </c>
      <c r="G206" s="28" t="n"/>
      <c r="H206" s="28" t="n"/>
      <c r="I206" s="28" t="inlineStr">
        <is>
          <t>Withdrawn</t>
        </is>
      </c>
      <c r="J206" s="28" t="n"/>
      <c r="K206" s="28" t="n"/>
      <c r="L206" s="28" t="inlineStr">
        <is>
          <t>WITHDRAWN: Withdrawn: the design text is sample content in a repeated list or data field — names, e-mail addresses, dates, figures, event or album titles — which the live page fills with real entries. It is different data, not missing interface copy.</t>
        </is>
      </c>
      <c r="M206" s="28" t="inlineStr">
        <is>
          <t>—</t>
        </is>
      </c>
    </row>
    <row r="207">
      <c r="A207" s="27" t="inlineStr">
        <is>
          <t>WEB-SCREEN-087</t>
        </is>
      </c>
      <c r="B207" s="28" t="inlineStr">
        <is>
          <t>—</t>
        </is>
      </c>
      <c r="C207" s="28" t="inlineStr">
        <is>
          <t>—</t>
        </is>
      </c>
      <c r="D207" s="28" t="inlineStr">
        <is>
          <t>—</t>
        </is>
      </c>
      <c r="E207" s="28" t="inlineStr">
        <is>
          <t>Contact Us · desktop — ministry of social justice and empowerment (mosje) contact d</t>
        </is>
      </c>
      <c r="F207" s="28" t="inlineStr">
        <is>
          <t>No fix required — this finding was withdrawn.</t>
        </is>
      </c>
      <c r="G207" s="28" t="n"/>
      <c r="H207" s="28" t="n"/>
      <c r="I207" s="28" t="inlineStr">
        <is>
          <t>Withdrawn</t>
        </is>
      </c>
      <c r="J207" s="28" t="n"/>
      <c r="K207" s="28" t="n"/>
      <c r="L207" s="28" t="inlineStr">
        <is>
          <t>WITHDRAWN: Withdrawn: the design text is sample content in a repeated list or data field — names, e-mail addresses, dates, figures, event or album titles — which the live page fills with real entries. It is different data, not missing interface copy.</t>
        </is>
      </c>
      <c r="M207" s="28" t="inlineStr">
        <is>
          <t>—</t>
        </is>
      </c>
    </row>
    <row r="208">
      <c r="A208" s="27" t="inlineStr">
        <is>
          <t>WEB-SCREEN-090</t>
        </is>
      </c>
      <c r="B208" s="28" t="inlineStr">
        <is>
          <t>—</t>
        </is>
      </c>
      <c r="C208" s="28" t="inlineStr">
        <is>
          <t>—</t>
        </is>
      </c>
      <c r="D208" s="28" t="inlineStr">
        <is>
          <t>—</t>
        </is>
      </c>
      <c r="E208" s="28" t="inlineStr">
        <is>
          <t>Contact Us · desktop — room no. 631, a-wing, shastri bhawan, new delhi - 110001</t>
        </is>
      </c>
      <c r="F208" s="28" t="inlineStr">
        <is>
          <t>No fix required — this finding was withdrawn.</t>
        </is>
      </c>
      <c r="G208" s="28" t="n"/>
      <c r="H208" s="28" t="n"/>
      <c r="I208" s="28" t="inlineStr">
        <is>
          <t>Withdrawn</t>
        </is>
      </c>
      <c r="J208" s="28" t="n"/>
      <c r="K208" s="28" t="n"/>
      <c r="L208" s="28" t="inlineStr">
        <is>
          <t>WITHDRAWN: Withdrawn: the design text is sample content in a repeated list or data field — names, e-mail addresses, dates, figures, event or album titles — which the live page fills with real entries. It is different data, not missing interface copy.</t>
        </is>
      </c>
      <c r="M208" s="28" t="inlineStr">
        <is>
          <t>—</t>
        </is>
      </c>
    </row>
    <row r="209">
      <c r="A209" s="27" t="inlineStr">
        <is>
          <t>WEB-SCREEN-081</t>
        </is>
      </c>
      <c r="B209" s="28" t="inlineStr">
        <is>
          <t>—</t>
        </is>
      </c>
      <c r="C209" s="28" t="inlineStr">
        <is>
          <t>—</t>
        </is>
      </c>
      <c r="D209" s="28" t="inlineStr">
        <is>
          <t>—</t>
        </is>
      </c>
      <c r="E209" s="28" t="inlineStr">
        <is>
          <t>Contact Us · desktop — complaint[at]ncsc[dot]gov[dot]in</t>
        </is>
      </c>
      <c r="F209" s="28" t="inlineStr">
        <is>
          <t>No fix required — this finding was withdrawn.</t>
        </is>
      </c>
      <c r="G209" s="28" t="n"/>
      <c r="H209" s="28" t="n"/>
      <c r="I209" s="28" t="inlineStr">
        <is>
          <t>Withdrawn</t>
        </is>
      </c>
      <c r="J209" s="28" t="n"/>
      <c r="K209" s="28" t="n"/>
      <c r="L209" s="28" t="inlineStr">
        <is>
          <t>WITHDRAWN: Withdrawn: the design text is sample content in a repeated list or data field — names, e-mail addresses, dates, figures, event or album titles — which the live page fills with real entries. It is different data, not missing interface copy.</t>
        </is>
      </c>
      <c r="M209" s="28" t="inlineStr">
        <is>
          <t>—</t>
        </is>
      </c>
    </row>
    <row r="210">
      <c r="A210" s="27" t="inlineStr">
        <is>
          <t>WEB-SCREEN-088</t>
        </is>
      </c>
      <c r="B210" s="28" t="inlineStr">
        <is>
          <t>—</t>
        </is>
      </c>
      <c r="C210" s="28" t="inlineStr">
        <is>
          <t>—</t>
        </is>
      </c>
      <c r="D210" s="28" t="inlineStr">
        <is>
          <t>—</t>
        </is>
      </c>
      <c r="E210" s="28" t="inlineStr">
        <is>
          <t>Contact Us · desktop — national commission for safai karamchari (ncsk)</t>
        </is>
      </c>
      <c r="F210" s="28" t="inlineStr">
        <is>
          <t>No fix required — this finding was withdrawn.</t>
        </is>
      </c>
      <c r="G210" s="28" t="n"/>
      <c r="H210" s="28" t="n"/>
      <c r="I210" s="28" t="inlineStr">
        <is>
          <t>Withdrawn</t>
        </is>
      </c>
      <c r="J210" s="28" t="n"/>
      <c r="K210" s="28" t="n"/>
      <c r="L210" s="28" t="inlineStr">
        <is>
          <t>WITHDRAWN: Withdrawn: the design text is sample content in a repeated list or data field — names, e-mail addresses, dates, figures, event or album titles — which the live page fills with real entries. It is different data, not missing interface copy.</t>
        </is>
      </c>
      <c r="M210" s="28" t="inlineStr">
        <is>
          <t>—</t>
        </is>
      </c>
    </row>
    <row r="211">
      <c r="A211" s="27" t="inlineStr">
        <is>
          <t>WEB-SCREEN-285</t>
        </is>
      </c>
      <c r="B211" s="28" t="inlineStr">
        <is>
          <t>—</t>
        </is>
      </c>
      <c r="C211" s="28" t="inlineStr">
        <is>
          <t>—</t>
        </is>
      </c>
      <c r="D211" s="28" t="inlineStr">
        <is>
          <t>—</t>
        </is>
      </c>
      <c r="E211" s="28" t="inlineStr">
        <is>
          <t>Cookies · desktop — Session Cookies always active</t>
        </is>
      </c>
      <c r="F211" s="28" t="inlineStr">
        <is>
          <t>No fix required — this finding was withdrawn.</t>
        </is>
      </c>
      <c r="G211" s="28" t="n"/>
      <c r="H211" s="28" t="n"/>
      <c r="I211" s="28" t="inlineStr">
        <is>
          <t>Withdrawn</t>
        </is>
      </c>
      <c r="J211" s="28" t="n"/>
      <c r="K211" s="28" t="n"/>
      <c r="L211" s="28" t="inlineStr">
        <is>
          <t>WITHDRAWN: Re-measured on pixels with the element's own CSS colour: the pair passes on screen. The first version read an anti-aliased edge pixel as the text colour.</t>
        </is>
      </c>
      <c r="M211" s="28" t="inlineStr">
        <is>
          <t>—</t>
        </is>
      </c>
    </row>
    <row r="212">
      <c r="A212" s="27" t="inlineStr">
        <is>
          <t>WEB-SCREEN-018</t>
        </is>
      </c>
      <c r="B212" s="28" t="inlineStr">
        <is>
          <t>—</t>
        </is>
      </c>
      <c r="C212" s="28" t="inlineStr">
        <is>
          <t>—</t>
        </is>
      </c>
      <c r="D212" s="28" t="inlineStr">
        <is>
          <t>—</t>
        </is>
      </c>
      <c r="E212" s="28" t="inlineStr">
        <is>
          <t>Cookies · desktop — Ensures user session persistence, allowing …</t>
        </is>
      </c>
      <c r="F212" s="28" t="inlineStr">
        <is>
          <t>No fix required — this finding was withdrawn.</t>
        </is>
      </c>
      <c r="G212" s="28" t="n"/>
      <c r="H212" s="28" t="n"/>
      <c r="I212" s="28" t="inlineStr">
        <is>
          <t>Withdrawn</t>
        </is>
      </c>
      <c r="J212" s="28" t="n"/>
      <c r="K212" s="28" t="n"/>
      <c r="L212" s="28" t="inlineStr">
        <is>
          <t>WITHDRAWN: Merged into WEB-GLOBAL-093, which now carries this defect together with the others of the same kind — one fix, one row.</t>
        </is>
      </c>
      <c r="M212" s="28" t="inlineStr">
        <is>
          <t>—</t>
        </is>
      </c>
    </row>
    <row r="213">
      <c r="A213" s="27" t="inlineStr">
        <is>
          <t>WEB-SCREEN-104</t>
        </is>
      </c>
      <c r="B213" s="28" t="inlineStr">
        <is>
          <t>—</t>
        </is>
      </c>
      <c r="C213" s="28" t="inlineStr">
        <is>
          <t>—</t>
        </is>
      </c>
      <c r="D213" s="28" t="inlineStr">
        <is>
          <t>—</t>
        </is>
      </c>
      <c r="E213" s="28" t="inlineStr">
        <is>
          <t>Cpio · desktop — the designated authority responsible for providing timely an</t>
        </is>
      </c>
      <c r="F213" s="28" t="inlineStr">
        <is>
          <t>No fix required — this finding was withdrawn.</t>
        </is>
      </c>
      <c r="G213" s="28" t="n"/>
      <c r="H213" s="28" t="n"/>
      <c r="I213" s="28" t="inlineStr">
        <is>
          <t>Withdrawn</t>
        </is>
      </c>
      <c r="J213" s="28" t="n"/>
      <c r="K213" s="28" t="n"/>
      <c r="L213" s="28" t="inlineStr">
        <is>
          <t>WITHDRAWN: Merged into WEB-SCREEN-365, which now carries this defect together with the others of the same kind — one fix, one row.</t>
        </is>
      </c>
      <c r="M213" s="28" t="inlineStr">
        <is>
          <t>—</t>
        </is>
      </c>
    </row>
    <row r="214">
      <c r="A214" s="27" t="inlineStr">
        <is>
          <t>WEB-SCREEN-103</t>
        </is>
      </c>
      <c r="B214" s="28" t="inlineStr">
        <is>
          <t>—</t>
        </is>
      </c>
      <c r="C214" s="28" t="inlineStr">
        <is>
          <t>—</t>
        </is>
      </c>
      <c r="D214" s="28" t="inlineStr">
        <is>
          <t>—</t>
        </is>
      </c>
      <c r="E214" s="28" t="inlineStr">
        <is>
          <t>Cpio · desktop — sort by recently updated</t>
        </is>
      </c>
      <c r="F214" s="28" t="inlineStr">
        <is>
          <t>No fix required — this finding was withdrawn.</t>
        </is>
      </c>
      <c r="G214" s="28" t="n"/>
      <c r="H214" s="28" t="n"/>
      <c r="I214" s="28" t="inlineStr">
        <is>
          <t>Withdrawn</t>
        </is>
      </c>
      <c r="J214" s="28" t="n"/>
      <c r="K214" s="28" t="n"/>
      <c r="L214" s="28" t="inlineStr">
        <is>
          <t>WITHDRAWN: Withdrawn: the design text is sample content in a repeated list or data field — names, e-mail addresses, dates, figures, event or album titles — which the live page fills with real entries. It is different data, not missing interface copy.</t>
        </is>
      </c>
      <c r="M214" s="28" t="inlineStr">
        <is>
          <t>—</t>
        </is>
      </c>
    </row>
    <row r="215">
      <c r="A215" s="27" t="inlineStr">
        <is>
          <t>WEB-SCREEN-091</t>
        </is>
      </c>
      <c r="B215" s="28" t="inlineStr">
        <is>
          <t>—</t>
        </is>
      </c>
      <c r="C215" s="28" t="inlineStr">
        <is>
          <t>—</t>
        </is>
      </c>
      <c r="D215" s="28" t="inlineStr">
        <is>
          <t>—</t>
        </is>
      </c>
      <c r="E215" s="28" t="inlineStr">
        <is>
          <t>Cpio · desktop — designantion</t>
        </is>
      </c>
      <c r="F215" s="28" t="inlineStr">
        <is>
          <t>No fix required — this finding was withdrawn.</t>
        </is>
      </c>
      <c r="G215" s="28" t="n"/>
      <c r="H215" s="28" t="n"/>
      <c r="I215" s="28" t="inlineStr">
        <is>
          <t>Withdrawn</t>
        </is>
      </c>
      <c r="J215" s="28" t="n"/>
      <c r="K215" s="28" t="n"/>
      <c r="L215" s="28" t="inlineStr">
        <is>
          <t>WITHDRAWN: Withdrawn: the design text is sample content in a repeated list or data field — names, e-mail addresses, dates, figures, event or album titles — which the live page fills with real entries. It is different data, not missing interface copy.</t>
        </is>
      </c>
      <c r="M215" s="28" t="inlineStr">
        <is>
          <t>—</t>
        </is>
      </c>
    </row>
    <row r="216">
      <c r="A216" s="27" t="inlineStr">
        <is>
          <t>WEB-SCREEN-099</t>
        </is>
      </c>
      <c r="B216" s="28" t="inlineStr">
        <is>
          <t>—</t>
        </is>
      </c>
      <c r="C216" s="28" t="inlineStr">
        <is>
          <t>—</t>
        </is>
      </c>
      <c r="D216" s="28" t="inlineStr">
        <is>
          <t>—</t>
        </is>
      </c>
      <c r="E216" s="28" t="inlineStr">
        <is>
          <t>Cpio · desktop — shri gulshan kumar pahadia, ad</t>
        </is>
      </c>
      <c r="F216" s="28" t="inlineStr">
        <is>
          <t>No fix required — this finding was withdrawn.</t>
        </is>
      </c>
      <c r="G216" s="28" t="n"/>
      <c r="H216" s="28" t="n"/>
      <c r="I216" s="28" t="inlineStr">
        <is>
          <t>Withdrawn</t>
        </is>
      </c>
      <c r="J216" s="28" t="n"/>
      <c r="K216" s="28" t="n"/>
      <c r="L216" s="28" t="inlineStr">
        <is>
          <t>WITHDRAWN: Withdrawn: the design text is sample content in a repeated list or data field — names, e-mail addresses, dates, figures, event or album titles — which the live page fills with real entries. It is different data, not missing interface copy.</t>
        </is>
      </c>
      <c r="M216" s="28" t="inlineStr">
        <is>
          <t>—</t>
        </is>
      </c>
    </row>
    <row r="217">
      <c r="A217" s="27" t="inlineStr">
        <is>
          <t>WEB-SCREEN-097</t>
        </is>
      </c>
      <c r="B217" s="28" t="inlineStr">
        <is>
          <t>—</t>
        </is>
      </c>
      <c r="C217" s="28" t="inlineStr">
        <is>
          <t>—</t>
        </is>
      </c>
      <c r="D217" s="28" t="inlineStr">
        <is>
          <t>—</t>
        </is>
      </c>
      <c r="E217" s="28" t="inlineStr">
        <is>
          <t>Cpio · desktop — ms. sanmeet kaur, dig(p)</t>
        </is>
      </c>
      <c r="F217" s="28" t="inlineStr">
        <is>
          <t>No fix required — this finding was withdrawn.</t>
        </is>
      </c>
      <c r="G217" s="28" t="n"/>
      <c r="H217" s="28" t="n"/>
      <c r="I217" s="28" t="inlineStr">
        <is>
          <t>Withdrawn</t>
        </is>
      </c>
      <c r="J217" s="28" t="n"/>
      <c r="K217" s="28" t="n"/>
      <c r="L217" s="28" t="inlineStr">
        <is>
          <t>WITHDRAWN: Withdrawn: the design text is sample content in a repeated list or data field — names, e-mail addresses, dates, figures, event or album titles — which the live page fills with real entries. It is different data, not missing interface copy.</t>
        </is>
      </c>
      <c r="M217" s="28" t="inlineStr">
        <is>
          <t>—</t>
        </is>
      </c>
    </row>
    <row r="218">
      <c r="A218" s="27" t="inlineStr">
        <is>
          <t>WEB-SCREEN-098</t>
        </is>
      </c>
      <c r="B218" s="28" t="inlineStr">
        <is>
          <t>—</t>
        </is>
      </c>
      <c r="C218" s="28" t="inlineStr">
        <is>
          <t>—</t>
        </is>
      </c>
      <c r="D218" s="28" t="inlineStr">
        <is>
          <t>—</t>
        </is>
      </c>
      <c r="E218" s="28" t="inlineStr">
        <is>
          <t>Cpio · desktop — sanmeet[dot]kaur[at]ips[dot]gov[dot]in</t>
        </is>
      </c>
      <c r="F218" s="28" t="inlineStr">
        <is>
          <t>No fix required — this finding was withdrawn.</t>
        </is>
      </c>
      <c r="G218" s="28" t="n"/>
      <c r="H218" s="28" t="n"/>
      <c r="I218" s="28" t="inlineStr">
        <is>
          <t>Withdrawn</t>
        </is>
      </c>
      <c r="J218" s="28" t="n"/>
      <c r="K218" s="28" t="n"/>
      <c r="L218" s="28" t="inlineStr">
        <is>
          <t>WITHDRAWN: Withdrawn: the design text is sample content in a repeated list or data field — names, e-mail addresses, dates, figures, event or album titles — which the live page fills with real entries. It is different data, not missing interface copy.</t>
        </is>
      </c>
      <c r="M218" s="28" t="inlineStr">
        <is>
          <t>—</t>
        </is>
      </c>
    </row>
    <row r="219">
      <c r="A219" s="27" t="inlineStr">
        <is>
          <t>WEB-SCREEN-093</t>
        </is>
      </c>
      <c r="B219" s="28" t="inlineStr">
        <is>
          <t>—</t>
        </is>
      </c>
      <c r="C219" s="28" t="inlineStr">
        <is>
          <t>—</t>
        </is>
      </c>
      <c r="D219" s="28" t="inlineStr">
        <is>
          <t>—</t>
        </is>
      </c>
      <c r="E219" s="28" t="inlineStr">
        <is>
          <t>Cpio · mobile — gk[dot]pahadia[at]gov[dot]in</t>
        </is>
      </c>
      <c r="F219" s="28" t="inlineStr">
        <is>
          <t>No fix required — this finding was withdrawn.</t>
        </is>
      </c>
      <c r="G219" s="28" t="n"/>
      <c r="H219" s="28" t="n"/>
      <c r="I219" s="28" t="inlineStr">
        <is>
          <t>Withdrawn</t>
        </is>
      </c>
      <c r="J219" s="28" t="n"/>
      <c r="K219" s="28" t="n"/>
      <c r="L219" s="28" t="inlineStr">
        <is>
          <t>WITHDRAWN: Withdrawn: the design text is sample content in a repeated list or data field — names, e-mail addresses, dates, figures, event or album titles — which the live page fills with real entries. It is different data, not missing interface copy.</t>
        </is>
      </c>
      <c r="M219" s="28" t="inlineStr">
        <is>
          <t>—</t>
        </is>
      </c>
    </row>
    <row r="220">
      <c r="A220" s="27" t="inlineStr">
        <is>
          <t>WEB-SCREEN-019</t>
        </is>
      </c>
      <c r="B220" s="28" t="inlineStr">
        <is>
          <t>—</t>
        </is>
      </c>
      <c r="C220" s="28" t="inlineStr">
        <is>
          <t>—</t>
        </is>
      </c>
      <c r="D220" s="28" t="inlineStr">
        <is>
          <t>—</t>
        </is>
      </c>
      <c r="E220" s="28" t="inlineStr">
        <is>
          <t>Dashboard · desktop — Pre-Matric (SCs &amp; Others)</t>
        </is>
      </c>
      <c r="F220" s="28" t="inlineStr">
        <is>
          <t>No fix required — this finding was withdrawn.</t>
        </is>
      </c>
      <c r="G220" s="28" t="n"/>
      <c r="H220" s="28" t="n"/>
      <c r="I220" s="28" t="inlineStr">
        <is>
          <t>Withdrawn</t>
        </is>
      </c>
      <c r="J220" s="28" t="n"/>
      <c r="K220" s="28" t="n"/>
      <c r="L220" s="28" t="inlineStr">
        <is>
          <t>WITHDRAWN: Merged into WEB-SCREEN-331, which now carries this defect together with the others of the same kind — one fix, one row.</t>
        </is>
      </c>
      <c r="M220" s="28" t="inlineStr">
        <is>
          <t>—</t>
        </is>
      </c>
    </row>
    <row r="221">
      <c r="A221" s="27" t="inlineStr">
        <is>
          <t>WEB-SCREEN-117</t>
        </is>
      </c>
      <c r="B221" s="28" t="inlineStr">
        <is>
          <t>—</t>
        </is>
      </c>
      <c r="C221" s="28" t="inlineStr">
        <is>
          <t>—</t>
        </is>
      </c>
      <c r="D221" s="28" t="inlineStr">
        <is>
          <t>—</t>
        </is>
      </c>
      <c r="E221" s="28" t="inlineStr">
        <is>
          <t>Dashboard · desktop — total sc/st beneficiary count</t>
        </is>
      </c>
      <c r="F221" s="28" t="inlineStr">
        <is>
          <t>No fix required — this finding was withdrawn.</t>
        </is>
      </c>
      <c r="G221" s="28" t="n"/>
      <c r="H221" s="28" t="n"/>
      <c r="I221" s="28" t="inlineStr">
        <is>
          <t>Withdrawn</t>
        </is>
      </c>
      <c r="J221" s="28" t="n"/>
      <c r="K221" s="28" t="n"/>
      <c r="L221" s="28" t="inlineStr">
        <is>
          <t>WITHDRAWN: Merged into WEB-SCREEN-366, which now carries this defect together with the others of the same kind — one fix, one row.</t>
        </is>
      </c>
      <c r="M221" s="28" t="inlineStr">
        <is>
          <t>—</t>
        </is>
      </c>
    </row>
    <row r="222">
      <c r="A222" s="27" t="inlineStr">
        <is>
          <t>WEB-SCREEN-109</t>
        </is>
      </c>
      <c r="B222" s="28" t="inlineStr">
        <is>
          <t>—</t>
        </is>
      </c>
      <c r="C222" s="28" t="inlineStr">
        <is>
          <t>—</t>
        </is>
      </c>
      <c r="D222" s="28" t="inlineStr">
        <is>
          <t>—</t>
        </is>
      </c>
      <c r="E222" s="28" t="inlineStr">
        <is>
          <t>Dashboard · desktop — sc/st coverage rate</t>
        </is>
      </c>
      <c r="F222" s="28" t="inlineStr">
        <is>
          <t>No fix required — this finding was withdrawn.</t>
        </is>
      </c>
      <c r="G222" s="28" t="n"/>
      <c r="H222" s="28" t="n"/>
      <c r="I222" s="28" t="inlineStr">
        <is>
          <t>Withdrawn</t>
        </is>
      </c>
      <c r="J222" s="28" t="n"/>
      <c r="K222" s="28" t="n"/>
      <c r="L222" s="28" t="inlineStr">
        <is>
          <t>WITHDRAWN: Withdrawn: the design text is sample content in a repeated list or data field — names, e-mail addresses, dates, figures, event or album titles — which the live page fills with real entries. It is different data, not missing interface copy.</t>
        </is>
      </c>
      <c r="M222" s="28" t="inlineStr">
        <is>
          <t>—</t>
        </is>
      </c>
    </row>
    <row r="223">
      <c r="A223" s="27" t="inlineStr">
        <is>
          <t>WEB-SCREEN-107</t>
        </is>
      </c>
      <c r="B223" s="28" t="inlineStr">
        <is>
          <t>—</t>
        </is>
      </c>
      <c r="C223" s="28" t="inlineStr">
        <is>
          <t>—</t>
        </is>
      </c>
      <c r="D223" s="28" t="inlineStr">
        <is>
          <t>—</t>
        </is>
      </c>
      <c r="E223" s="28" t="inlineStr">
        <is>
          <t>Dashboard · desktop — dapsc budget utilization rate</t>
        </is>
      </c>
      <c r="F223" s="28" t="inlineStr">
        <is>
          <t>No fix required — this finding was withdrawn.</t>
        </is>
      </c>
      <c r="G223" s="28" t="n"/>
      <c r="H223" s="28" t="n"/>
      <c r="I223" s="28" t="inlineStr">
        <is>
          <t>Withdrawn</t>
        </is>
      </c>
      <c r="J223" s="28" t="n"/>
      <c r="K223" s="28" t="n"/>
      <c r="L223" s="28" t="inlineStr">
        <is>
          <t>WITHDRAWN: Withdrawn: the design text is sample content in a repeated list or data field — names, e-mail addresses, dates, figures, event or album titles — which the live page fills with real entries. It is different data, not missing interface copy.</t>
        </is>
      </c>
      <c r="M223" s="28" t="inlineStr">
        <is>
          <t>—</t>
        </is>
      </c>
    </row>
    <row r="224">
      <c r="A224" s="27" t="inlineStr">
        <is>
          <t>WEB-SCREEN-112</t>
        </is>
      </c>
      <c r="B224" s="28" t="inlineStr">
        <is>
          <t>—</t>
        </is>
      </c>
      <c r="C224" s="28" t="inlineStr">
        <is>
          <t>—</t>
        </is>
      </c>
      <c r="D224" s="28" t="inlineStr">
        <is>
          <t>—</t>
        </is>
      </c>
      <c r="E224" s="28" t="inlineStr">
        <is>
          <t>Dashboard · desktop — sc/st women beneficiary percentage</t>
        </is>
      </c>
      <c r="F224" s="28" t="inlineStr">
        <is>
          <t>No fix required — this finding was withdrawn.</t>
        </is>
      </c>
      <c r="G224" s="28" t="n"/>
      <c r="H224" s="28" t="n"/>
      <c r="I224" s="28" t="inlineStr">
        <is>
          <t>Withdrawn</t>
        </is>
      </c>
      <c r="J224" s="28" t="n"/>
      <c r="K224" s="28" t="n"/>
      <c r="L224" s="28" t="inlineStr">
        <is>
          <t>WITHDRAWN: Merged into WEB-SCREEN-366, which now carries this defect together with the others of the same kind — one fix, one row.</t>
        </is>
      </c>
      <c r="M224" s="28" t="inlineStr">
        <is>
          <t>—</t>
        </is>
      </c>
    </row>
    <row r="225">
      <c r="A225" s="27" t="inlineStr">
        <is>
          <t>WEB-SCREEN-111</t>
        </is>
      </c>
      <c r="B225" s="28" t="inlineStr">
        <is>
          <t>—</t>
        </is>
      </c>
      <c r="C225" s="28" t="inlineStr">
        <is>
          <t>—</t>
        </is>
      </c>
      <c r="D225" s="28" t="inlineStr">
        <is>
          <t>—</t>
        </is>
      </c>
      <c r="E225" s="28" t="inlineStr">
        <is>
          <t>Dashboard · desktop — sc/st scholarship beneficiaries</t>
        </is>
      </c>
      <c r="F225" s="28" t="inlineStr">
        <is>
          <t>No fix required — this finding was withdrawn.</t>
        </is>
      </c>
      <c r="G225" s="28" t="n"/>
      <c r="H225" s="28" t="n"/>
      <c r="I225" s="28" t="inlineStr">
        <is>
          <t>Withdrawn</t>
        </is>
      </c>
      <c r="J225" s="28" t="n"/>
      <c r="K225" s="28" t="n"/>
      <c r="L225" s="28" t="inlineStr">
        <is>
          <t>WITHDRAWN: Withdrawn: the design text is sample content in a repeated list or data field — names, e-mail addresses, dates, figures, event or album titles — which the live page fills with real entries. It is different data, not missing interface copy.</t>
        </is>
      </c>
      <c r="M225" s="28" t="inlineStr">
        <is>
          <t>—</t>
        </is>
      </c>
    </row>
    <row r="226">
      <c r="A226" s="27" t="inlineStr">
        <is>
          <t>WEB-SCREEN-004</t>
        </is>
      </c>
      <c r="B226" s="28" t="inlineStr">
        <is>
          <t>—</t>
        </is>
      </c>
      <c r="C226" s="28" t="inlineStr">
        <is>
          <t>—</t>
        </is>
      </c>
      <c r="D226" s="28" t="inlineStr">
        <is>
          <t>—</t>
        </is>
      </c>
      <c r="E226" s="28" t="inlineStr">
        <is>
          <t>Dashboard · mobile — 29,015</t>
        </is>
      </c>
      <c r="F226" s="28" t="inlineStr">
        <is>
          <t>No fix required — this finding was withdrawn.</t>
        </is>
      </c>
      <c r="G226" s="28" t="n"/>
      <c r="H226" s="28" t="n"/>
      <c r="I226" s="28" t="inlineStr">
        <is>
          <t>Withdrawn</t>
        </is>
      </c>
      <c r="J226" s="28" t="n"/>
      <c r="K226" s="28" t="n"/>
      <c r="L226" s="28" t="inlineStr">
        <is>
          <t>WITHDRAWN: Merged into WEB-SCREEN-328, which now carries this defect together with the others of the same kind — one fix, one row.</t>
        </is>
      </c>
      <c r="M226" s="28" t="inlineStr">
        <is>
          <t>—</t>
        </is>
      </c>
    </row>
    <row r="227">
      <c r="A227" s="27" t="inlineStr">
        <is>
          <t>WEB-SCREEN-122</t>
        </is>
      </c>
      <c r="B227" s="28" t="inlineStr">
        <is>
          <t>—</t>
        </is>
      </c>
      <c r="C227" s="28" t="inlineStr">
        <is>
          <t>—</t>
        </is>
      </c>
      <c r="D227" s="28" t="inlineStr">
        <is>
          <t>—</t>
        </is>
      </c>
      <c r="E227" s="28" t="inlineStr">
        <is>
          <t>Events · desktop — discover initiatives, workshops, and awareness programs that</t>
        </is>
      </c>
      <c r="F227" s="28" t="inlineStr">
        <is>
          <t>No fix required — this finding was withdrawn.</t>
        </is>
      </c>
      <c r="G227" s="28" t="n"/>
      <c r="H227" s="28" t="n"/>
      <c r="I227" s="28" t="inlineStr">
        <is>
          <t>Withdrawn</t>
        </is>
      </c>
      <c r="J227" s="28" t="n"/>
      <c r="K227" s="28" t="n"/>
      <c r="L227" s="28" t="inlineStr">
        <is>
          <t>WITHDRAWN: Withdrawn: the design text is sample content in a repeated list or data field — names, e-mail addresses, dates, figures, event or album titles — which the live page fills with real entries. It is different data, not missing interface copy.</t>
        </is>
      </c>
      <c r="M227" s="28" t="inlineStr">
        <is>
          <t>—</t>
        </is>
      </c>
    </row>
    <row r="228">
      <c r="A228" s="27" t="inlineStr">
        <is>
          <t>WEB-SCREEN-132</t>
        </is>
      </c>
      <c r="B228" s="28" t="inlineStr">
        <is>
          <t>—</t>
        </is>
      </c>
      <c r="C228" s="28" t="inlineStr">
        <is>
          <t>—</t>
        </is>
      </c>
      <c r="D228" s="28" t="inlineStr">
        <is>
          <t>—</t>
        </is>
      </c>
      <c r="E228" s="28" t="inlineStr">
        <is>
          <t>Events · desktop — view all</t>
        </is>
      </c>
      <c r="F228" s="28" t="inlineStr">
        <is>
          <t>No fix required — this finding was withdrawn.</t>
        </is>
      </c>
      <c r="G228" s="28" t="n"/>
      <c r="H228" s="28" t="n"/>
      <c r="I228" s="28" t="inlineStr">
        <is>
          <t>Withdrawn</t>
        </is>
      </c>
      <c r="J228" s="28" t="n"/>
      <c r="K228" s="28" t="n"/>
      <c r="L228" s="28" t="inlineStr">
        <is>
          <t>WITHDRAWN: Merged into WEB-SCREEN-368, which now carries this defect together with the others of the same kind — one fix, one row.</t>
        </is>
      </c>
      <c r="M228" s="28" t="inlineStr">
        <is>
          <t>—</t>
        </is>
      </c>
    </row>
    <row r="229">
      <c r="A229" s="27" t="inlineStr">
        <is>
          <t>WEB-SCREEN-124</t>
        </is>
      </c>
      <c r="B229" s="28" t="inlineStr">
        <is>
          <t>—</t>
        </is>
      </c>
      <c r="C229" s="28" t="inlineStr">
        <is>
          <t>—</t>
        </is>
      </c>
      <c r="D229" s="28" t="inlineStr">
        <is>
          <t>—</t>
        </is>
      </c>
      <c r="E229" s="28" t="inlineStr">
        <is>
          <t>Events · desktop — hard to reach population-smile (beggary)</t>
        </is>
      </c>
      <c r="F229" s="28" t="inlineStr">
        <is>
          <t>No fix required — this finding was withdrawn.</t>
        </is>
      </c>
      <c r="G229" s="28" t="n"/>
      <c r="H229" s="28" t="n"/>
      <c r="I229" s="28" t="inlineStr">
        <is>
          <t>Withdrawn</t>
        </is>
      </c>
      <c r="J229" s="28" t="n"/>
      <c r="K229" s="28" t="n"/>
      <c r="L229" s="28" t="inlineStr">
        <is>
          <t>WITHDRAWN: Withdrawn: the design text is sample content in a repeated list or data field — names, e-mail addresses, dates, figures, event or album titles — which the live page fills with real entries. It is different data, not missing interface copy.</t>
        </is>
      </c>
      <c r="M229" s="28" t="inlineStr">
        <is>
          <t>—</t>
        </is>
      </c>
    </row>
    <row r="230">
      <c r="A230" s="27" t="inlineStr">
        <is>
          <t>WEB-SCREEN-126</t>
        </is>
      </c>
      <c r="B230" s="28" t="inlineStr">
        <is>
          <t>—</t>
        </is>
      </c>
      <c r="C230" s="28" t="inlineStr">
        <is>
          <t>—</t>
        </is>
      </c>
      <c r="D230" s="28" t="inlineStr">
        <is>
          <t>—</t>
        </is>
      </c>
      <c r="E230" s="28" t="inlineStr">
        <is>
          <t>Events · desktop — nov 10th, 2025 • 05:00 pm onwards</t>
        </is>
      </c>
      <c r="F230" s="28" t="inlineStr">
        <is>
          <t>No fix required — this finding was withdrawn.</t>
        </is>
      </c>
      <c r="G230" s="28" t="n"/>
      <c r="H230" s="28" t="n"/>
      <c r="I230" s="28" t="inlineStr">
        <is>
          <t>Withdrawn</t>
        </is>
      </c>
      <c r="J230" s="28" t="n"/>
      <c r="K230" s="28" t="n"/>
      <c r="L230" s="28" t="inlineStr">
        <is>
          <t>WITHDRAWN: Withdrawn: the design text is sample content in a repeated list or data field — names, e-mail addresses, dates, figures, event or album titles — which the live page fills with real entries. It is different data, not missing interface copy.</t>
        </is>
      </c>
      <c r="M230" s="28" t="inlineStr">
        <is>
          <t>—</t>
        </is>
      </c>
    </row>
    <row r="231">
      <c r="A231" s="27" t="inlineStr">
        <is>
          <t>WEB-SCREEN-123</t>
        </is>
      </c>
      <c r="B231" s="28" t="inlineStr">
        <is>
          <t>—</t>
        </is>
      </c>
      <c r="C231" s="28" t="inlineStr">
        <is>
          <t>—</t>
        </is>
      </c>
      <c r="D231" s="28" t="inlineStr">
        <is>
          <t>—</t>
        </is>
      </c>
      <c r="E231" s="28" t="inlineStr">
        <is>
          <t>Events · desktop — dr. ambedkar international centre</t>
        </is>
      </c>
      <c r="F231" s="28" t="inlineStr">
        <is>
          <t>No fix required — this finding was withdrawn.</t>
        </is>
      </c>
      <c r="G231" s="28" t="n"/>
      <c r="H231" s="28" t="n"/>
      <c r="I231" s="28" t="inlineStr">
        <is>
          <t>Withdrawn</t>
        </is>
      </c>
      <c r="J231" s="28" t="n"/>
      <c r="K231" s="28" t="n"/>
      <c r="L231" s="28" t="inlineStr">
        <is>
          <t>WITHDRAWN: Withdrawn: the design text is sample content in a repeated list or data field — names, e-mail addresses, dates, figures, event or album titles — which the live page fills with real entries. It is different data, not missing interface copy.</t>
        </is>
      </c>
      <c r="M231" s="28" t="inlineStr">
        <is>
          <t>—</t>
        </is>
      </c>
    </row>
    <row r="232">
      <c r="A232" s="27" t="inlineStr">
        <is>
          <t>WEB-SCREEN-120</t>
        </is>
      </c>
      <c r="B232" s="28" t="inlineStr">
        <is>
          <t>—</t>
        </is>
      </c>
      <c r="C232" s="28" t="inlineStr">
        <is>
          <t>—</t>
        </is>
      </c>
      <c r="D232" s="28" t="inlineStr">
        <is>
          <t>—</t>
        </is>
      </c>
      <c r="E232" s="28" t="inlineStr">
        <is>
          <t>Events · desktop — "chandalika" - musical dance drama</t>
        </is>
      </c>
      <c r="F232" s="28" t="inlineStr">
        <is>
          <t>No fix required — this finding was withdrawn.</t>
        </is>
      </c>
      <c r="G232" s="28" t="n"/>
      <c r="H232" s="28" t="n"/>
      <c r="I232" s="28" t="inlineStr">
        <is>
          <t>Withdrawn</t>
        </is>
      </c>
      <c r="J232" s="28" t="n"/>
      <c r="K232" s="28" t="n"/>
      <c r="L232" s="28" t="inlineStr">
        <is>
          <t>WITHDRAWN: Withdrawn: the design text is sample content in a repeated list or data field — names, e-mail addresses, dates, figures, event or album titles — which the live page fills with real entries. It is different data, not missing interface copy.</t>
        </is>
      </c>
      <c r="M232" s="28" t="inlineStr">
        <is>
          <t>—</t>
        </is>
      </c>
    </row>
    <row r="233">
      <c r="A233" s="27" t="inlineStr">
        <is>
          <t>WEB-SCREEN-130</t>
        </is>
      </c>
      <c r="B233" s="28" t="inlineStr">
        <is>
          <t>—</t>
        </is>
      </c>
      <c r="C233" s="28" t="inlineStr">
        <is>
          <t>—</t>
        </is>
      </c>
      <c r="D233" s="28" t="inlineStr">
        <is>
          <t>—</t>
        </is>
      </c>
      <c r="E233" s="28" t="inlineStr">
        <is>
          <t>Events · mobile — painting exhibition and yamuna sustaibablity run</t>
        </is>
      </c>
      <c r="F233" s="28" t="inlineStr">
        <is>
          <t>No fix required — this finding was withdrawn.</t>
        </is>
      </c>
      <c r="G233" s="28" t="n"/>
      <c r="H233" s="28" t="n"/>
      <c r="I233" s="28" t="inlineStr">
        <is>
          <t>Withdrawn</t>
        </is>
      </c>
      <c r="J233" s="28" t="n"/>
      <c r="K233" s="28" t="n"/>
      <c r="L233" s="28" t="inlineStr">
        <is>
          <t>WITHDRAWN: Withdrawn: the design text is sample content in a repeated list or data field — names, e-mail addresses, dates, figures, event or album titles — which the live page fills with real entries. It is different data, not missing interface copy.</t>
        </is>
      </c>
      <c r="M233" s="28" t="inlineStr">
        <is>
          <t>—</t>
        </is>
      </c>
    </row>
    <row r="234">
      <c r="A234" s="27" t="inlineStr">
        <is>
          <t>WEB-SCREEN-020</t>
        </is>
      </c>
      <c r="B234" s="28" t="inlineStr">
        <is>
          <t>—</t>
        </is>
      </c>
      <c r="C234" s="28" t="inlineStr">
        <is>
          <t>—</t>
        </is>
      </c>
      <c r="D234" s="28" t="inlineStr">
        <is>
          <t>—</t>
        </is>
      </c>
      <c r="E234" s="28" t="inlineStr">
        <is>
          <t>Events  Ek Ped Maa Ke Naam 6 · desktop — Declared</t>
        </is>
      </c>
      <c r="F234" s="28" t="inlineStr">
        <is>
          <t>No fix required — this finding was withdrawn.</t>
        </is>
      </c>
      <c r="G234" s="28" t="n"/>
      <c r="H234" s="28" t="n"/>
      <c r="I234" s="28" t="inlineStr">
        <is>
          <t>Withdrawn</t>
        </is>
      </c>
      <c r="J234" s="28" t="n"/>
      <c r="K234" s="28" t="n"/>
      <c r="L234" s="28" t="inlineStr">
        <is>
          <t>WITHDRAWN: Merged into WEB-SCREEN-332, which now carries this defect together with the others of the same kind — one fix, one row.</t>
        </is>
      </c>
      <c r="M234" s="28" t="inlineStr">
        <is>
          <t>—</t>
        </is>
      </c>
    </row>
    <row r="235">
      <c r="A235" s="27" t="inlineStr">
        <is>
          <t>WEB-SCREEN-021</t>
        </is>
      </c>
      <c r="B235" s="28" t="inlineStr">
        <is>
          <t>—</t>
        </is>
      </c>
      <c r="C235" s="28" t="inlineStr">
        <is>
          <t>—</t>
        </is>
      </c>
      <c r="D235" s="28" t="inlineStr">
        <is>
          <t>—</t>
        </is>
      </c>
      <c r="E235" s="28" t="inlineStr">
        <is>
          <t>Events  Ek Ped Maa Ke Naam 7 · desktop — Declared</t>
        </is>
      </c>
      <c r="F235" s="28" t="inlineStr">
        <is>
          <t>No fix required — this finding was withdrawn.</t>
        </is>
      </c>
      <c r="G235" s="28" t="n"/>
      <c r="H235" s="28" t="n"/>
      <c r="I235" s="28" t="inlineStr">
        <is>
          <t>Withdrawn</t>
        </is>
      </c>
      <c r="J235" s="28" t="n"/>
      <c r="K235" s="28" t="n"/>
      <c r="L235" s="28" t="inlineStr">
        <is>
          <t>WITHDRAWN: Merged into WEB-SCREEN-332, which now carries this defect together with the others of the same kind — one fix, one row.</t>
        </is>
      </c>
      <c r="M235" s="28" t="inlineStr">
        <is>
          <t>—</t>
        </is>
      </c>
    </row>
    <row r="236">
      <c r="A236" s="27" t="inlineStr">
        <is>
          <t>WEB-SCREEN-134</t>
        </is>
      </c>
      <c r="B236" s="28" t="inlineStr">
        <is>
          <t>—</t>
        </is>
      </c>
      <c r="C236" s="28" t="inlineStr">
        <is>
          <t>—</t>
        </is>
      </c>
      <c r="D236" s="28" t="inlineStr">
        <is>
          <t>—</t>
        </is>
      </c>
      <c r="E236" s="28" t="inlineStr">
        <is>
          <t>For Researchers · desktop — discover all welfare initiatives, social justice schemes, an</t>
        </is>
      </c>
      <c r="F236" s="28" t="inlineStr">
        <is>
          <t>No fix required — this finding was withdrawn.</t>
        </is>
      </c>
      <c r="G236" s="28" t="n"/>
      <c r="H236" s="28" t="n"/>
      <c r="I236" s="28" t="inlineStr">
        <is>
          <t>Withdrawn</t>
        </is>
      </c>
      <c r="J236" s="28" t="n"/>
      <c r="K236" s="28" t="n"/>
      <c r="L236" s="28" t="inlineStr">
        <is>
          <t>WITHDRAWN: Withdrawn: the design text is sample content in a repeated list or data field — names, e-mail addresses, dates, figures, event or album titles — which the live page fills with real entries. It is different data, not missing interface copy.</t>
        </is>
      </c>
      <c r="M236" s="28" t="inlineStr">
        <is>
          <t>—</t>
        </is>
      </c>
    </row>
    <row r="237">
      <c r="A237" s="27" t="inlineStr">
        <is>
          <t>WEB-SCREEN-133</t>
        </is>
      </c>
      <c r="B237" s="28" t="inlineStr">
        <is>
          <t>—</t>
        </is>
      </c>
      <c r="C237" s="28" t="inlineStr">
        <is>
          <t>—</t>
        </is>
      </c>
      <c r="D237" s="28" t="inlineStr">
        <is>
          <t>—</t>
        </is>
      </c>
      <c r="E237" s="28" t="inlineStr">
        <is>
          <t>For Researchers · desktop — browse the key legislations, policy frameworks, and governme</t>
        </is>
      </c>
      <c r="F237" s="28" t="inlineStr">
        <is>
          <t>No fix required — this finding was withdrawn.</t>
        </is>
      </c>
      <c r="G237" s="28" t="n"/>
      <c r="H237" s="28" t="n"/>
      <c r="I237" s="28" t="inlineStr">
        <is>
          <t>Withdrawn</t>
        </is>
      </c>
      <c r="J237" s="28" t="n"/>
      <c r="K237" s="28" t="n"/>
      <c r="L237" s="28" t="inlineStr">
        <is>
          <t>WITHDRAWN: Withdrawn: the design text is sample content in a repeated list or data field — names, e-mail addresses, dates, figures, event or album titles — which the live page fills with real entries. It is different data, not missing interface copy.</t>
        </is>
      </c>
      <c r="M237" s="28" t="inlineStr">
        <is>
          <t>—</t>
        </is>
      </c>
    </row>
    <row r="238">
      <c r="A238" s="27" t="inlineStr">
        <is>
          <t>WEB-SCREEN-031</t>
        </is>
      </c>
      <c r="B238" s="28" t="inlineStr">
        <is>
          <t>—</t>
        </is>
      </c>
      <c r="C238" s="28" t="inlineStr">
        <is>
          <t>—</t>
        </is>
      </c>
      <c r="D238" s="28" t="inlineStr">
        <is>
          <t>—</t>
        </is>
      </c>
      <c r="E238" s="28" t="inlineStr">
        <is>
          <t>Forms Templates · mobile — PMAJAY</t>
        </is>
      </c>
      <c r="F238" s="28" t="inlineStr">
        <is>
          <t>No fix required — this finding was withdrawn.</t>
        </is>
      </c>
      <c r="G238" s="28" t="n"/>
      <c r="H238" s="28" t="n"/>
      <c r="I238" s="28" t="inlineStr">
        <is>
          <t>Withdrawn</t>
        </is>
      </c>
      <c r="J238" s="28" t="n"/>
      <c r="K238" s="28" t="n"/>
      <c r="L238" s="28" t="inlineStr">
        <is>
          <t>WITHDRAWN: Merged into WEB-GLOBAL-111 / WEB-GLOBAL-110 / WEB-GLOBAL-112, which now carries this defect together with the others of the same kind — one fix, one row.</t>
        </is>
      </c>
      <c r="M238" s="28" t="inlineStr">
        <is>
          <t>—</t>
        </is>
      </c>
    </row>
    <row r="239">
      <c r="A239" s="27" t="inlineStr">
        <is>
          <t>WEB-SCREEN-030</t>
        </is>
      </c>
      <c r="B239" s="28" t="inlineStr">
        <is>
          <t>—</t>
        </is>
      </c>
      <c r="C239" s="28" t="inlineStr">
        <is>
          <t>—</t>
        </is>
      </c>
      <c r="D239" s="28" t="inlineStr">
        <is>
          <t>—</t>
        </is>
      </c>
      <c r="E239" s="28" t="inlineStr">
        <is>
          <t>Forms Templates · mobile — NOS</t>
        </is>
      </c>
      <c r="F239" s="28" t="inlineStr">
        <is>
          <t>No fix required — this finding was withdrawn.</t>
        </is>
      </c>
      <c r="G239" s="28" t="n"/>
      <c r="H239" s="28" t="n"/>
      <c r="I239" s="28" t="inlineStr">
        <is>
          <t>Withdrawn</t>
        </is>
      </c>
      <c r="J239" s="28" t="n"/>
      <c r="K239" s="28" t="n"/>
      <c r="L239" s="28" t="inlineStr">
        <is>
          <t>WITHDRAWN: Merged into WEB-GLOBAL-111 / WEB-GLOBAL-110 / WEB-GLOBAL-112, which now carries this defect together with the others of the same kind — one fix, one row.</t>
        </is>
      </c>
      <c r="M239" s="28" t="inlineStr">
        <is>
          <t>—</t>
        </is>
      </c>
    </row>
    <row r="240">
      <c r="A240" s="27" t="inlineStr">
        <is>
          <t>WEB-SCREEN-280</t>
        </is>
      </c>
      <c r="B240" s="28" t="inlineStr">
        <is>
          <t>—</t>
        </is>
      </c>
      <c r="C240" s="28" t="inlineStr">
        <is>
          <t>—</t>
        </is>
      </c>
      <c r="D240" s="28" t="inlineStr">
        <is>
          <t>—</t>
        </is>
      </c>
      <c r="E240" s="28" t="inlineStr">
        <is>
          <t>Forms Templates · mobile — access official reports released by the commission and its a</t>
        </is>
      </c>
      <c r="F240" s="28" t="inlineStr">
        <is>
          <t>No fix required — this finding was withdrawn.</t>
        </is>
      </c>
      <c r="G240" s="28" t="n"/>
      <c r="H240" s="28" t="n"/>
      <c r="I240" s="28" t="inlineStr">
        <is>
          <t>Withdrawn</t>
        </is>
      </c>
      <c r="J240" s="28" t="n"/>
      <c r="K240" s="28" t="n"/>
      <c r="L240" s="28" t="inlineStr">
        <is>
          <t>WITHDRAWN: Merged into WEB-GLOBAL-114, which now carries this defect together with the others of the same kind — one fix, one row.</t>
        </is>
      </c>
      <c r="M240" s="28" t="inlineStr">
        <is>
          <t>—</t>
        </is>
      </c>
    </row>
    <row r="241">
      <c r="A241" s="27" t="inlineStr">
        <is>
          <t>WEB-SCREEN-139</t>
        </is>
      </c>
      <c r="B241" s="28" t="inlineStr">
        <is>
          <t>—</t>
        </is>
      </c>
      <c r="C241" s="28" t="inlineStr">
        <is>
          <t>—</t>
        </is>
      </c>
      <c r="D241" s="28" t="inlineStr">
        <is>
          <t>—</t>
        </is>
      </c>
      <c r="E241" s="28" t="inlineStr">
        <is>
          <t xml:space="preserve">Gallery · desktop — explore photos, videos and news from the ministry of social </t>
        </is>
      </c>
      <c r="F241" s="28" t="inlineStr">
        <is>
          <t>No fix required — this finding was withdrawn.</t>
        </is>
      </c>
      <c r="G241" s="28" t="n"/>
      <c r="H241" s="28" t="n"/>
      <c r="I241" s="28" t="inlineStr">
        <is>
          <t>Withdrawn</t>
        </is>
      </c>
      <c r="J241" s="28" t="n"/>
      <c r="K241" s="28" t="n"/>
      <c r="L241" s="28" t="inlineStr">
        <is>
          <t>WITHDRAWN: Withdrawn: the design text is sample content in a repeated list or data field — names, e-mail addresses, dates, figures, event or album titles — which the live page fills with real entries. It is different data, not missing interface copy.</t>
        </is>
      </c>
      <c r="M241" s="28" t="inlineStr">
        <is>
          <t>—</t>
        </is>
      </c>
    </row>
    <row r="242">
      <c r="A242" s="27" t="inlineStr">
        <is>
          <t>WEB-SCREEN-145</t>
        </is>
      </c>
      <c r="B242" s="28" t="inlineStr">
        <is>
          <t>—</t>
        </is>
      </c>
      <c r="C242" s="28" t="inlineStr">
        <is>
          <t>—</t>
        </is>
      </c>
      <c r="D242" s="28" t="inlineStr">
        <is>
          <t>—</t>
        </is>
      </c>
      <c r="E242" s="28" t="inlineStr">
        <is>
          <t>Gallery · desktop — search by keyword or event</t>
        </is>
      </c>
      <c r="F242" s="28" t="inlineStr">
        <is>
          <t>No fix required — this finding was withdrawn.</t>
        </is>
      </c>
      <c r="G242" s="28" t="n"/>
      <c r="H242" s="28" t="n"/>
      <c r="I242" s="28" t="inlineStr">
        <is>
          <t>Withdrawn</t>
        </is>
      </c>
      <c r="J242" s="28" t="n"/>
      <c r="K242" s="28" t="n"/>
      <c r="L242" s="28" t="inlineStr">
        <is>
          <t>WITHDRAWN: Merged into WEB-SCREEN-371, which now carries this defect together with the others of the same kind — one fix, one row.</t>
        </is>
      </c>
      <c r="M242" s="28" t="inlineStr">
        <is>
          <t>—</t>
        </is>
      </c>
    </row>
    <row r="243">
      <c r="A243" s="27" t="inlineStr">
        <is>
          <t>WEB-SCREEN-135</t>
        </is>
      </c>
      <c r="B243" s="28" t="inlineStr">
        <is>
          <t>—</t>
        </is>
      </c>
      <c r="C243" s="28" t="inlineStr">
        <is>
          <t>—</t>
        </is>
      </c>
      <c r="D243" s="28" t="inlineStr">
        <is>
          <t>—</t>
        </is>
      </c>
      <c r="E243" s="28" t="inlineStr">
        <is>
          <t>Gallery · desktop — ambedkar jayanti celebration 2025</t>
        </is>
      </c>
      <c r="F243" s="28" t="inlineStr">
        <is>
          <t>No fix required — this finding was withdrawn.</t>
        </is>
      </c>
      <c r="G243" s="28" t="n"/>
      <c r="H243" s="28" t="n"/>
      <c r="I243" s="28" t="inlineStr">
        <is>
          <t>Withdrawn</t>
        </is>
      </c>
      <c r="J243" s="28" t="n"/>
      <c r="K243" s="28" t="n"/>
      <c r="L243" s="28" t="inlineStr">
        <is>
          <t>WITHDRAWN: Withdrawn: the design text is sample content in a repeated list or data field — names, e-mail addresses, dates, figures, event or album titles — which the live page fills with real entries. It is different data, not missing interface copy.</t>
        </is>
      </c>
      <c r="M243" s="28" t="inlineStr">
        <is>
          <t>—</t>
        </is>
      </c>
    </row>
    <row r="244">
      <c r="A244" s="27" t="inlineStr">
        <is>
          <t>WEB-SCREEN-140</t>
        </is>
      </c>
      <c r="B244" s="28" t="inlineStr">
        <is>
          <t>—</t>
        </is>
      </c>
      <c r="C244" s="28" t="inlineStr">
        <is>
          <t>—</t>
        </is>
      </c>
      <c r="D244" s="28" t="inlineStr">
        <is>
          <t>—</t>
        </is>
      </c>
      <c r="E244" s="28" t="inlineStr">
        <is>
          <t>Gallery · desktop — glimpses from the national celebration</t>
        </is>
      </c>
      <c r="F244" s="28" t="inlineStr">
        <is>
          <t>No fix required — this finding was withdrawn.</t>
        </is>
      </c>
      <c r="G244" s="28" t="n"/>
      <c r="H244" s="28" t="n"/>
      <c r="I244" s="28" t="inlineStr">
        <is>
          <t>Withdrawn</t>
        </is>
      </c>
      <c r="J244" s="28" t="n"/>
      <c r="K244" s="28" t="n"/>
      <c r="L244" s="28" t="inlineStr">
        <is>
          <t>WITHDRAWN: Withdrawn: the design text is sample content in a repeated list or data field — names, e-mail addresses, dates, figures, event or album titles — which the live page fills with real entries. It is different data, not missing interface copy.</t>
        </is>
      </c>
      <c r="M244" s="28" t="inlineStr">
        <is>
          <t>—</t>
        </is>
      </c>
    </row>
    <row r="245">
      <c r="A245" s="27" t="inlineStr">
        <is>
          <t>WEB-SCREEN-138</t>
        </is>
      </c>
      <c r="B245" s="28" t="inlineStr">
        <is>
          <t>—</t>
        </is>
      </c>
      <c r="C245" s="28" t="inlineStr">
        <is>
          <t>—</t>
        </is>
      </c>
      <c r="D245" s="28" t="inlineStr">
        <is>
          <t>—</t>
        </is>
      </c>
      <c r="E245" s="28" t="inlineStr">
        <is>
          <t>Gallery · desktop — elder care workshop</t>
        </is>
      </c>
      <c r="F245" s="28" t="inlineStr">
        <is>
          <t>No fix required — this finding was withdrawn.</t>
        </is>
      </c>
      <c r="G245" s="28" t="n"/>
      <c r="H245" s="28" t="n"/>
      <c r="I245" s="28" t="inlineStr">
        <is>
          <t>Withdrawn</t>
        </is>
      </c>
      <c r="J245" s="28" t="n"/>
      <c r="K245" s="28" t="n"/>
      <c r="L245" s="28" t="inlineStr">
        <is>
          <t>WITHDRAWN: Withdrawn: the design text is sample content in a repeated list or data field — names, e-mail addresses, dates, figures, event or album titles — which the live page fills with real entries. It is different data, not missing interface copy.</t>
        </is>
      </c>
      <c r="M245" s="28" t="inlineStr">
        <is>
          <t>—</t>
        </is>
      </c>
    </row>
    <row r="246">
      <c r="A246" s="27" t="inlineStr">
        <is>
          <t>WEB-SCREEN-147</t>
        </is>
      </c>
      <c r="B246" s="28" t="inlineStr">
        <is>
          <t>—</t>
        </is>
      </c>
      <c r="C246" s="28" t="inlineStr">
        <is>
          <t>—</t>
        </is>
      </c>
      <c r="D246" s="28" t="inlineStr">
        <is>
          <t>—</t>
        </is>
      </c>
      <c r="E246" s="28" t="inlineStr">
        <is>
          <t>Gallery · desktop — training for caregivers and elder care professionals</t>
        </is>
      </c>
      <c r="F246" s="28" t="inlineStr">
        <is>
          <t>No fix required — this finding was withdrawn.</t>
        </is>
      </c>
      <c r="G246" s="28" t="n"/>
      <c r="H246" s="28" t="n"/>
      <c r="I246" s="28" t="inlineStr">
        <is>
          <t>Withdrawn</t>
        </is>
      </c>
      <c r="J246" s="28" t="n"/>
      <c r="K246" s="28" t="n"/>
      <c r="L246" s="28" t="inlineStr">
        <is>
          <t>WITHDRAWN: Withdrawn: the design text is sample content in a repeated list or data field — names, e-mail addresses, dates, figures, event or album titles — which the live page fills with real entries. It is different data, not missing interface copy.</t>
        </is>
      </c>
      <c r="M246" s="28" t="inlineStr">
        <is>
          <t>—</t>
        </is>
      </c>
    </row>
    <row r="247">
      <c r="A247" s="27" t="inlineStr">
        <is>
          <t>WEB-SCREEN-032</t>
        </is>
      </c>
      <c r="B247" s="28" t="inlineStr">
        <is>
          <t>—</t>
        </is>
      </c>
      <c r="C247" s="28" t="inlineStr">
        <is>
          <t>—</t>
        </is>
      </c>
      <c r="D247" s="28" t="inlineStr">
        <is>
          <t>—</t>
        </is>
      </c>
      <c r="E247" s="28" t="inlineStr">
        <is>
          <t>Gallery · mobile — “Ek Ped Maa Ke Naam”</t>
        </is>
      </c>
      <c r="F247" s="28" t="inlineStr">
        <is>
          <t>No fix required — this finding was withdrawn.</t>
        </is>
      </c>
      <c r="G247" s="28" t="n"/>
      <c r="H247" s="28" t="n"/>
      <c r="I247" s="28" t="inlineStr">
        <is>
          <t>Withdrawn</t>
        </is>
      </c>
      <c r="J247" s="28" t="n"/>
      <c r="K247" s="28" t="n"/>
      <c r="L247" s="28" t="inlineStr">
        <is>
          <t>WITHDRAWN: Merged into WEB-GLOBAL-111 / WEB-GLOBAL-110 / WEB-GLOBAL-112, which now carries this defect together with the others of the same kind — one fix, one row.</t>
        </is>
      </c>
      <c r="M247" s="28" t="inlineStr">
        <is>
          <t>—</t>
        </is>
      </c>
    </row>
    <row r="248">
      <c r="A248" s="27" t="inlineStr">
        <is>
          <t>WEB-SCREEN-144</t>
        </is>
      </c>
      <c r="B248" s="28" t="inlineStr">
        <is>
          <t>—</t>
        </is>
      </c>
      <c r="C248" s="28" t="inlineStr">
        <is>
          <t>—</t>
        </is>
      </c>
      <c r="D248" s="28" t="inlineStr">
        <is>
          <t>—</t>
        </is>
      </c>
      <c r="E248" s="28" t="inlineStr">
        <is>
          <t>Gallery · mobile — scholars present research on ambedkar studies</t>
        </is>
      </c>
      <c r="F248" s="28" t="inlineStr">
        <is>
          <t>No fix required — this finding was withdrawn.</t>
        </is>
      </c>
      <c r="G248" s="28" t="n"/>
      <c r="H248" s="28" t="n"/>
      <c r="I248" s="28" t="inlineStr">
        <is>
          <t>Withdrawn</t>
        </is>
      </c>
      <c r="J248" s="28" t="n"/>
      <c r="K248" s="28" t="n"/>
      <c r="L248" s="28" t="inlineStr">
        <is>
          <t>WITHDRAWN: Withdrawn: the design text is sample content in a repeated list or data field — names, e-mail addresses, dates, figures, event or album titles — which the live page fills with real entries. It is different data, not missing interface copy.</t>
        </is>
      </c>
      <c r="M248" s="28" t="inlineStr">
        <is>
          <t>—</t>
        </is>
      </c>
    </row>
    <row r="249">
      <c r="A249" s="27" t="inlineStr">
        <is>
          <t>WEB-SCREEN-152</t>
        </is>
      </c>
      <c r="B249" s="28" t="inlineStr">
        <is>
          <t>—</t>
        </is>
      </c>
      <c r="C249" s="28" t="inlineStr">
        <is>
          <t>—</t>
        </is>
      </c>
      <c r="D249" s="28" t="inlineStr">
        <is>
          <t>—</t>
        </is>
      </c>
      <c r="E249" s="28" t="inlineStr">
        <is>
          <t>Home · desktop — empowering india, every day</t>
        </is>
      </c>
      <c r="F249" s="28" t="inlineStr">
        <is>
          <t>No fix required — this finding was withdrawn.</t>
        </is>
      </c>
      <c r="G249" s="28" t="n"/>
      <c r="H249" s="28" t="n"/>
      <c r="I249" s="28" t="inlineStr">
        <is>
          <t>Withdrawn</t>
        </is>
      </c>
      <c r="J249" s="28" t="n"/>
      <c r="K249" s="28" t="n"/>
      <c r="L249" s="28" t="inlineStr">
        <is>
          <t>WITHDRAWN: Merged into WEB-SCREEN-374, which now carries this defect together with the others of the same kind — one fix, one row.</t>
        </is>
      </c>
      <c r="M249" s="28" t="inlineStr">
        <is>
          <t>—</t>
        </is>
      </c>
    </row>
    <row r="250">
      <c r="A250" s="27" t="inlineStr">
        <is>
          <t>WEB-SCREEN-150</t>
        </is>
      </c>
      <c r="B250" s="28" t="inlineStr">
        <is>
          <t>—</t>
        </is>
      </c>
      <c r="C250" s="28" t="inlineStr">
        <is>
          <t>—</t>
        </is>
      </c>
      <c r="D250" s="28" t="inlineStr">
        <is>
          <t>—</t>
        </is>
      </c>
      <c r="E250" s="28" t="inlineStr">
        <is>
          <t>Home · desktop — bringing social justice to every doorstep through digital ac</t>
        </is>
      </c>
      <c r="F250" s="28" t="inlineStr">
        <is>
          <t>No fix required — this finding was withdrawn.</t>
        </is>
      </c>
      <c r="G250" s="28" t="n"/>
      <c r="H250" s="28" t="n"/>
      <c r="I250" s="28" t="inlineStr">
        <is>
          <t>Withdrawn</t>
        </is>
      </c>
      <c r="J250" s="28" t="n"/>
      <c r="K250" s="28" t="n"/>
      <c r="L250" s="28" t="inlineStr">
        <is>
          <t>WITHDRAWN: Withdrawn: the design text is sample content in a repeated list or data field — names, e-mail addresses, dates, figures, event or album titles — which the live page fills with real entries. It is different data, not missing interface copy.</t>
        </is>
      </c>
      <c r="M250" s="28" t="inlineStr">
        <is>
          <t>—</t>
        </is>
      </c>
    </row>
    <row r="251">
      <c r="A251" s="27" t="inlineStr">
        <is>
          <t>WEB-SCREEN-153</t>
        </is>
      </c>
      <c r="B251" s="28" t="inlineStr">
        <is>
          <t>—</t>
        </is>
      </c>
      <c r="C251" s="28" t="inlineStr">
        <is>
          <t>—</t>
        </is>
      </c>
      <c r="D251" s="28" t="inlineStr">
        <is>
          <t>—</t>
        </is>
      </c>
      <c r="E251" s="28" t="inlineStr">
        <is>
          <t>Home · desktop — explore opportunities</t>
        </is>
      </c>
      <c r="F251" s="28" t="inlineStr">
        <is>
          <t>No fix required — this finding was withdrawn.</t>
        </is>
      </c>
      <c r="G251" s="28" t="n"/>
      <c r="H251" s="28" t="n"/>
      <c r="I251" s="28" t="inlineStr">
        <is>
          <t>Withdrawn</t>
        </is>
      </c>
      <c r="J251" s="28" t="n"/>
      <c r="K251" s="28" t="n"/>
      <c r="L251" s="28" t="inlineStr">
        <is>
          <t>WITHDRAWN: Withdrawn: the design text is sample content in a repeated list or data field — names, e-mail addresses, dates, figures, event or album titles — which the live page fills with real entries. It is different data, not missing interface copy.</t>
        </is>
      </c>
      <c r="M251" s="28" t="inlineStr">
        <is>
          <t>—</t>
        </is>
      </c>
    </row>
    <row r="252">
      <c r="A252" s="27" t="inlineStr">
        <is>
          <t>WEB-SCREEN-169</t>
        </is>
      </c>
      <c r="B252" s="28" t="inlineStr">
        <is>
          <t>—</t>
        </is>
      </c>
      <c r="C252" s="28" t="inlineStr">
        <is>
          <t>—</t>
        </is>
      </c>
      <c r="D252" s="28" t="inlineStr">
        <is>
          <t>—</t>
        </is>
      </c>
      <c r="E252" s="28" t="inlineStr">
        <is>
          <t>Home · desktop — view schemes</t>
        </is>
      </c>
      <c r="F252" s="28" t="inlineStr">
        <is>
          <t>No fix required — this finding was withdrawn.</t>
        </is>
      </c>
      <c r="G252" s="28" t="n"/>
      <c r="H252" s="28" t="n"/>
      <c r="I252" s="28" t="inlineStr">
        <is>
          <t>Withdrawn</t>
        </is>
      </c>
      <c r="J252" s="28" t="n"/>
      <c r="K252" s="28" t="n"/>
      <c r="L252" s="28" t="inlineStr">
        <is>
          <t>WITHDRAWN: Withdrawn: the design text is sample content in a repeated list or data field — names, e-mail addresses, dates, figures, event or album titles — which the live page fills with real entries. It is different data, not missing interface copy.</t>
        </is>
      </c>
      <c r="M252" s="28" t="inlineStr">
        <is>
          <t>—</t>
        </is>
      </c>
    </row>
    <row r="253">
      <c r="A253" s="27" t="inlineStr">
        <is>
          <t>WEB-SCREEN-157</t>
        </is>
      </c>
      <c r="B253" s="28" t="inlineStr">
        <is>
          <t>—</t>
        </is>
      </c>
      <c r="C253" s="28" t="inlineStr">
        <is>
          <t>—</t>
        </is>
      </c>
      <c r="D253" s="28" t="inlineStr">
        <is>
          <t>—</t>
        </is>
      </c>
      <c r="E253" s="28" t="inlineStr">
        <is>
          <t>Home · desktop — latest updates</t>
        </is>
      </c>
      <c r="F253" s="28" t="inlineStr">
        <is>
          <t>No fix required — this finding was withdrawn.</t>
        </is>
      </c>
      <c r="G253" s="28" t="n"/>
      <c r="H253" s="28" t="n"/>
      <c r="I253" s="28" t="inlineStr">
        <is>
          <t>Withdrawn</t>
        </is>
      </c>
      <c r="J253" s="28" t="n"/>
      <c r="K253" s="28" t="n"/>
      <c r="L253" s="28" t="inlineStr">
        <is>
          <t>WITHDRAWN: Withdrawn: the design text is sample content in a repeated list or data field — names, e-mail addresses, dates, figures, event or album titles — which the live page fills with real entries. It is different data, not missing interface copy.</t>
        </is>
      </c>
      <c r="M253" s="28" t="inlineStr">
        <is>
          <t>—</t>
        </is>
      </c>
    </row>
    <row r="254">
      <c r="A254" s="27" t="inlineStr">
        <is>
          <t>WEB-SCREEN-158</t>
        </is>
      </c>
      <c r="B254" s="28" t="inlineStr">
        <is>
          <t>—</t>
        </is>
      </c>
      <c r="C254" s="28" t="inlineStr">
        <is>
          <t>—</t>
        </is>
      </c>
      <c r="D254" s="28" t="inlineStr">
        <is>
          <t>—</t>
        </is>
      </c>
      <c r="E254" s="28" t="inlineStr">
        <is>
          <t>Home · desktop — new funding alert!</t>
        </is>
      </c>
      <c r="F254" s="28" t="inlineStr">
        <is>
          <t>No fix required — this finding was withdrawn.</t>
        </is>
      </c>
      <c r="G254" s="28" t="n"/>
      <c r="H254" s="28" t="n"/>
      <c r="I254" s="28" t="inlineStr">
        <is>
          <t>Withdrawn</t>
        </is>
      </c>
      <c r="J254" s="28" t="n"/>
      <c r="K254" s="28" t="n"/>
      <c r="L254" s="28" t="inlineStr">
        <is>
          <t>WITHDRAWN: Withdrawn: the design text is sample content in a repeated list or data field — names, e-mail addresses, dates, figures, event or album titles — which the live page fills with real entries. It is different data, not missing interface copy.</t>
        </is>
      </c>
      <c r="M254" s="28" t="inlineStr">
        <is>
          <t>—</t>
        </is>
      </c>
    </row>
    <row r="255">
      <c r="A255" s="27" t="inlineStr">
        <is>
          <t>WEB-SCREEN-033</t>
        </is>
      </c>
      <c r="B255" s="28" t="inlineStr">
        <is>
          <t>—</t>
        </is>
      </c>
      <c r="C255" s="28" t="inlineStr">
        <is>
          <t>—</t>
        </is>
      </c>
      <c r="D255" s="28" t="inlineStr">
        <is>
          <t>—</t>
        </is>
      </c>
      <c r="E255" s="28" t="inlineStr">
        <is>
          <t>Home · mobile — Go to slide 1</t>
        </is>
      </c>
      <c r="F255" s="28" t="inlineStr">
        <is>
          <t>No fix required — this finding was withdrawn.</t>
        </is>
      </c>
      <c r="G255" s="28" t="n"/>
      <c r="H255" s="28" t="n"/>
      <c r="I255" s="28" t="inlineStr">
        <is>
          <t>Withdrawn</t>
        </is>
      </c>
      <c r="J255" s="28" t="n"/>
      <c r="K255" s="28" t="n"/>
      <c r="L255" s="28" t="inlineStr">
        <is>
          <t>WITHDRAWN: Merged into WEB-GLOBAL-111 / WEB-GLOBAL-110 / WEB-GLOBAL-112, which now carries this defect together with the others of the same kind — one fix, one row.</t>
        </is>
      </c>
      <c r="M255" s="28" t="inlineStr">
        <is>
          <t>—</t>
        </is>
      </c>
    </row>
    <row r="256">
      <c r="A256" s="27" t="inlineStr">
        <is>
          <t>WEB-SCREEN-036</t>
        </is>
      </c>
      <c r="B256" s="28" t="inlineStr">
        <is>
          <t>—</t>
        </is>
      </c>
      <c r="C256" s="28" t="inlineStr">
        <is>
          <t>—</t>
        </is>
      </c>
      <c r="D256" s="28" t="inlineStr">
        <is>
          <t>—</t>
        </is>
      </c>
      <c r="E256" s="28" t="inlineStr">
        <is>
          <t>Home · mobile — Go to slide 2</t>
        </is>
      </c>
      <c r="F256" s="28" t="inlineStr">
        <is>
          <t>No fix required — this finding was withdrawn.</t>
        </is>
      </c>
      <c r="G256" s="28" t="n"/>
      <c r="H256" s="28" t="n"/>
      <c r="I256" s="28" t="inlineStr">
        <is>
          <t>Withdrawn</t>
        </is>
      </c>
      <c r="J256" s="28" t="n"/>
      <c r="K256" s="28" t="n"/>
      <c r="L256" s="28" t="inlineStr">
        <is>
          <t>WITHDRAWN: Merged into WEB-GLOBAL-111 / WEB-GLOBAL-110 / WEB-GLOBAL-112, which now carries this defect together with the others of the same kind — one fix, one row.</t>
        </is>
      </c>
      <c r="M256" s="28" t="inlineStr">
        <is>
          <t>—</t>
        </is>
      </c>
    </row>
    <row r="257">
      <c r="A257" s="27" t="inlineStr">
        <is>
          <t>WEB-SCREEN-034</t>
        </is>
      </c>
      <c r="B257" s="28" t="inlineStr">
        <is>
          <t>—</t>
        </is>
      </c>
      <c r="C257" s="28" t="inlineStr">
        <is>
          <t>—</t>
        </is>
      </c>
      <c r="D257" s="28" t="inlineStr">
        <is>
          <t>—</t>
        </is>
      </c>
      <c r="E257" s="28" t="inlineStr">
        <is>
          <t>Home · mobile — Go to slide 3</t>
        </is>
      </c>
      <c r="F257" s="28" t="inlineStr">
        <is>
          <t>No fix required — this finding was withdrawn.</t>
        </is>
      </c>
      <c r="G257" s="28" t="n"/>
      <c r="H257" s="28" t="n"/>
      <c r="I257" s="28" t="inlineStr">
        <is>
          <t>Withdrawn</t>
        </is>
      </c>
      <c r="J257" s="28" t="n"/>
      <c r="K257" s="28" t="n"/>
      <c r="L257" s="28" t="inlineStr">
        <is>
          <t>WITHDRAWN: Merged into WEB-GLOBAL-111 / WEB-GLOBAL-110 / WEB-GLOBAL-112, which now carries this defect together with the others of the same kind — one fix, one row.</t>
        </is>
      </c>
      <c r="M257" s="28" t="inlineStr">
        <is>
          <t>—</t>
        </is>
      </c>
    </row>
    <row r="258">
      <c r="A258" s="27" t="inlineStr">
        <is>
          <t>WEB-SCREEN-035</t>
        </is>
      </c>
      <c r="B258" s="28" t="inlineStr">
        <is>
          <t>—</t>
        </is>
      </c>
      <c r="C258" s="28" t="inlineStr">
        <is>
          <t>—</t>
        </is>
      </c>
      <c r="D258" s="28" t="inlineStr">
        <is>
          <t>—</t>
        </is>
      </c>
      <c r="E258" s="28" t="inlineStr">
        <is>
          <t>Home · mobile — Go to slide 4</t>
        </is>
      </c>
      <c r="F258" s="28" t="inlineStr">
        <is>
          <t>No fix required — this finding was withdrawn.</t>
        </is>
      </c>
      <c r="G258" s="28" t="n"/>
      <c r="H258" s="28" t="n"/>
      <c r="I258" s="28" t="inlineStr">
        <is>
          <t>Withdrawn</t>
        </is>
      </c>
      <c r="J258" s="28" t="n"/>
      <c r="K258" s="28" t="n"/>
      <c r="L258" s="28" t="inlineStr">
        <is>
          <t>WITHDRAWN: Merged into WEB-GLOBAL-111 / WEB-GLOBAL-110 / WEB-GLOBAL-112, which now carries this defect together with the others of the same kind — one fix, one row.</t>
        </is>
      </c>
      <c r="M258" s="28" t="inlineStr">
        <is>
          <t>—</t>
        </is>
      </c>
    </row>
    <row r="259">
      <c r="A259" s="27" t="inlineStr">
        <is>
          <t>WEB-SCREEN-163</t>
        </is>
      </c>
      <c r="B259" s="28" t="inlineStr">
        <is>
          <t>—</t>
        </is>
      </c>
      <c r="C259" s="28" t="inlineStr">
        <is>
          <t>—</t>
        </is>
      </c>
      <c r="D259" s="28" t="inlineStr">
        <is>
          <t>—</t>
        </is>
      </c>
      <c r="E259" s="28" t="inlineStr">
        <is>
          <t xml:space="preserve">Home · mobile — smile - support for marginalised individuals for livelihood </t>
        </is>
      </c>
      <c r="F259" s="28" t="inlineStr">
        <is>
          <t>No fix required — this finding was withdrawn.</t>
        </is>
      </c>
      <c r="G259" s="28" t="n"/>
      <c r="H259" s="28" t="n"/>
      <c r="I259" s="28" t="inlineStr">
        <is>
          <t>Withdrawn</t>
        </is>
      </c>
      <c r="J259" s="28" t="n"/>
      <c r="K259" s="28" t="n"/>
      <c r="L259" s="28" t="inlineStr">
        <is>
          <t>WITHDRAWN: Withdrawn: the design text is sample content in a repeated list or data field — names, e-mail addresses, dates, figures, event or album titles — which the live page fills with real entries. It is different data, not missing interface copy.</t>
        </is>
      </c>
      <c r="M259" s="28" t="inlineStr">
        <is>
          <t>—</t>
        </is>
      </c>
    </row>
    <row r="260">
      <c r="A260" s="27" t="inlineStr">
        <is>
          <t>WEB-SCREEN-156</t>
        </is>
      </c>
      <c r="B260" s="28" t="inlineStr">
        <is>
          <t>—</t>
        </is>
      </c>
      <c r="C260" s="28" t="inlineStr">
        <is>
          <t>—</t>
        </is>
      </c>
      <c r="D260" s="28" t="inlineStr">
        <is>
          <t>—</t>
        </is>
      </c>
      <c r="E260" s="28" t="inlineStr">
        <is>
          <t>Home · mobile — integrated rehabilitation, skills training and livelihood su</t>
        </is>
      </c>
      <c r="F260" s="28" t="inlineStr">
        <is>
          <t>No fix required — this finding was withdrawn.</t>
        </is>
      </c>
      <c r="G260" s="28" t="n"/>
      <c r="H260" s="28" t="n"/>
      <c r="I260" s="28" t="inlineStr">
        <is>
          <t>Withdrawn</t>
        </is>
      </c>
      <c r="J260" s="28" t="n"/>
      <c r="K260" s="28" t="n"/>
      <c r="L260" s="28" t="inlineStr">
        <is>
          <t>WITHDRAWN: Withdrawn: the design text is sample content in a repeated list or data field — names, e-mail addresses, dates, figures, event or album titles — which the live page fills with real entries. It is different data, not missing interface copy.</t>
        </is>
      </c>
      <c r="M260" s="28" t="inlineStr">
        <is>
          <t>—</t>
        </is>
      </c>
    </row>
    <row r="261">
      <c r="A261" s="27" t="inlineStr">
        <is>
          <t>WEB-SCREEN-037</t>
        </is>
      </c>
      <c r="B261" s="28" t="inlineStr">
        <is>
          <t>—</t>
        </is>
      </c>
      <c r="C261" s="28" t="inlineStr">
        <is>
          <t>—</t>
        </is>
      </c>
      <c r="D261" s="28" t="inlineStr">
        <is>
          <t>—</t>
        </is>
      </c>
      <c r="E261" s="28" t="inlineStr">
        <is>
          <t>Lok Sabha Question Answer · mobile — NCSK</t>
        </is>
      </c>
      <c r="F261" s="28" t="inlineStr">
        <is>
          <t>No fix required — this finding was withdrawn.</t>
        </is>
      </c>
      <c r="G261" s="28" t="n"/>
      <c r="H261" s="28" t="n"/>
      <c r="I261" s="28" t="inlineStr">
        <is>
          <t>Withdrawn</t>
        </is>
      </c>
      <c r="J261" s="28" t="n"/>
      <c r="K261" s="28" t="n"/>
      <c r="L261" s="28" t="inlineStr">
        <is>
          <t>WITHDRAWN: Merged into WEB-GLOBAL-111 / WEB-GLOBAL-110 / WEB-GLOBAL-112, which now carries this defect together with the others of the same kind — one fix, one row.</t>
        </is>
      </c>
      <c r="M261" s="28" t="inlineStr">
        <is>
          <t>—</t>
        </is>
      </c>
    </row>
    <row r="262">
      <c r="A262" s="27" t="inlineStr">
        <is>
          <t>WEB-SCREEN-179</t>
        </is>
      </c>
      <c r="B262" s="28" t="inlineStr">
        <is>
          <t>—</t>
        </is>
      </c>
      <c r="C262" s="28" t="inlineStr">
        <is>
          <t>—</t>
        </is>
      </c>
      <c r="D262" s="28" t="inlineStr">
        <is>
          <t>—</t>
        </is>
      </c>
      <c r="E262" s="28" t="inlineStr">
        <is>
          <t>Mosje Directory · desktop — discover the commissions, corporations, institutes and found</t>
        </is>
      </c>
      <c r="F262" s="28" t="inlineStr">
        <is>
          <t>No fix required — this finding was withdrawn.</t>
        </is>
      </c>
      <c r="G262" s="28" t="n"/>
      <c r="H262" s="28" t="n"/>
      <c r="I262" s="28" t="inlineStr">
        <is>
          <t>Withdrawn</t>
        </is>
      </c>
      <c r="J262" s="28" t="n"/>
      <c r="K262" s="28" t="n"/>
      <c r="L262" s="28" t="inlineStr">
        <is>
          <t>WITHDRAWN: Merged into WEB-SCREEN-377, which now carries this defect together with the others of the same kind — one fix, one row.</t>
        </is>
      </c>
      <c r="M262" s="28" t="inlineStr">
        <is>
          <t>—</t>
        </is>
      </c>
    </row>
    <row r="263">
      <c r="A263" s="27" t="inlineStr">
        <is>
          <t>WEB-SCREEN-189</t>
        </is>
      </c>
      <c r="B263" s="28" t="inlineStr">
        <is>
          <t>—</t>
        </is>
      </c>
      <c r="C263" s="28" t="inlineStr">
        <is>
          <t>—</t>
        </is>
      </c>
      <c r="D263" s="28" t="inlineStr">
        <is>
          <t>—</t>
        </is>
      </c>
      <c r="E263" s="28" t="inlineStr">
        <is>
          <t>Mosje Directory · desktop — reset filters</t>
        </is>
      </c>
      <c r="F263" s="28" t="inlineStr">
        <is>
          <t>No fix required — this finding was withdrawn.</t>
        </is>
      </c>
      <c r="G263" s="28" t="n"/>
      <c r="H263" s="28" t="n"/>
      <c r="I263" s="28" t="inlineStr">
        <is>
          <t>Withdrawn</t>
        </is>
      </c>
      <c r="J263" s="28" t="n"/>
      <c r="K263" s="28" t="n"/>
      <c r="L263" s="28" t="inlineStr">
        <is>
          <t>WITHDRAWN: Withdrawn: the design text is sample content in a repeated list or data field — names, e-mail addresses, dates, figures, event or album titles — which the live page fills with real entries. It is different data, not missing interface copy.</t>
        </is>
      </c>
      <c r="M263" s="28" t="inlineStr">
        <is>
          <t>—</t>
        </is>
      </c>
    </row>
    <row r="264">
      <c r="A264" s="27" t="inlineStr">
        <is>
          <t>WEB-SCREEN-187</t>
        </is>
      </c>
      <c r="B264" s="28" t="inlineStr">
        <is>
          <t>—</t>
        </is>
      </c>
      <c r="C264" s="28" t="inlineStr">
        <is>
          <t>—</t>
        </is>
      </c>
      <c r="D264" s="28" t="inlineStr">
        <is>
          <t>—</t>
        </is>
      </c>
      <c r="E264" s="28" t="inlineStr">
        <is>
          <t>Mosje Directory · desktop — organization</t>
        </is>
      </c>
      <c r="F264" s="28" t="inlineStr">
        <is>
          <t>No fix required — this finding was withdrawn.</t>
        </is>
      </c>
      <c r="G264" s="28" t="n"/>
      <c r="H264" s="28" t="n"/>
      <c r="I264" s="28" t="inlineStr">
        <is>
          <t>Withdrawn</t>
        </is>
      </c>
      <c r="J264" s="28" t="n"/>
      <c r="K264" s="28" t="n"/>
      <c r="L264" s="28" t="inlineStr">
        <is>
          <t>WITHDRAWN: Merged into WEB-GLOBAL-052, which now carries this defect together with the others of the same kind — one fix, one row.</t>
        </is>
      </c>
      <c r="M264" s="28" t="inlineStr">
        <is>
          <t>—</t>
        </is>
      </c>
    </row>
    <row r="265">
      <c r="A265" s="27" t="inlineStr">
        <is>
          <t>WEB-SCREEN-172</t>
        </is>
      </c>
      <c r="B265" s="28" t="inlineStr">
        <is>
          <t>—</t>
        </is>
      </c>
      <c r="C265" s="28" t="inlineStr">
        <is>
          <t>—</t>
        </is>
      </c>
      <c r="D265" s="28" t="inlineStr">
        <is>
          <t>—</t>
        </is>
      </c>
      <c r="E265" s="28" t="inlineStr">
        <is>
          <t>Mosje Directory · desktop — ashutosh niranjan</t>
        </is>
      </c>
      <c r="F265" s="28" t="inlineStr">
        <is>
          <t>No fix required — this finding was withdrawn.</t>
        </is>
      </c>
      <c r="G265" s="28" t="n"/>
      <c r="H265" s="28" t="n"/>
      <c r="I265" s="28" t="inlineStr">
        <is>
          <t>Withdrawn</t>
        </is>
      </c>
      <c r="J265" s="28" t="n"/>
      <c r="K265" s="28" t="n"/>
      <c r="L265" s="28" t="inlineStr">
        <is>
          <t>WITHDRAWN: Withdrawn: the design text is sample content in a repeated list or data field — names, e-mail addresses, dates, figures, event or album titles — which the live page fills with real entries. It is different data, not missing interface copy.</t>
        </is>
      </c>
      <c r="M265" s="28" t="inlineStr">
        <is>
          <t>—</t>
        </is>
      </c>
    </row>
    <row r="266">
      <c r="A266" s="27" t="inlineStr">
        <is>
          <t>WEB-SCREEN-186</t>
        </is>
      </c>
      <c r="B266" s="28" t="inlineStr">
        <is>
          <t>—</t>
        </is>
      </c>
      <c r="C266" s="28" t="inlineStr">
        <is>
          <t>—</t>
        </is>
      </c>
      <c r="D266" s="28" t="inlineStr">
        <is>
          <t>—</t>
        </is>
      </c>
      <c r="E266" s="28" t="inlineStr">
        <is>
          <t>Mosje Directory · desktop — ms. priya sharma</t>
        </is>
      </c>
      <c r="F266" s="28" t="inlineStr">
        <is>
          <t>No fix required — this finding was withdrawn.</t>
        </is>
      </c>
      <c r="G266" s="28" t="n"/>
      <c r="H266" s="28" t="n"/>
      <c r="I266" s="28" t="inlineStr">
        <is>
          <t>Withdrawn</t>
        </is>
      </c>
      <c r="J266" s="28" t="n"/>
      <c r="K266" s="28" t="n"/>
      <c r="L266" s="28" t="inlineStr">
        <is>
          <t>WITHDRAWN: Withdrawn: the design text is sample content in a repeated list or data field — names, e-mail addresses, dates, figures, event or album titles — which the live page fills with real entries. It is different data, not missing interface copy.</t>
        </is>
      </c>
      <c r="M266" s="28" t="inlineStr">
        <is>
          <t>—</t>
        </is>
      </c>
    </row>
    <row r="267">
      <c r="A267" s="27" t="inlineStr">
        <is>
          <t>WEB-SCREEN-188</t>
        </is>
      </c>
      <c r="B267" s="28" t="inlineStr">
        <is>
          <t>—</t>
        </is>
      </c>
      <c r="C267" s="28" t="inlineStr">
        <is>
          <t>—</t>
        </is>
      </c>
      <c r="D267" s="28" t="inlineStr">
        <is>
          <t>—</t>
        </is>
      </c>
      <c r="E267" s="28" t="inlineStr">
        <is>
          <t>Mosje Directory · desktop — private secretary to the minister</t>
        </is>
      </c>
      <c r="F267" s="28" t="inlineStr">
        <is>
          <t>No fix required — this finding was withdrawn.</t>
        </is>
      </c>
      <c r="G267" s="28" t="n"/>
      <c r="H267" s="28" t="n"/>
      <c r="I267" s="28" t="inlineStr">
        <is>
          <t>Withdrawn</t>
        </is>
      </c>
      <c r="J267" s="28" t="n"/>
      <c r="K267" s="28" t="n"/>
      <c r="L267" s="28" t="inlineStr">
        <is>
          <t>WITHDRAWN: Withdrawn: the design text is sample content in a repeated list or data field — names, e-mail addresses, dates, figures, event or album titles — which the live page fills with real entries. It is different data, not missing interface copy.</t>
        </is>
      </c>
      <c r="M267" s="28" t="inlineStr">
        <is>
          <t>—</t>
        </is>
      </c>
    </row>
    <row r="268">
      <c r="A268" s="27" t="inlineStr">
        <is>
          <t>WEB-SCREEN-175</t>
        </is>
      </c>
      <c r="B268" s="28" t="inlineStr">
        <is>
          <t>—</t>
        </is>
      </c>
      <c r="C268" s="28" t="inlineStr">
        <is>
          <t>—</t>
        </is>
      </c>
      <c r="D268" s="28" t="inlineStr">
        <is>
          <t>—</t>
        </is>
      </c>
      <c r="E268" s="28" t="inlineStr">
        <is>
          <t>Mosje Directory · mobile — browse our directory for key contact information of commissi</t>
        </is>
      </c>
      <c r="F268" s="28" t="inlineStr">
        <is>
          <t>No fix required — this finding was withdrawn.</t>
        </is>
      </c>
      <c r="G268" s="28" t="n"/>
      <c r="H268" s="28" t="n"/>
      <c r="I268" s="28" t="inlineStr">
        <is>
          <t>Withdrawn</t>
        </is>
      </c>
      <c r="J268" s="28" t="n"/>
      <c r="K268" s="28" t="n"/>
      <c r="L268" s="28" t="inlineStr">
        <is>
          <t>WITHDRAWN: Withdrawn: the design text is sample content in a repeated list or data field — names, e-mail addresses, dates, figures, event or album titles — which the live page fills with real entries. It is different data, not missing interface copy.</t>
        </is>
      </c>
      <c r="M268" s="28" t="inlineStr">
        <is>
          <t>—</t>
        </is>
      </c>
    </row>
    <row r="269">
      <c r="A269" s="27" t="inlineStr">
        <is>
          <t>WEB-SCREEN-180</t>
        </is>
      </c>
      <c r="B269" s="28" t="inlineStr">
        <is>
          <t>—</t>
        </is>
      </c>
      <c r="C269" s="28" t="inlineStr">
        <is>
          <t>—</t>
        </is>
      </c>
      <c r="D269" s="28" t="inlineStr">
        <is>
          <t>—</t>
        </is>
      </c>
      <c r="E269" s="28" t="inlineStr">
        <is>
          <t>Mosje Directory · mobile — download directory</t>
        </is>
      </c>
      <c r="F269" s="28" t="inlineStr">
        <is>
          <t>No fix required — this finding was withdrawn.</t>
        </is>
      </c>
      <c r="G269" s="28" t="n"/>
      <c r="H269" s="28" t="n"/>
      <c r="I269" s="28" t="inlineStr">
        <is>
          <t>Withdrawn</t>
        </is>
      </c>
      <c r="J269" s="28" t="n"/>
      <c r="K269" s="28" t="n"/>
      <c r="L269" s="28" t="inlineStr">
        <is>
          <t>WITHDRAWN: Withdrawn: the design text is sample content in a repeated list or data field — names, e-mail addresses, dates, figures, event or album titles — which the live page fills with real entries. It is different data, not missing interface copy.</t>
        </is>
      </c>
      <c r="M269" s="28" t="inlineStr">
        <is>
          <t>—</t>
        </is>
      </c>
    </row>
    <row r="270">
      <c r="A270" s="27" t="inlineStr">
        <is>
          <t>WEB-SCREEN-190</t>
        </is>
      </c>
      <c r="B270" s="28" t="inlineStr">
        <is>
          <t>—</t>
        </is>
      </c>
      <c r="C270" s="28" t="inlineStr">
        <is>
          <t>—</t>
        </is>
      </c>
      <c r="D270" s="28" t="inlineStr">
        <is>
          <t>—</t>
        </is>
      </c>
      <c r="E270" s="28" t="inlineStr">
        <is>
          <t>Mosje Directory · mobile — telephone(res./mobile)</t>
        </is>
      </c>
      <c r="F270" s="28" t="inlineStr">
        <is>
          <t>No fix required — this finding was withdrawn.</t>
        </is>
      </c>
      <c r="G270" s="28" t="n"/>
      <c r="H270" s="28" t="n"/>
      <c r="I270" s="28" t="inlineStr">
        <is>
          <t>Withdrawn</t>
        </is>
      </c>
      <c r="J270" s="28" t="n"/>
      <c r="K270" s="28" t="n"/>
      <c r="L270" s="28" t="inlineStr">
        <is>
          <t>WITHDRAWN: Withdrawn: the design text is sample content in a repeated list or data field — names, e-mail addresses, dates, figures, event or album titles — which the live page fills with real entries. It is different data, not missing interface copy.</t>
        </is>
      </c>
      <c r="M270" s="28" t="inlineStr">
        <is>
          <t>—</t>
        </is>
      </c>
    </row>
    <row r="271">
      <c r="A271" s="27" t="inlineStr">
        <is>
          <t>WEB-SCREEN-173</t>
        </is>
      </c>
      <c r="B271" s="28" t="inlineStr">
        <is>
          <t>—</t>
        </is>
      </c>
      <c r="C271" s="28" t="inlineStr">
        <is>
          <t>—</t>
        </is>
      </c>
      <c r="D271" s="28" t="inlineStr">
        <is>
          <t>—</t>
        </is>
      </c>
      <c r="E271" s="28" t="inlineStr">
        <is>
          <t>Mosje Directory · mobile — ashutosh niranjan, ias</t>
        </is>
      </c>
      <c r="F271" s="28" t="inlineStr">
        <is>
          <t>No fix required — this finding was withdrawn.</t>
        </is>
      </c>
      <c r="G271" s="28" t="n"/>
      <c r="H271" s="28" t="n"/>
      <c r="I271" s="28" t="inlineStr">
        <is>
          <t>Withdrawn</t>
        </is>
      </c>
      <c r="J271" s="28" t="n"/>
      <c r="K271" s="28" t="n"/>
      <c r="L271" s="28" t="inlineStr">
        <is>
          <t>WITHDRAWN: Withdrawn: the design text is sample content in a repeated list or data field — names, e-mail addresses, dates, figures, event or album titles — which the live page fills with real entries. It is different data, not missing interface copy.</t>
        </is>
      </c>
      <c r="M271" s="28" t="inlineStr">
        <is>
          <t>—</t>
        </is>
      </c>
    </row>
    <row r="272">
      <c r="A272" s="27" t="inlineStr">
        <is>
          <t>WEB-SCREEN-177</t>
        </is>
      </c>
      <c r="B272" s="28" t="inlineStr">
        <is>
          <t>—</t>
        </is>
      </c>
      <c r="C272" s="28" t="inlineStr">
        <is>
          <t>—</t>
        </is>
      </c>
      <c r="D272" s="28" t="inlineStr">
        <is>
          <t>—</t>
        </is>
      </c>
      <c r="E272" s="28" t="inlineStr">
        <is>
          <t>Mosje Directory · mobile — devansh wathrey</t>
        </is>
      </c>
      <c r="F272" s="28" t="inlineStr">
        <is>
          <t>No fix required — this finding was withdrawn.</t>
        </is>
      </c>
      <c r="G272" s="28" t="n"/>
      <c r="H272" s="28" t="n"/>
      <c r="I272" s="28" t="inlineStr">
        <is>
          <t>Withdrawn</t>
        </is>
      </c>
      <c r="J272" s="28" t="n"/>
      <c r="K272" s="28" t="n"/>
      <c r="L272" s="28" t="inlineStr">
        <is>
          <t>WITHDRAWN: Withdrawn: the design text is sample content in a repeated list or data field — names, e-mail addresses, dates, figures, event or album titles — which the live page fills with real entries. It is different data, not missing interface copy.</t>
        </is>
      </c>
      <c r="M272" s="28" t="inlineStr">
        <is>
          <t>—</t>
        </is>
      </c>
    </row>
    <row r="273">
      <c r="A273" s="27" t="inlineStr">
        <is>
          <t>WEB-SCREEN-191</t>
        </is>
      </c>
      <c r="B273" s="28" t="inlineStr">
        <is>
          <t>—</t>
        </is>
      </c>
      <c r="C273" s="28" t="inlineStr">
        <is>
          <t>—</t>
        </is>
      </c>
      <c r="D273" s="28" t="inlineStr">
        <is>
          <t>—</t>
        </is>
      </c>
      <c r="E273" s="28" t="inlineStr">
        <is>
          <t>Mosje Directory · mobile — tripathi[dot]yogesh[at]nic[dot]in</t>
        </is>
      </c>
      <c r="F273" s="28" t="inlineStr">
        <is>
          <t>No fix required — this finding was withdrawn.</t>
        </is>
      </c>
      <c r="G273" s="28" t="n"/>
      <c r="H273" s="28" t="n"/>
      <c r="I273" s="28" t="inlineStr">
        <is>
          <t>Withdrawn</t>
        </is>
      </c>
      <c r="J273" s="28" t="n"/>
      <c r="K273" s="28" t="n"/>
      <c r="L273" s="28" t="inlineStr">
        <is>
          <t>WITHDRAWN: Withdrawn: the design text is sample content in a repeated list or data field — names, e-mail addresses, dates, figures, event or album titles — which the live page fills with real entries. It is different data, not missing interface copy.</t>
        </is>
      </c>
      <c r="M273" s="28" t="inlineStr">
        <is>
          <t>—</t>
        </is>
      </c>
    </row>
    <row r="274">
      <c r="A274" s="27" t="inlineStr">
        <is>
          <t>WEB-SCREEN-038</t>
        </is>
      </c>
      <c r="B274" s="28" t="inlineStr">
        <is>
          <t>—</t>
        </is>
      </c>
      <c r="C274" s="28" t="inlineStr">
        <is>
          <t>—</t>
        </is>
      </c>
      <c r="D274" s="28" t="inlineStr">
        <is>
          <t>—</t>
        </is>
      </c>
      <c r="E274" s="28" t="inlineStr">
        <is>
          <t>Notices · mobile — BJRNF</t>
        </is>
      </c>
      <c r="F274" s="28" t="inlineStr">
        <is>
          <t>No fix required — this finding was withdrawn.</t>
        </is>
      </c>
      <c r="G274" s="28" t="n"/>
      <c r="H274" s="28" t="n"/>
      <c r="I274" s="28" t="inlineStr">
        <is>
          <t>Withdrawn</t>
        </is>
      </c>
      <c r="J274" s="28" t="n"/>
      <c r="K274" s="28" t="n"/>
      <c r="L274" s="28" t="inlineStr">
        <is>
          <t>WITHDRAWN: Merged into WEB-GLOBAL-111 / WEB-GLOBAL-110 / WEB-GLOBAL-112, which now carries this defect together with the others of the same kind — one fix, one row.</t>
        </is>
      </c>
      <c r="M274" s="28" t="inlineStr">
        <is>
          <t>—</t>
        </is>
      </c>
    </row>
    <row r="275">
      <c r="A275" s="27" t="inlineStr">
        <is>
          <t>WEB-SCREEN-039</t>
        </is>
      </c>
      <c r="B275" s="28" t="inlineStr">
        <is>
          <t>—</t>
        </is>
      </c>
      <c r="C275" s="28" t="inlineStr">
        <is>
          <t>—</t>
        </is>
      </c>
      <c r="D275" s="28" t="inlineStr">
        <is>
          <t>—</t>
        </is>
      </c>
      <c r="E275" s="28" t="inlineStr">
        <is>
          <t>Notices · mobile — E-Anudaan</t>
        </is>
      </c>
      <c r="F275" s="28" t="inlineStr">
        <is>
          <t>No fix required — this finding was withdrawn.</t>
        </is>
      </c>
      <c r="G275" s="28" t="n"/>
      <c r="H275" s="28" t="n"/>
      <c r="I275" s="28" t="inlineStr">
        <is>
          <t>Withdrawn</t>
        </is>
      </c>
      <c r="J275" s="28" t="n"/>
      <c r="K275" s="28" t="n"/>
      <c r="L275" s="28" t="inlineStr">
        <is>
          <t>WITHDRAWN: Merged into WEB-GLOBAL-111 / WEB-GLOBAL-110 / WEB-GLOBAL-112, which now carries this defect together with the others of the same kind — one fix, one row.</t>
        </is>
      </c>
      <c r="M275" s="28" t="inlineStr">
        <is>
          <t>—</t>
        </is>
      </c>
    </row>
    <row r="276">
      <c r="A276" s="27" t="inlineStr">
        <is>
          <t>WEB-SCREEN-192</t>
        </is>
      </c>
      <c r="B276" s="28" t="inlineStr">
        <is>
          <t>—</t>
        </is>
      </c>
      <c r="C276" s="28" t="inlineStr">
        <is>
          <t>—</t>
        </is>
      </c>
      <c r="D276" s="28" t="inlineStr">
        <is>
          <t>—</t>
        </is>
      </c>
      <c r="E276" s="28" t="inlineStr">
        <is>
          <t>Policies · desktop — 1. information collection we do not automatically gather any</t>
        </is>
      </c>
      <c r="F276" s="28" t="inlineStr">
        <is>
          <t>No fix required — this finding was withdrawn.</t>
        </is>
      </c>
      <c r="G276" s="28" t="n"/>
      <c r="H276" s="28" t="n"/>
      <c r="I276" s="28" t="inlineStr">
        <is>
          <t>Withdrawn</t>
        </is>
      </c>
      <c r="J276" s="28" t="n"/>
      <c r="K276" s="28" t="n"/>
      <c r="L276" s="28" t="inlineStr">
        <is>
          <t>WITHDRAWN: Merged into WEB-SCREEN-379, which now carries this defect together with the others of the same kind — one fix, one row.</t>
        </is>
      </c>
      <c r="M276" s="28" t="inlineStr">
        <is>
          <t>—</t>
        </is>
      </c>
    </row>
    <row r="277">
      <c r="A277" s="27" t="inlineStr">
        <is>
          <t>WEB-SCREEN-041</t>
        </is>
      </c>
      <c r="B277" s="28" t="inlineStr">
        <is>
          <t>—</t>
        </is>
      </c>
      <c r="C277" s="28" t="inlineStr">
        <is>
          <t>—</t>
        </is>
      </c>
      <c r="D277" s="28" t="inlineStr">
        <is>
          <t>—</t>
        </is>
      </c>
      <c r="E277" s="28" t="inlineStr">
        <is>
          <t>Procedure For Processing Grant In Aid Cases In Respect Of Voluntary Organisations · desktop — Home</t>
        </is>
      </c>
      <c r="F277" s="28" t="inlineStr">
        <is>
          <t>No fix required — this finding was withdrawn.</t>
        </is>
      </c>
      <c r="G277" s="28" t="n"/>
      <c r="H277" s="28" t="n"/>
      <c r="I277" s="28" t="inlineStr">
        <is>
          <t>Withdrawn</t>
        </is>
      </c>
      <c r="J277" s="28" t="n"/>
      <c r="K277" s="28" t="n"/>
      <c r="L277" s="28" t="inlineStr">
        <is>
          <t>WITHDRAWN: Merged into WEB-GLOBAL-111, which now carries this defect together with the others of the same kind — one fix, one row.</t>
        </is>
      </c>
      <c r="M277" s="28" t="inlineStr">
        <is>
          <t>—</t>
        </is>
      </c>
    </row>
    <row r="278">
      <c r="A278" s="27" t="inlineStr">
        <is>
          <t>WEB-SCREEN-042</t>
        </is>
      </c>
      <c r="B278" s="28" t="inlineStr">
        <is>
          <t>—</t>
        </is>
      </c>
      <c r="C278" s="28" t="inlineStr">
        <is>
          <t>—</t>
        </is>
      </c>
      <c r="D278" s="28" t="inlineStr">
        <is>
          <t>—</t>
        </is>
      </c>
      <c r="E278" s="28" t="inlineStr">
        <is>
          <t>Procedure For Processing Grant In Aid Cases In Respect Of Voluntary Organisations · desktop — Department</t>
        </is>
      </c>
      <c r="F278" s="28" t="inlineStr">
        <is>
          <t>No fix required — this finding was withdrawn.</t>
        </is>
      </c>
      <c r="G278" s="28" t="n"/>
      <c r="H278" s="28" t="n"/>
      <c r="I278" s="28" t="inlineStr">
        <is>
          <t>Withdrawn</t>
        </is>
      </c>
      <c r="J278" s="28" t="n"/>
      <c r="K278" s="28" t="n"/>
      <c r="L278" s="28" t="inlineStr">
        <is>
          <t>WITHDRAWN: Merged into WEB-GLOBAL-111 / WEB-GLOBAL-110 / WEB-GLOBAL-112, which now carries this defect together with the others of the same kind — one fix, one row.</t>
        </is>
      </c>
      <c r="M278" s="28" t="inlineStr">
        <is>
          <t>—</t>
        </is>
      </c>
    </row>
    <row r="279">
      <c r="A279" s="27" t="inlineStr">
        <is>
          <t>WEB-SCREEN-040</t>
        </is>
      </c>
      <c r="B279" s="28" t="inlineStr">
        <is>
          <t>—</t>
        </is>
      </c>
      <c r="C279" s="28" t="inlineStr">
        <is>
          <t>—</t>
        </is>
      </c>
      <c r="D279" s="28" t="inlineStr">
        <is>
          <t>—</t>
        </is>
      </c>
      <c r="E279" s="28" t="inlineStr">
        <is>
          <t>Procedure For Processing Grant In Aid Cases In Respect Of Voluntary Organisations · desktop — Associated Organisations</t>
        </is>
      </c>
      <c r="F279" s="28" t="inlineStr">
        <is>
          <t>No fix required — this finding was withdrawn.</t>
        </is>
      </c>
      <c r="G279" s="28" t="n"/>
      <c r="H279" s="28" t="n"/>
      <c r="I279" s="28" t="inlineStr">
        <is>
          <t>Withdrawn</t>
        </is>
      </c>
      <c r="J279" s="28" t="n"/>
      <c r="K279" s="28" t="n"/>
      <c r="L279" s="28" t="inlineStr">
        <is>
          <t>WITHDRAWN: Merged into WEB-GLOBAL-111 / WEB-GLOBAL-110 / WEB-GLOBAL-112, which now carries this defect together with the others of the same kind — one fix, one row.</t>
        </is>
      </c>
      <c r="M279" s="28" t="inlineStr">
        <is>
          <t>—</t>
        </is>
      </c>
    </row>
    <row r="280">
      <c r="A280" s="27" t="inlineStr">
        <is>
          <t>WEB-SCREEN-043</t>
        </is>
      </c>
      <c r="B280" s="28" t="inlineStr">
        <is>
          <t>—</t>
        </is>
      </c>
      <c r="C280" s="28" t="inlineStr">
        <is>
          <t>—</t>
        </is>
      </c>
      <c r="D280" s="28" t="inlineStr">
        <is>
          <t>—</t>
        </is>
      </c>
      <c r="E280" s="28" t="inlineStr">
        <is>
          <t>Resources · mobile — DWBDNC</t>
        </is>
      </c>
      <c r="F280" s="28" t="inlineStr">
        <is>
          <t>No fix required — this finding was withdrawn.</t>
        </is>
      </c>
      <c r="G280" s="28" t="n"/>
      <c r="H280" s="28" t="n"/>
      <c r="I280" s="28" t="inlineStr">
        <is>
          <t>Withdrawn</t>
        </is>
      </c>
      <c r="J280" s="28" t="n"/>
      <c r="K280" s="28" t="n"/>
      <c r="L280" s="28" t="inlineStr">
        <is>
          <t>WITHDRAWN: Merged into WEB-GLOBAL-111 / WEB-GLOBAL-110 / WEB-GLOBAL-112, which now carries this defect together with the others of the same kind — one fix, one row.</t>
        </is>
      </c>
      <c r="M280" s="28" t="inlineStr">
        <is>
          <t>—</t>
        </is>
      </c>
    </row>
    <row r="281">
      <c r="A281" s="27" t="inlineStr">
        <is>
          <t>WEB-SCREEN-194</t>
        </is>
      </c>
      <c r="B281" s="28" t="inlineStr">
        <is>
          <t>—</t>
        </is>
      </c>
      <c r="C281" s="28" t="inlineStr">
        <is>
          <t>—</t>
        </is>
      </c>
      <c r="D281" s="28" t="inlineStr">
        <is>
          <t>—</t>
        </is>
      </c>
      <c r="E281" s="28" t="inlineStr">
        <is>
          <t>Rti · desktop — suo-moto disclosure</t>
        </is>
      </c>
      <c r="F281" s="28" t="inlineStr">
        <is>
          <t>No fix required — this finding was withdrawn.</t>
        </is>
      </c>
      <c r="G281" s="28" t="n"/>
      <c r="H281" s="28" t="n"/>
      <c r="I281" s="28" t="inlineStr">
        <is>
          <t>Withdrawn</t>
        </is>
      </c>
      <c r="J281" s="28" t="n"/>
      <c r="K281" s="28" t="n"/>
      <c r="L281" s="28" t="inlineStr">
        <is>
          <t>WITHDRAWN: Merged into WEB-GLOBAL-113, which now carries this defect together with the others of the same kind — one fix, one row.</t>
        </is>
      </c>
      <c r="M281" s="28" t="inlineStr">
        <is>
          <t>—</t>
        </is>
      </c>
    </row>
    <row r="282">
      <c r="A282" s="27" t="inlineStr">
        <is>
          <t>WEB-SCREEN-193</t>
        </is>
      </c>
      <c r="B282" s="28" t="inlineStr">
        <is>
          <t>—</t>
        </is>
      </c>
      <c r="C282" s="28" t="inlineStr">
        <is>
          <t>—</t>
        </is>
      </c>
      <c r="D282" s="28" t="inlineStr">
        <is>
          <t>—</t>
        </is>
      </c>
      <c r="E282" s="28" t="inlineStr">
        <is>
          <t>Rti · desktop — right to information act 2005</t>
        </is>
      </c>
      <c r="F282" s="28" t="inlineStr">
        <is>
          <t>No fix required — this finding was withdrawn.</t>
        </is>
      </c>
      <c r="G282" s="28" t="n"/>
      <c r="H282" s="28" t="n"/>
      <c r="I282" s="28" t="inlineStr">
        <is>
          <t>Withdrawn</t>
        </is>
      </c>
      <c r="J282" s="28" t="n"/>
      <c r="K282" s="28" t="n"/>
      <c r="L282" s="28" t="inlineStr">
        <is>
          <t>WITHDRAWN: Merged into WEB-SCREEN-380, which now carries this defect together with the others of the same kind — one fix, one row.</t>
        </is>
      </c>
      <c r="M282" s="28" t="inlineStr">
        <is>
          <t>—</t>
        </is>
      </c>
    </row>
    <row r="283">
      <c r="A283" s="27" t="inlineStr">
        <is>
          <t>WEB-SCREEN-195</t>
        </is>
      </c>
      <c r="B283" s="28" t="inlineStr">
        <is>
          <t>—</t>
        </is>
      </c>
      <c r="C283" s="28" t="inlineStr">
        <is>
          <t>—</t>
        </is>
      </c>
      <c r="D283" s="28" t="inlineStr">
        <is>
          <t>—</t>
        </is>
      </c>
      <c r="E283" s="28" t="inlineStr">
        <is>
          <t>Rti · desktop — the national commission for scheduled castes (ncsc) is a con</t>
        </is>
      </c>
      <c r="F283" s="28" t="inlineStr">
        <is>
          <t>No fix required — this finding was withdrawn.</t>
        </is>
      </c>
      <c r="G283" s="28" t="n"/>
      <c r="H283" s="28" t="n"/>
      <c r="I283" s="28" t="inlineStr">
        <is>
          <t>Withdrawn</t>
        </is>
      </c>
      <c r="J283" s="28" t="n"/>
      <c r="K283" s="28" t="n"/>
      <c r="L283" s="28" t="inlineStr">
        <is>
          <t>WITHDRAWN: Withdrawn: the design text is sample content in a repeated list or data field — names, e-mail addresses, dates, figures, event or album titles — which the live page fills with real entries. It is different data, not missing interface copy.</t>
        </is>
      </c>
      <c r="M283" s="28" t="inlineStr">
        <is>
          <t>—</t>
        </is>
      </c>
    </row>
    <row r="284">
      <c r="A284" s="27" t="inlineStr">
        <is>
          <t>WEB-SCREEN-009</t>
        </is>
      </c>
      <c r="B284" s="28" t="inlineStr">
        <is>
          <t>—</t>
        </is>
      </c>
      <c r="C284" s="28" t="inlineStr">
        <is>
          <t>—</t>
        </is>
      </c>
      <c r="D284" s="28" t="inlineStr">
        <is>
          <t>—</t>
        </is>
      </c>
      <c r="E284" s="28" t="inlineStr">
        <is>
          <t>Scheme Documents  Dr Ambedkar National Merit Award Scheme  · desktop — Scheme: Dr. Ambedkar National Merit Award S…</t>
        </is>
      </c>
      <c r="F284" s="28" t="inlineStr">
        <is>
          <t>No fix required — this finding was withdrawn.</t>
        </is>
      </c>
      <c r="G284" s="28" t="n"/>
      <c r="H284" s="28" t="n"/>
      <c r="I284" s="28" t="inlineStr">
        <is>
          <t>Withdrawn</t>
        </is>
      </c>
      <c r="J284" s="28" t="n"/>
      <c r="K284" s="28" t="n"/>
      <c r="L284" s="28" t="inlineStr">
        <is>
          <t>WITHDRAWN: Merged into WEB-SCREEN-329, which now carries this defect together with the others of the same kind — one fix, one row.</t>
        </is>
      </c>
      <c r="M284" s="28" t="inlineStr">
        <is>
          <t>—</t>
        </is>
      </c>
    </row>
    <row r="285">
      <c r="A285" s="27" t="inlineStr">
        <is>
          <t>WEB-SCREEN-010</t>
        </is>
      </c>
      <c r="B285" s="28" t="inlineStr">
        <is>
          <t>—</t>
        </is>
      </c>
      <c r="C285" s="28" t="inlineStr">
        <is>
          <t>—</t>
        </is>
      </c>
      <c r="D285" s="28" t="inlineStr">
        <is>
          <t>—</t>
        </is>
      </c>
      <c r="E285" s="28" t="inlineStr">
        <is>
          <t>Scheme Documents  Merger Order · desktop — Scheme: Dr. Ambedkar Scheme for Social Inte…</t>
        </is>
      </c>
      <c r="F285" s="28" t="inlineStr">
        <is>
          <t>No fix required — this finding was withdrawn.</t>
        </is>
      </c>
      <c r="G285" s="28" t="n"/>
      <c r="H285" s="28" t="n"/>
      <c r="I285" s="28" t="inlineStr">
        <is>
          <t>Withdrawn</t>
        </is>
      </c>
      <c r="J285" s="28" t="n"/>
      <c r="K285" s="28" t="n"/>
      <c r="L285" s="28" t="inlineStr">
        <is>
          <t>WITHDRAWN: Merged into WEB-SCREEN-330, which now carries this defect together with the others of the same kind — one fix, one row.</t>
        </is>
      </c>
      <c r="M285" s="28" t="inlineStr">
        <is>
          <t>—</t>
        </is>
      </c>
    </row>
    <row r="286">
      <c r="A286" s="27" t="inlineStr">
        <is>
          <t>WEB-SCREEN-044</t>
        </is>
      </c>
      <c r="B286" s="28" t="inlineStr">
        <is>
          <t>—</t>
        </is>
      </c>
      <c r="C286" s="28" t="inlineStr">
        <is>
          <t>—</t>
        </is>
      </c>
      <c r="D286" s="28" t="inlineStr">
        <is>
          <t>—</t>
        </is>
      </c>
      <c r="E286" s="28" t="inlineStr">
        <is>
          <t>Schemes And Services  Geriatric Caregivers Training · mobile — Senior Citizens Welfare(SCW)</t>
        </is>
      </c>
      <c r="F286" s="28" t="inlineStr">
        <is>
          <t>No fix required — this finding was withdrawn.</t>
        </is>
      </c>
      <c r="G286" s="28" t="n"/>
      <c r="H286" s="28" t="n"/>
      <c r="I286" s="28" t="inlineStr">
        <is>
          <t>Withdrawn</t>
        </is>
      </c>
      <c r="J286" s="28" t="n"/>
      <c r="K286" s="28" t="n"/>
      <c r="L286" s="28" t="inlineStr">
        <is>
          <t>WITHDRAWN: Merged into WEB-GLOBAL-111 / WEB-GLOBAL-110 / WEB-GLOBAL-112, which now carries this defect together with the others of the same kind — one fix, one row.</t>
        </is>
      </c>
      <c r="M286" s="28" t="inlineStr">
        <is>
          <t>—</t>
        </is>
      </c>
    </row>
    <row r="287">
      <c r="A287" s="27" t="inlineStr">
        <is>
          <t>WEB-SCREEN-204</t>
        </is>
      </c>
      <c r="B287" s="28" t="inlineStr">
        <is>
          <t>—</t>
        </is>
      </c>
      <c r="C287" s="28" t="inlineStr">
        <is>
          <t>—</t>
        </is>
      </c>
      <c r="D287" s="28" t="inlineStr">
        <is>
          <t>—</t>
        </is>
      </c>
      <c r="E287" s="28" t="inlineStr">
        <is>
          <t>Schemes Services · desktop — schemes and services</t>
        </is>
      </c>
      <c r="F287" s="28" t="inlineStr">
        <is>
          <t>No fix required — this finding was withdrawn.</t>
        </is>
      </c>
      <c r="G287" s="28" t="n"/>
      <c r="H287" s="28" t="n"/>
      <c r="I287" s="28" t="inlineStr">
        <is>
          <t>Withdrawn</t>
        </is>
      </c>
      <c r="J287" s="28" t="n"/>
      <c r="K287" s="28" t="n"/>
      <c r="L287" s="28" t="inlineStr">
        <is>
          <t>WITHDRAWN: Withdrawn: the design text is sample content in a repeated list or data field — names, e-mail addresses, dates, figures, event or album titles — which the live page fills with real entries. It is different data, not missing interface copy.</t>
        </is>
      </c>
      <c r="M287" s="28" t="inlineStr">
        <is>
          <t>—</t>
        </is>
      </c>
    </row>
    <row r="288">
      <c r="A288" s="27" t="inlineStr">
        <is>
          <t>WEB-SCREEN-199</t>
        </is>
      </c>
      <c r="B288" s="28" t="inlineStr">
        <is>
          <t>—</t>
        </is>
      </c>
      <c r="C288" s="28" t="inlineStr">
        <is>
          <t>—</t>
        </is>
      </c>
      <c r="D288" s="28" t="inlineStr">
        <is>
          <t>—</t>
        </is>
      </c>
      <c r="E288" s="28" t="inlineStr">
        <is>
          <t>Schemes Services · desktop — explore welfare schemes, social empowerment programs, and ci</t>
        </is>
      </c>
      <c r="F288" s="28" t="inlineStr">
        <is>
          <t>No fix required — this finding was withdrawn.</t>
        </is>
      </c>
      <c r="G288" s="28" t="n"/>
      <c r="H288" s="28" t="n"/>
      <c r="I288" s="28" t="inlineStr">
        <is>
          <t>Withdrawn</t>
        </is>
      </c>
      <c r="J288" s="28" t="n"/>
      <c r="K288" s="28" t="n"/>
      <c r="L288" s="28" t="inlineStr">
        <is>
          <t>WITHDRAWN: Withdrawn: the design text is sample content in a repeated list or data field — names, e-mail addresses, dates, figures, event or album titles — which the live page fills with real entries. It is different data, not missing interface copy.</t>
        </is>
      </c>
      <c r="M288" s="28" t="inlineStr">
        <is>
          <t>—</t>
        </is>
      </c>
    </row>
    <row r="289">
      <c r="A289" s="27" t="inlineStr">
        <is>
          <t>WEB-SCREEN-205</t>
        </is>
      </c>
      <c r="B289" s="28" t="inlineStr">
        <is>
          <t>—</t>
        </is>
      </c>
      <c r="C289" s="28" t="inlineStr">
        <is>
          <t>—</t>
        </is>
      </c>
      <c r="D289" s="28" t="inlineStr">
        <is>
          <t>—</t>
        </is>
      </c>
      <c r="E289" s="28" t="inlineStr">
        <is>
          <t>Schemes Services · desktop — search by scheme name or keyword</t>
        </is>
      </c>
      <c r="F289" s="28" t="inlineStr">
        <is>
          <t>No fix required — this finding was withdrawn.</t>
        </is>
      </c>
      <c r="G289" s="28" t="n"/>
      <c r="H289" s="28" t="n"/>
      <c r="I289" s="28" t="inlineStr">
        <is>
          <t>Withdrawn</t>
        </is>
      </c>
      <c r="J289" s="28" t="n"/>
      <c r="K289" s="28" t="n"/>
      <c r="L289" s="28" t="inlineStr">
        <is>
          <t>WITHDRAWN: Merged into WEB-SCREEN-381, which now carries this defect together with the others of the same kind — one fix, one row.</t>
        </is>
      </c>
      <c r="M289" s="28" t="inlineStr">
        <is>
          <t>—</t>
        </is>
      </c>
    </row>
    <row r="290">
      <c r="A290" s="27" t="inlineStr">
        <is>
          <t>WEB-SCREEN-207</t>
        </is>
      </c>
      <c r="B290" s="28" t="inlineStr">
        <is>
          <t>—</t>
        </is>
      </c>
      <c r="C290" s="28" t="inlineStr">
        <is>
          <t>—</t>
        </is>
      </c>
      <c r="D290" s="28" t="inlineStr">
        <is>
          <t>—</t>
        </is>
      </c>
      <c r="E290" s="28" t="inlineStr">
        <is>
          <t xml:space="preserve">Schemes Services · desktop — smile - support for marginalised individuals for livelihood </t>
        </is>
      </c>
      <c r="F290" s="28" t="inlineStr">
        <is>
          <t>No fix required — this finding was withdrawn.</t>
        </is>
      </c>
      <c r="G290" s="28" t="n"/>
      <c r="H290" s="28" t="n"/>
      <c r="I290" s="28" t="inlineStr">
        <is>
          <t>Withdrawn</t>
        </is>
      </c>
      <c r="J290" s="28" t="n"/>
      <c r="K290" s="28" t="n"/>
      <c r="L290" s="28" t="inlineStr">
        <is>
          <t>WITHDRAWN: Withdrawn: the design text is sample content in a repeated list or data field — names, e-mail addresses, dates, figures, event or album titles — which the live page fills with real entries. It is different data, not missing interface copy.</t>
        </is>
      </c>
      <c r="M290" s="28" t="inlineStr">
        <is>
          <t>—</t>
        </is>
      </c>
    </row>
    <row r="291">
      <c r="A291" s="27" t="inlineStr">
        <is>
          <t>WEB-SCREEN-200</t>
        </is>
      </c>
      <c r="B291" s="28" t="inlineStr">
        <is>
          <t>—</t>
        </is>
      </c>
      <c r="C291" s="28" t="inlineStr">
        <is>
          <t>—</t>
        </is>
      </c>
      <c r="D291" s="28" t="inlineStr">
        <is>
          <t>—</t>
        </is>
      </c>
      <c r="E291" s="28" t="inlineStr">
        <is>
          <t>Schemes Services · desktop — integrated rehabilitation, skills training and livelihood su</t>
        </is>
      </c>
      <c r="F291" s="28" t="inlineStr">
        <is>
          <t>No fix required — this finding was withdrawn.</t>
        </is>
      </c>
      <c r="G291" s="28" t="n"/>
      <c r="H291" s="28" t="n"/>
      <c r="I291" s="28" t="inlineStr">
        <is>
          <t>Withdrawn</t>
        </is>
      </c>
      <c r="J291" s="28" t="n"/>
      <c r="K291" s="28" t="n"/>
      <c r="L291" s="28" t="inlineStr">
        <is>
          <t>WITHDRAWN: Withdrawn: the design text is sample content in a repeated list or data field — names, e-mail addresses, dates, figures, event or album titles — which the live page fills with real entries. It is different data, not missing interface copy.</t>
        </is>
      </c>
      <c r="M291" s="28" t="inlineStr">
        <is>
          <t>—</t>
        </is>
      </c>
    </row>
    <row r="292">
      <c r="A292" s="27" t="inlineStr">
        <is>
          <t>WEB-SCREEN-203</t>
        </is>
      </c>
      <c r="B292" s="28" t="inlineStr">
        <is>
          <t>—</t>
        </is>
      </c>
      <c r="C292" s="28" t="inlineStr">
        <is>
          <t>—</t>
        </is>
      </c>
      <c r="D292" s="28" t="inlineStr">
        <is>
          <t>—</t>
        </is>
      </c>
      <c r="E292" s="28" t="inlineStr">
        <is>
          <t>Schemes Services · desktop — scheme for economic empowerment of dnts (seed)</t>
        </is>
      </c>
      <c r="F292" s="28" t="inlineStr">
        <is>
          <t>No fix required — this finding was withdrawn.</t>
        </is>
      </c>
      <c r="G292" s="28" t="n"/>
      <c r="H292" s="28" t="n"/>
      <c r="I292" s="28" t="inlineStr">
        <is>
          <t>Withdrawn</t>
        </is>
      </c>
      <c r="J292" s="28" t="n"/>
      <c r="K292" s="28" t="n"/>
      <c r="L292" s="28" t="inlineStr">
        <is>
          <t>WITHDRAWN: Withdrawn: the design text is sample content in a repeated list or data field — names, e-mail addresses, dates, figures, event or album titles — which the live page fills with real entries. It is different data, not missing interface copy.</t>
        </is>
      </c>
      <c r="M292" s="28" t="inlineStr">
        <is>
          <t>—</t>
        </is>
      </c>
    </row>
    <row r="293">
      <c r="A293" s="27" t="inlineStr">
        <is>
          <t>WEB-SCREEN-209</t>
        </is>
      </c>
      <c r="B293" s="28" t="inlineStr">
        <is>
          <t>—</t>
        </is>
      </c>
      <c r="C293" s="28" t="inlineStr">
        <is>
          <t>—</t>
        </is>
      </c>
      <c r="D293" s="28" t="inlineStr">
        <is>
          <t>—</t>
        </is>
      </c>
      <c r="E293" s="28" t="inlineStr">
        <is>
          <t>Schemes Services · mobile — venture capital fund for scs &amp; obcs</t>
        </is>
      </c>
      <c r="F293" s="28" t="inlineStr">
        <is>
          <t>No fix required — this finding was withdrawn.</t>
        </is>
      </c>
      <c r="G293" s="28" t="n"/>
      <c r="H293" s="28" t="n"/>
      <c r="I293" s="28" t="inlineStr">
        <is>
          <t>Withdrawn</t>
        </is>
      </c>
      <c r="J293" s="28" t="n"/>
      <c r="K293" s="28" t="n"/>
      <c r="L293" s="28" t="inlineStr">
        <is>
          <t>WITHDRAWN: Withdrawn: the design text is sample content in a repeated list or data field — names, e-mail addresses, dates, figures, event or album titles — which the live page fills with real entries. It is different data, not missing interface copy.</t>
        </is>
      </c>
      <c r="M293" s="28" t="inlineStr">
        <is>
          <t>—</t>
        </is>
      </c>
    </row>
    <row r="294">
      <c r="A294" s="27" t="inlineStr">
        <is>
          <t>WEB-SCREEN-048</t>
        </is>
      </c>
      <c r="B294" s="28" t="inlineStr">
        <is>
          <t>—</t>
        </is>
      </c>
      <c r="C294" s="28" t="inlineStr">
        <is>
          <t>—</t>
        </is>
      </c>
      <c r="D294" s="28" t="inlineStr">
        <is>
          <t>—</t>
        </is>
      </c>
      <c r="E294" s="28" t="inlineStr">
        <is>
          <t>State · Home 320 · mobile320 — Go to slide 1</t>
        </is>
      </c>
      <c r="F294" s="28" t="inlineStr">
        <is>
          <t>No fix required — this finding was withdrawn.</t>
        </is>
      </c>
      <c r="G294" s="28" t="n"/>
      <c r="H294" s="28" t="n"/>
      <c r="I294" s="28" t="inlineStr">
        <is>
          <t>Withdrawn</t>
        </is>
      </c>
      <c r="J294" s="28" t="n"/>
      <c r="K294" s="28" t="n"/>
      <c r="L294" s="28" t="inlineStr">
        <is>
          <t>WITHDRAWN: Merged into WEB-GLOBAL-111 / WEB-GLOBAL-110 / WEB-GLOBAL-112, which now carries this defect together with the others of the same kind — one fix, one row.</t>
        </is>
      </c>
      <c r="M294" s="28" t="inlineStr">
        <is>
          <t>—</t>
        </is>
      </c>
    </row>
    <row r="295">
      <c r="A295" s="27" t="inlineStr">
        <is>
          <t>WEB-SCREEN-045</t>
        </is>
      </c>
      <c r="B295" s="28" t="inlineStr">
        <is>
          <t>—</t>
        </is>
      </c>
      <c r="C295" s="28" t="inlineStr">
        <is>
          <t>—</t>
        </is>
      </c>
      <c r="D295" s="28" t="inlineStr">
        <is>
          <t>—</t>
        </is>
      </c>
      <c r="E295" s="28" t="inlineStr">
        <is>
          <t>State · Home 320 · mobile320 — Go to slide 2</t>
        </is>
      </c>
      <c r="F295" s="28" t="inlineStr">
        <is>
          <t>No fix required — this finding was withdrawn.</t>
        </is>
      </c>
      <c r="G295" s="28" t="n"/>
      <c r="H295" s="28" t="n"/>
      <c r="I295" s="28" t="inlineStr">
        <is>
          <t>Withdrawn</t>
        </is>
      </c>
      <c r="J295" s="28" t="n"/>
      <c r="K295" s="28" t="n"/>
      <c r="L295" s="28" t="inlineStr">
        <is>
          <t>WITHDRAWN: Merged into WEB-GLOBAL-111 / WEB-GLOBAL-110 / WEB-GLOBAL-112, which now carries this defect together with the others of the same kind — one fix, one row.</t>
        </is>
      </c>
      <c r="M295" s="28" t="inlineStr">
        <is>
          <t>—</t>
        </is>
      </c>
    </row>
    <row r="296">
      <c r="A296" s="27" t="inlineStr">
        <is>
          <t>WEB-SCREEN-046</t>
        </is>
      </c>
      <c r="B296" s="28" t="inlineStr">
        <is>
          <t>—</t>
        </is>
      </c>
      <c r="C296" s="28" t="inlineStr">
        <is>
          <t>—</t>
        </is>
      </c>
      <c r="D296" s="28" t="inlineStr">
        <is>
          <t>—</t>
        </is>
      </c>
      <c r="E296" s="28" t="inlineStr">
        <is>
          <t>State · Home 320 · mobile320 — Go to slide 3</t>
        </is>
      </c>
      <c r="F296" s="28" t="inlineStr">
        <is>
          <t>No fix required — this finding was withdrawn.</t>
        </is>
      </c>
      <c r="G296" s="28" t="n"/>
      <c r="H296" s="28" t="n"/>
      <c r="I296" s="28" t="inlineStr">
        <is>
          <t>Withdrawn</t>
        </is>
      </c>
      <c r="J296" s="28" t="n"/>
      <c r="K296" s="28" t="n"/>
      <c r="L296" s="28" t="inlineStr">
        <is>
          <t>WITHDRAWN: Merged into WEB-GLOBAL-111 / WEB-GLOBAL-110 / WEB-GLOBAL-112, which now carries this defect together with the others of the same kind — one fix, one row.</t>
        </is>
      </c>
      <c r="M296" s="28" t="inlineStr">
        <is>
          <t>—</t>
        </is>
      </c>
    </row>
    <row r="297">
      <c r="A297" s="27" t="inlineStr">
        <is>
          <t>WEB-SCREEN-047</t>
        </is>
      </c>
      <c r="B297" s="28" t="inlineStr">
        <is>
          <t>—</t>
        </is>
      </c>
      <c r="C297" s="28" t="inlineStr">
        <is>
          <t>—</t>
        </is>
      </c>
      <c r="D297" s="28" t="inlineStr">
        <is>
          <t>—</t>
        </is>
      </c>
      <c r="E297" s="28" t="inlineStr">
        <is>
          <t>State · Home 320 · mobile320 — Go to slide 4</t>
        </is>
      </c>
      <c r="F297" s="28" t="inlineStr">
        <is>
          <t>No fix required — this finding was withdrawn.</t>
        </is>
      </c>
      <c r="G297" s="28" t="n"/>
      <c r="H297" s="28" t="n"/>
      <c r="I297" s="28" t="inlineStr">
        <is>
          <t>Withdrawn</t>
        </is>
      </c>
      <c r="J297" s="28" t="n"/>
      <c r="K297" s="28" t="n"/>
      <c r="L297" s="28" t="inlineStr">
        <is>
          <t>WITHDRAWN: Merged into WEB-GLOBAL-111 / WEB-GLOBAL-110 / WEB-GLOBAL-112, which now carries this defect together with the others of the same kind — one fix, one row.</t>
        </is>
      </c>
      <c r="M297" s="28" t="inlineStr">
        <is>
          <t>—</t>
        </is>
      </c>
    </row>
    <row r="298">
      <c r="A298" s="27" t="inlineStr">
        <is>
          <t>WEB-SCREEN-049</t>
        </is>
      </c>
      <c r="B298" s="28" t="inlineStr">
        <is>
          <t>—</t>
        </is>
      </c>
      <c r="C298" s="28" t="inlineStr">
        <is>
          <t>—</t>
        </is>
      </c>
      <c r="D298" s="28" t="inlineStr">
        <is>
          <t>—</t>
        </is>
      </c>
      <c r="E298" s="28" t="inlineStr">
        <is>
          <t>State · Home Hindi · desktop — घर</t>
        </is>
      </c>
      <c r="F298" s="28" t="inlineStr">
        <is>
          <t>No fix required — this finding was withdrawn.</t>
        </is>
      </c>
      <c r="G298" s="28" t="n"/>
      <c r="H298" s="28" t="n"/>
      <c r="I298" s="28" t="inlineStr">
        <is>
          <t>Withdrawn</t>
        </is>
      </c>
      <c r="J298" s="28" t="n"/>
      <c r="K298" s="28" t="n"/>
      <c r="L298" s="28" t="inlineStr">
        <is>
          <t>WITHDRAWN: Merged into WEB-GLOBAL-111 / WEB-GLOBAL-110 / WEB-GLOBAL-112, which now carries this defect together with the others of the same kind — one fix, one row.</t>
        </is>
      </c>
      <c r="M298" s="28" t="inlineStr">
        <is>
          <t>—</t>
        </is>
      </c>
    </row>
    <row r="299">
      <c r="A299" s="27" t="inlineStr">
        <is>
          <t>WEB-SCREEN-050</t>
        </is>
      </c>
      <c r="B299" s="28" t="inlineStr">
        <is>
          <t>—</t>
        </is>
      </c>
      <c r="C299" s="28" t="inlineStr">
        <is>
          <t>—</t>
        </is>
      </c>
      <c r="D299" s="28" t="inlineStr">
        <is>
          <t>—</t>
        </is>
      </c>
      <c r="E299" s="28" t="inlineStr">
        <is>
          <t>State · Home Hindi · desktop — विभाग</t>
        </is>
      </c>
      <c r="F299" s="28" t="inlineStr">
        <is>
          <t>No fix required — this finding was withdrawn.</t>
        </is>
      </c>
      <c r="G299" s="28" t="n"/>
      <c r="H299" s="28" t="n"/>
      <c r="I299" s="28" t="inlineStr">
        <is>
          <t>Withdrawn</t>
        </is>
      </c>
      <c r="J299" s="28" t="n"/>
      <c r="K299" s="28" t="n"/>
      <c r="L299" s="28" t="inlineStr">
        <is>
          <t>WITHDRAWN: Merged into WEB-GLOBAL-111 / WEB-GLOBAL-110 / WEB-GLOBAL-112, which now carries this defect together with the others of the same kind — one fix, one row.</t>
        </is>
      </c>
      <c r="M299" s="28" t="inlineStr">
        <is>
          <t>—</t>
        </is>
      </c>
    </row>
    <row r="300">
      <c r="A300" s="27" t="inlineStr">
        <is>
          <t>WEB-SCREEN-051</t>
        </is>
      </c>
      <c r="B300" s="28" t="inlineStr">
        <is>
          <t>—</t>
        </is>
      </c>
      <c r="C300" s="28" t="inlineStr">
        <is>
          <t>—</t>
        </is>
      </c>
      <c r="D300" s="28" t="inlineStr">
        <is>
          <t>—</t>
        </is>
      </c>
      <c r="E300" s="28" t="inlineStr">
        <is>
          <t>State · Home Hindi · desktop — संबद्ध संगठन</t>
        </is>
      </c>
      <c r="F300" s="28" t="inlineStr">
        <is>
          <t>No fix required — this finding was withdrawn.</t>
        </is>
      </c>
      <c r="G300" s="28" t="n"/>
      <c r="H300" s="28" t="n"/>
      <c r="I300" s="28" t="inlineStr">
        <is>
          <t>Withdrawn</t>
        </is>
      </c>
      <c r="J300" s="28" t="n"/>
      <c r="K300" s="28" t="n"/>
      <c r="L300" s="28" t="inlineStr">
        <is>
          <t>WITHDRAWN: Merged into WEB-GLOBAL-111 / WEB-GLOBAL-110 / WEB-GLOBAL-112, which now carries this defect together with the others of the same kind — one fix, one row.</t>
        </is>
      </c>
      <c r="M300" s="28" t="inlineStr">
        <is>
          <t>—</t>
        </is>
      </c>
    </row>
    <row r="301">
      <c r="A301" s="27" t="inlineStr">
        <is>
          <t>WEB-SCREEN-052</t>
        </is>
      </c>
      <c r="B301" s="28" t="inlineStr">
        <is>
          <t>—</t>
        </is>
      </c>
      <c r="C301" s="28" t="inlineStr">
        <is>
          <t>—</t>
        </is>
      </c>
      <c r="D301" s="28" t="inlineStr">
        <is>
          <t>—</t>
        </is>
      </c>
      <c r="E301" s="28" t="inlineStr">
        <is>
          <t>State · Mega Menu Department · desktop — Close Department</t>
        </is>
      </c>
      <c r="F301" s="28" t="inlineStr">
        <is>
          <t>No fix required — this finding was withdrawn.</t>
        </is>
      </c>
      <c r="G301" s="28" t="n"/>
      <c r="H301" s="28" t="n"/>
      <c r="I301" s="28" t="inlineStr">
        <is>
          <t>Withdrawn</t>
        </is>
      </c>
      <c r="J301" s="28" t="n"/>
      <c r="K301" s="28" t="n"/>
      <c r="L301" s="28" t="inlineStr">
        <is>
          <t>WITHDRAWN: Merged into WEB-GLOBAL-111 / WEB-GLOBAL-110 / WEB-GLOBAL-112, which now carries this defect together with the others of the same kind — one fix, one row.</t>
        </is>
      </c>
      <c r="M301" s="28" t="inlineStr">
        <is>
          <t>—</t>
        </is>
      </c>
    </row>
    <row r="302">
      <c r="A302" s="27" t="inlineStr">
        <is>
          <t>WEB-SCREEN-022</t>
        </is>
      </c>
      <c r="B302" s="28" t="inlineStr">
        <is>
          <t>—</t>
        </is>
      </c>
      <c r="C302" s="28" t="inlineStr">
        <is>
          <t>—</t>
        </is>
      </c>
      <c r="D302" s="28" t="inlineStr">
        <is>
          <t>—</t>
        </is>
      </c>
      <c r="E302" s="28" t="inlineStr">
        <is>
          <t>State · Search Scholarship · desktop — Scholarship</t>
        </is>
      </c>
      <c r="F302" s="28" t="inlineStr">
        <is>
          <t>No fix required — this finding was withdrawn.</t>
        </is>
      </c>
      <c r="G302" s="28" t="n"/>
      <c r="H302" s="28" t="n"/>
      <c r="I302" s="28" t="inlineStr">
        <is>
          <t>Withdrawn</t>
        </is>
      </c>
      <c r="J302" s="28" t="n"/>
      <c r="K302" s="28" t="n"/>
      <c r="L302" s="28" t="inlineStr">
        <is>
          <t>WITHDRAWN: Merged into WEB-SCREEN-334, which now carries this defect together with the others of the same kind — one fix, one row.</t>
        </is>
      </c>
      <c r="M302" s="28" t="inlineStr">
        <is>
          <t>—</t>
        </is>
      </c>
    </row>
    <row r="303">
      <c r="A303" s="27" t="inlineStr">
        <is>
          <t>WEB-SCREEN-023</t>
        </is>
      </c>
      <c r="B303" s="28" t="inlineStr">
        <is>
          <t>—</t>
        </is>
      </c>
      <c r="C303" s="28" t="inlineStr">
        <is>
          <t>—</t>
        </is>
      </c>
      <c r="D303" s="28" t="inlineStr">
        <is>
          <t>—</t>
        </is>
      </c>
      <c r="E303" s="28" t="inlineStr">
        <is>
          <t>State · Search Scholarship · desktop — …</t>
        </is>
      </c>
      <c r="F303" s="28" t="inlineStr">
        <is>
          <t>No fix required — this finding was withdrawn.</t>
        </is>
      </c>
      <c r="G303" s="28" t="n"/>
      <c r="H303" s="28" t="n"/>
      <c r="I303" s="28" t="inlineStr">
        <is>
          <t>Withdrawn</t>
        </is>
      </c>
      <c r="J303" s="28" t="n"/>
      <c r="K303" s="28" t="n"/>
      <c r="L303" s="28" t="inlineStr">
        <is>
          <t>WITHDRAWN: Merged into WEB-GLOBAL-093, which now carries this defect together with the others of the same kind — one fix, one row.</t>
        </is>
      </c>
      <c r="M303" s="28" t="inlineStr">
        <is>
          <t>—</t>
        </is>
      </c>
    </row>
    <row r="304">
      <c r="A304" s="27" t="inlineStr">
        <is>
          <t>WEB-SCREEN-212</t>
        </is>
      </c>
      <c r="B304" s="28" t="inlineStr">
        <is>
          <t>—</t>
        </is>
      </c>
      <c r="C304" s="28" t="inlineStr">
        <is>
          <t>—</t>
        </is>
      </c>
      <c r="D304" s="28" t="inlineStr">
        <is>
          <t>—</t>
        </is>
      </c>
      <c r="E304" s="28" t="inlineStr">
        <is>
          <t xml:space="preserve">Suo Moto Disclosure · desktop — government's proactive release of key information to ensure </t>
        </is>
      </c>
      <c r="F304" s="28" t="inlineStr">
        <is>
          <t>No fix required — this finding was withdrawn.</t>
        </is>
      </c>
      <c r="G304" s="28" t="n"/>
      <c r="H304" s="28" t="n"/>
      <c r="I304" s="28" t="inlineStr">
        <is>
          <t>Withdrawn</t>
        </is>
      </c>
      <c r="J304" s="28" t="n"/>
      <c r="K304" s="28" t="n"/>
      <c r="L304" s="28" t="inlineStr">
        <is>
          <t>WITHDRAWN: Withdrawn: the design text is sample content in a repeated list or data field — names, e-mail addresses, dates, figures, event or album titles — which the live page fills with real entries. It is different data, not missing interface copy.</t>
        </is>
      </c>
      <c r="M304" s="28" t="inlineStr">
        <is>
          <t>—</t>
        </is>
      </c>
    </row>
    <row r="305">
      <c r="A305" s="27" t="inlineStr">
        <is>
          <t>WEB-SCREEN-221</t>
        </is>
      </c>
      <c r="B305" s="28" t="inlineStr">
        <is>
          <t>—</t>
        </is>
      </c>
      <c r="C305" s="28" t="inlineStr">
        <is>
          <t>—</t>
        </is>
      </c>
      <c r="D305" s="28" t="inlineStr">
        <is>
          <t>—</t>
        </is>
      </c>
      <c r="E305" s="28" t="inlineStr">
        <is>
          <t>Suo Moto Disclosure · desktop — sort by recently updated</t>
        </is>
      </c>
      <c r="F305" s="28" t="inlineStr">
        <is>
          <t>No fix required — this finding was withdrawn.</t>
        </is>
      </c>
      <c r="G305" s="28" t="n"/>
      <c r="H305" s="28" t="n"/>
      <c r="I305" s="28" t="inlineStr">
        <is>
          <t>Withdrawn</t>
        </is>
      </c>
      <c r="J305" s="28" t="n"/>
      <c r="K305" s="28" t="n"/>
      <c r="L305" s="28" t="inlineStr">
        <is>
          <t>WITHDRAWN: Withdrawn: the design text is sample content in a repeated list or data field — names, e-mail addresses, dates, figures, event or album titles — which the live page fills with real entries. It is different data, not missing interface copy.</t>
        </is>
      </c>
      <c r="M305" s="28" t="inlineStr">
        <is>
          <t>—</t>
        </is>
      </c>
    </row>
    <row r="306">
      <c r="A306" s="27" t="inlineStr">
        <is>
          <t>WEB-SCREEN-218</t>
        </is>
      </c>
      <c r="B306" s="28" t="inlineStr">
        <is>
          <t>—</t>
        </is>
      </c>
      <c r="C306" s="28" t="inlineStr">
        <is>
          <t>—</t>
        </is>
      </c>
      <c r="D306" s="28" t="inlineStr">
        <is>
          <t>—</t>
        </is>
      </c>
      <c r="E306" s="28" t="inlineStr">
        <is>
          <t>Suo Moto Disclosure · desktop — list of faa</t>
        </is>
      </c>
      <c r="F306" s="28" t="inlineStr">
        <is>
          <t>No fix required — this finding was withdrawn.</t>
        </is>
      </c>
      <c r="G306" s="28" t="n"/>
      <c r="H306" s="28" t="n"/>
      <c r="I306" s="28" t="inlineStr">
        <is>
          <t>Withdrawn</t>
        </is>
      </c>
      <c r="J306" s="28" t="n"/>
      <c r="K306" s="28" t="n"/>
      <c r="L306" s="28" t="inlineStr">
        <is>
          <t>WITHDRAWN: Withdrawn: the design text is sample content in a repeated list or data field — names, e-mail addresses, dates, figures, event or album titles — which the live page fills with real entries. It is different data, not missing interface copy.</t>
        </is>
      </c>
      <c r="M306" s="28" t="inlineStr">
        <is>
          <t>—</t>
        </is>
      </c>
    </row>
    <row r="307">
      <c r="A307" s="27" t="inlineStr">
        <is>
          <t>WEB-SCREEN-215</t>
        </is>
      </c>
      <c r="B307" s="28" t="inlineStr">
        <is>
          <t>—</t>
        </is>
      </c>
      <c r="C307" s="28" t="inlineStr">
        <is>
          <t>—</t>
        </is>
      </c>
      <c r="D307" s="28" t="inlineStr">
        <is>
          <t>—</t>
        </is>
      </c>
      <c r="E307" s="28" t="inlineStr">
        <is>
          <t>Suo Moto Disclosure · desktop — list of cpio</t>
        </is>
      </c>
      <c r="F307" s="28" t="inlineStr">
        <is>
          <t>No fix required — this finding was withdrawn.</t>
        </is>
      </c>
      <c r="G307" s="28" t="n"/>
      <c r="H307" s="28" t="n"/>
      <c r="I307" s="28" t="inlineStr">
        <is>
          <t>Withdrawn</t>
        </is>
      </c>
      <c r="J307" s="28" t="n"/>
      <c r="K307" s="28" t="n"/>
      <c r="L307" s="28" t="inlineStr">
        <is>
          <t>WITHDRAWN: Merged into WEB-SCREEN-398, which now carries this defect together with the others of the same kind — one fix, one row.</t>
        </is>
      </c>
      <c r="M307" s="28" t="inlineStr">
        <is>
          <t>—</t>
        </is>
      </c>
    </row>
    <row r="308">
      <c r="A308" s="27" t="inlineStr">
        <is>
          <t>WEB-SCREEN-216</t>
        </is>
      </c>
      <c r="B308" s="28" t="inlineStr">
        <is>
          <t>—</t>
        </is>
      </c>
      <c r="C308" s="28" t="inlineStr">
        <is>
          <t>—</t>
        </is>
      </c>
      <c r="D308" s="28" t="inlineStr">
        <is>
          <t>—</t>
        </is>
      </c>
      <c r="E308" s="28" t="inlineStr">
        <is>
          <t>Suo Moto Disclosure · desktop — list of cpio and faa</t>
        </is>
      </c>
      <c r="F308" s="28" t="inlineStr">
        <is>
          <t>No fix required — this finding was withdrawn.</t>
        </is>
      </c>
      <c r="G308" s="28" t="n"/>
      <c r="H308" s="28" t="n"/>
      <c r="I308" s="28" t="inlineStr">
        <is>
          <t>Withdrawn</t>
        </is>
      </c>
      <c r="J308" s="28" t="n"/>
      <c r="K308" s="28" t="n"/>
      <c r="L308" s="28" t="inlineStr">
        <is>
          <t>WITHDRAWN: Withdrawn: the design text is sample content in a repeated list or data field — names, e-mail addresses, dates, figures, event or album titles — which the live page fills with real entries. It is different data, not missing interface copy.</t>
        </is>
      </c>
      <c r="M308" s="28" t="inlineStr">
        <is>
          <t>—</t>
        </is>
      </c>
    </row>
    <row r="309">
      <c r="A309" s="27" t="inlineStr">
        <is>
          <t>WEB-SCREEN-217</t>
        </is>
      </c>
      <c r="B309" s="28" t="inlineStr">
        <is>
          <t>—</t>
        </is>
      </c>
      <c r="C309" s="28" t="inlineStr">
        <is>
          <t>—</t>
        </is>
      </c>
      <c r="D309" s="28" t="inlineStr">
        <is>
          <t>—</t>
        </is>
      </c>
      <c r="E309" s="28" t="inlineStr">
        <is>
          <t>Suo Moto Disclosure · desktop — list of cpios and faas</t>
        </is>
      </c>
      <c r="F309" s="28" t="inlineStr">
        <is>
          <t>No fix required — this finding was withdrawn.</t>
        </is>
      </c>
      <c r="G309" s="28" t="n"/>
      <c r="H309" s="28" t="n"/>
      <c r="I309" s="28" t="inlineStr">
        <is>
          <t>Withdrawn</t>
        </is>
      </c>
      <c r="J309" s="28" t="n"/>
      <c r="K309" s="28" t="n"/>
      <c r="L309" s="28" t="inlineStr">
        <is>
          <t>WITHDRAWN: Withdrawn: the design text is sample content in a repeated list or data field — names, e-mail addresses, dates, figures, event or album titles — which the live page fills with real entries. It is different data, not missing interface copy.</t>
        </is>
      </c>
      <c r="M309" s="28" t="inlineStr">
        <is>
          <t>—</t>
        </is>
      </c>
    </row>
    <row r="310">
      <c r="A310" s="27" t="inlineStr">
        <is>
          <t>WEB-SCREEN-053</t>
        </is>
      </c>
      <c r="B310" s="28" t="inlineStr">
        <is>
          <t>—</t>
        </is>
      </c>
      <c r="C310" s="28" t="inlineStr">
        <is>
          <t>—</t>
        </is>
      </c>
      <c r="D310" s="28" t="inlineStr">
        <is>
          <t>—</t>
        </is>
      </c>
      <c r="E310" s="28" t="inlineStr">
        <is>
          <t>Supreme Court Judgement · mobile — NCSK</t>
        </is>
      </c>
      <c r="F310" s="28" t="inlineStr">
        <is>
          <t>No fix required — this finding was withdrawn.</t>
        </is>
      </c>
      <c r="G310" s="28" t="n"/>
      <c r="H310" s="28" t="n"/>
      <c r="I310" s="28" t="inlineStr">
        <is>
          <t>Withdrawn</t>
        </is>
      </c>
      <c r="J310" s="28" t="n"/>
      <c r="K310" s="28" t="n"/>
      <c r="L310" s="28" t="inlineStr">
        <is>
          <t>WITHDRAWN: Merged into WEB-GLOBAL-111 / WEB-GLOBAL-110 / WEB-GLOBAL-112, which now carries this defect together with the others of the same kind — one fix, one row.</t>
        </is>
      </c>
      <c r="M310" s="28" t="inlineStr">
        <is>
          <t>—</t>
        </is>
      </c>
    </row>
    <row r="311">
      <c r="A311" s="27" t="inlineStr">
        <is>
          <t>WEB-SCREEN-222</t>
        </is>
      </c>
      <c r="B311" s="28" t="inlineStr">
        <is>
          <t>—</t>
        </is>
      </c>
      <c r="C311" s="28" t="inlineStr">
        <is>
          <t>—</t>
        </is>
      </c>
      <c r="D311" s="28" t="inlineStr">
        <is>
          <t>—</t>
        </is>
      </c>
      <c r="E311" s="28" t="inlineStr">
        <is>
          <t>Tenders · desktop — search by tender name or keyword</t>
        </is>
      </c>
      <c r="F311" s="28" t="inlineStr">
        <is>
          <t>No fix required — this finding was withdrawn.</t>
        </is>
      </c>
      <c r="G311" s="28" t="n"/>
      <c r="H311" s="28" t="n"/>
      <c r="I311" s="28" t="inlineStr">
        <is>
          <t>Withdrawn</t>
        </is>
      </c>
      <c r="J311" s="28" t="n"/>
      <c r="K311" s="28" t="n"/>
      <c r="L311" s="28" t="inlineStr">
        <is>
          <t>WITHDRAWN: Merged into WEB-SCREEN-387, which now carries this defect together with the others of the same kind — one fix, one row.</t>
        </is>
      </c>
      <c r="M311" s="28" t="inlineStr">
        <is>
          <t>—</t>
        </is>
      </c>
    </row>
    <row r="312">
      <c r="A312" s="27" t="inlineStr">
        <is>
          <t>WEB-SCREEN-278</t>
        </is>
      </c>
      <c r="B312" s="28" t="inlineStr">
        <is>
          <t>—</t>
        </is>
      </c>
      <c r="C312" s="28" t="inlineStr">
        <is>
          <t>—</t>
        </is>
      </c>
      <c r="D312" s="28" t="inlineStr">
        <is>
          <t>—</t>
        </is>
      </c>
      <c r="E312" s="28" t="inlineStr">
        <is>
          <t>Tenders · desktop — archived</t>
        </is>
      </c>
      <c r="F312" s="28" t="inlineStr">
        <is>
          <t>No fix required — this finding was withdrawn.</t>
        </is>
      </c>
      <c r="G312" s="28" t="n"/>
      <c r="H312" s="28" t="n"/>
      <c r="I312" s="28" t="inlineStr">
        <is>
          <t>Withdrawn</t>
        </is>
      </c>
      <c r="J312" s="28" t="n"/>
      <c r="K312" s="28" t="n"/>
      <c r="L312" s="28" t="inlineStr">
        <is>
          <t>WITHDRAWN: Merged into WEB-SCREEN-276, which now carries this defect together with the others of the same kind — one fix, one row.</t>
        </is>
      </c>
      <c r="M312" s="28" t="inlineStr">
        <is>
          <t>—</t>
        </is>
      </c>
    </row>
    <row r="313">
      <c r="A313" s="27" t="inlineStr">
        <is>
          <t>WEB-SCREEN-054</t>
        </is>
      </c>
      <c r="B313" s="28" t="inlineStr">
        <is>
          <t>—</t>
        </is>
      </c>
      <c r="C313" s="28" t="inlineStr">
        <is>
          <t>—</t>
        </is>
      </c>
      <c r="D313" s="28" t="inlineStr">
        <is>
          <t>—</t>
        </is>
      </c>
      <c r="E313" s="28" t="inlineStr">
        <is>
          <t>Tenders · mobile — NSFDC</t>
        </is>
      </c>
      <c r="F313" s="28" t="inlineStr">
        <is>
          <t>No fix required — this finding was withdrawn.</t>
        </is>
      </c>
      <c r="G313" s="28" t="n"/>
      <c r="H313" s="28" t="n"/>
      <c r="I313" s="28" t="inlineStr">
        <is>
          <t>Withdrawn</t>
        </is>
      </c>
      <c r="J313" s="28" t="n"/>
      <c r="K313" s="28" t="n"/>
      <c r="L313" s="28" t="inlineStr">
        <is>
          <t>WITHDRAWN: Merged into WEB-GLOBAL-111 / WEB-GLOBAL-110 / WEB-GLOBAL-112, which now carries this defect together with the others of the same kind — one fix, one row.</t>
        </is>
      </c>
      <c r="M313" s="28" t="inlineStr">
        <is>
          <t>—</t>
        </is>
      </c>
    </row>
    <row r="314">
      <c r="A314" s="27" t="inlineStr">
        <is>
          <t>WEB-SCREEN-282</t>
        </is>
      </c>
      <c r="B314" s="28" t="inlineStr">
        <is>
          <t>—</t>
        </is>
      </c>
      <c r="C314" s="28" t="inlineStr">
        <is>
          <t>—</t>
        </is>
      </c>
      <c r="D314" s="28" t="inlineStr">
        <is>
          <t>—</t>
        </is>
      </c>
      <c r="E314" s="28" t="inlineStr">
        <is>
          <t>Tenders · mobile — explore current tender notices, eligibility details, and sub</t>
        </is>
      </c>
      <c r="F314" s="28" t="inlineStr">
        <is>
          <t>No fix required — this finding was withdrawn.</t>
        </is>
      </c>
      <c r="G314" s="28" t="n"/>
      <c r="H314" s="28" t="n"/>
      <c r="I314" s="28" t="inlineStr">
        <is>
          <t>Withdrawn</t>
        </is>
      </c>
      <c r="J314" s="28" t="n"/>
      <c r="K314" s="28" t="n"/>
      <c r="L314" s="28" t="inlineStr">
        <is>
          <t>WITHDRAWN: Withdrawn: on the re-capture the design and build values could not both be proven on screen (the element was covered by the sticky header or not painted where the page says it is), so the comparison is not published.</t>
        </is>
      </c>
      <c r="M314" s="28" t="inlineStr">
        <is>
          <t>—</t>
        </is>
      </c>
    </row>
    <row r="315">
      <c r="A315" s="27" t="inlineStr">
        <is>
          <t>WEB-SCREEN-283</t>
        </is>
      </c>
      <c r="B315" s="28" t="inlineStr">
        <is>
          <t>—</t>
        </is>
      </c>
      <c r="C315" s="28" t="inlineStr">
        <is>
          <t>—</t>
        </is>
      </c>
      <c r="D315" s="28" t="inlineStr">
        <is>
          <t>—</t>
        </is>
      </c>
      <c r="E315" s="28" t="inlineStr">
        <is>
          <t>Tenders · mobile — active tenders</t>
        </is>
      </c>
      <c r="F315" s="28" t="inlineStr">
        <is>
          <t>No fix required — this finding was withdrawn.</t>
        </is>
      </c>
      <c r="G315" s="28" t="n"/>
      <c r="H315" s="28" t="n"/>
      <c r="I315" s="28" t="inlineStr">
        <is>
          <t>Withdrawn</t>
        </is>
      </c>
      <c r="J315" s="28" t="n"/>
      <c r="K315" s="28" t="n"/>
      <c r="L315" s="28" t="inlineStr">
        <is>
          <t>WITHDRAWN: Withdrawn: on the re-capture the design and build values could not both be proven on screen (the element was covered by the sticky header or not painted where the page says it is), so the comparison is not published.</t>
        </is>
      </c>
      <c r="M315" s="28" t="inlineStr">
        <is>
          <t>—</t>
        </is>
      </c>
    </row>
    <row r="316">
      <c r="A316" s="27" t="inlineStr">
        <is>
          <t>WEB-SCREEN-055</t>
        </is>
      </c>
      <c r="B316" s="28" t="inlineStr">
        <is>
          <t>—</t>
        </is>
      </c>
      <c r="C316" s="28" t="inlineStr">
        <is>
          <t>—</t>
        </is>
      </c>
      <c r="D316" s="28" t="inlineStr">
        <is>
          <t>—</t>
        </is>
      </c>
      <c r="E316" s="28" t="inlineStr">
        <is>
          <t>Updates · mobile — NOS</t>
        </is>
      </c>
      <c r="F316" s="28" t="inlineStr">
        <is>
          <t>No fix required — this finding was withdrawn.</t>
        </is>
      </c>
      <c r="G316" s="28" t="n"/>
      <c r="H316" s="28" t="n"/>
      <c r="I316" s="28" t="inlineStr">
        <is>
          <t>Withdrawn</t>
        </is>
      </c>
      <c r="J316" s="28" t="n"/>
      <c r="K316" s="28" t="n"/>
      <c r="L316" s="28" t="inlineStr">
        <is>
          <t>WITHDRAWN: Merged into WEB-GLOBAL-111 / WEB-GLOBAL-110 / WEB-GLOBAL-112, which now carries this defect together with the others of the same kind — one fix, one row.</t>
        </is>
      </c>
      <c r="M316" s="28" t="inlineStr">
        <is>
          <t>—</t>
        </is>
      </c>
    </row>
    <row r="317">
      <c r="A317" s="27" t="inlineStr">
        <is>
          <t>WEB-SCREEN-230</t>
        </is>
      </c>
      <c r="B317" s="28" t="inlineStr">
        <is>
          <t>—</t>
        </is>
      </c>
      <c r="C317" s="28" t="inlineStr">
        <is>
          <t>—</t>
        </is>
      </c>
      <c r="D317" s="28" t="inlineStr">
        <is>
          <t>—</t>
        </is>
      </c>
      <c r="E317" s="28" t="inlineStr">
        <is>
          <t>Vacancies · desktop — search by vacancy name or keyword</t>
        </is>
      </c>
      <c r="F317" s="28" t="inlineStr">
        <is>
          <t>No fix required — this finding was withdrawn.</t>
        </is>
      </c>
      <c r="G317" s="28" t="n"/>
      <c r="H317" s="28" t="n"/>
      <c r="I317" s="28" t="inlineStr">
        <is>
          <t>Withdrawn</t>
        </is>
      </c>
      <c r="J317" s="28" t="n"/>
      <c r="K317" s="28" t="n"/>
      <c r="L317" s="28" t="inlineStr">
        <is>
          <t>WITHDRAWN: Merged into WEB-SCREEN-388, which now carries this defect together with the others of the same kind — one fix, one row.</t>
        </is>
      </c>
      <c r="M317" s="28" t="inlineStr">
        <is>
          <t>—</t>
        </is>
      </c>
    </row>
    <row r="318">
      <c r="A318" s="27" t="inlineStr">
        <is>
          <t>WEB-SCREEN-225</t>
        </is>
      </c>
      <c r="B318" s="28" t="inlineStr">
        <is>
          <t>—</t>
        </is>
      </c>
      <c r="C318" s="28" t="inlineStr">
        <is>
          <t>—</t>
        </is>
      </c>
      <c r="D318" s="28" t="inlineStr">
        <is>
          <t>—</t>
        </is>
      </c>
      <c r="E318" s="28" t="inlineStr">
        <is>
          <t>Vacancies · desktop — engagement of supervisor/consultant (contract)</t>
        </is>
      </c>
      <c r="F318" s="28" t="inlineStr">
        <is>
          <t>No fix required — this finding was withdrawn.</t>
        </is>
      </c>
      <c r="G318" s="28" t="n"/>
      <c r="H318" s="28" t="n"/>
      <c r="I318" s="28" t="inlineStr">
        <is>
          <t>Withdrawn</t>
        </is>
      </c>
      <c r="J318" s="28" t="n"/>
      <c r="K318" s="28" t="n"/>
      <c r="L318" s="28" t="inlineStr">
        <is>
          <t>WITHDRAWN: Withdrawn: the design text is sample content in a repeated list or data field — names, e-mail addresses, dates, figures, event or album titles — which the live page fills with real entries. It is different data, not missing interface copy.</t>
        </is>
      </c>
      <c r="M318" s="28" t="inlineStr">
        <is>
          <t>—</t>
        </is>
      </c>
    </row>
    <row r="319">
      <c r="A319" s="27" t="inlineStr">
        <is>
          <t>WEB-SCREEN-227</t>
        </is>
      </c>
      <c r="B319" s="28" t="inlineStr">
        <is>
          <t>—</t>
        </is>
      </c>
      <c r="C319" s="28" t="inlineStr">
        <is>
          <t>—</t>
        </is>
      </c>
      <c r="D319" s="28" t="inlineStr">
        <is>
          <t>—</t>
        </is>
      </c>
      <c r="E319" s="28" t="inlineStr">
        <is>
          <t>Vacancies · desktop — new delhi · contract · apply by 30 nov 2025</t>
        </is>
      </c>
      <c r="F319" s="28" t="inlineStr">
        <is>
          <t>No fix required — this finding was withdrawn.</t>
        </is>
      </c>
      <c r="G319" s="28" t="n"/>
      <c r="H319" s="28" t="n"/>
      <c r="I319" s="28" t="inlineStr">
        <is>
          <t>Withdrawn</t>
        </is>
      </c>
      <c r="J319" s="28" t="n"/>
      <c r="K319" s="28" t="n"/>
      <c r="L319" s="28" t="inlineStr">
        <is>
          <t>WITHDRAWN: Withdrawn: the design text is sample content in a repeated list or data field — names, e-mail addresses, dates, figures, event or album titles — which the live page fills with real entries. It is different data, not missing interface copy.</t>
        </is>
      </c>
      <c r="M319" s="28" t="inlineStr">
        <is>
          <t>—</t>
        </is>
      </c>
    </row>
    <row r="320">
      <c r="A320" s="27" t="inlineStr">
        <is>
          <t>WEB-SCREEN-233</t>
        </is>
      </c>
      <c r="B320" s="28" t="inlineStr">
        <is>
          <t>—</t>
        </is>
      </c>
      <c r="C320" s="28" t="inlineStr">
        <is>
          <t>—</t>
        </is>
      </c>
      <c r="D320" s="28" t="inlineStr">
        <is>
          <t>—</t>
        </is>
      </c>
      <c r="E320" s="28" t="inlineStr">
        <is>
          <t xml:space="preserve">Vacancies · desktop — supervisory and consultant roles for project implementation </t>
        </is>
      </c>
      <c r="F320" s="28" t="inlineStr">
        <is>
          <t>No fix required — this finding was withdrawn.</t>
        </is>
      </c>
      <c r="G320" s="28" t="n"/>
      <c r="H320" s="28" t="n"/>
      <c r="I320" s="28" t="inlineStr">
        <is>
          <t>Withdrawn</t>
        </is>
      </c>
      <c r="J320" s="28" t="n"/>
      <c r="K320" s="28" t="n"/>
      <c r="L320" s="28" t="inlineStr">
        <is>
          <t>WITHDRAWN: Withdrawn: the design text is sample content in a repeated list or data field — names, e-mail addresses, dates, figures, event or album titles — which the live page fills with real entries. It is different data, not missing interface copy.</t>
        </is>
      </c>
      <c r="M320" s="28" t="inlineStr">
        <is>
          <t>—</t>
        </is>
      </c>
    </row>
    <row r="321">
      <c r="A321" s="27" t="inlineStr">
        <is>
          <t>WEB-SCREEN-234</t>
        </is>
      </c>
      <c r="B321" s="28" t="inlineStr">
        <is>
          <t>—</t>
        </is>
      </c>
      <c r="C321" s="28" t="inlineStr">
        <is>
          <t>—</t>
        </is>
      </c>
      <c r="D321" s="28" t="inlineStr">
        <is>
          <t>—</t>
        </is>
      </c>
      <c r="E321" s="28" t="inlineStr">
        <is>
          <t>Vacancies · desktop — temporary / short-term consultants</t>
        </is>
      </c>
      <c r="F321" s="28" t="inlineStr">
        <is>
          <t>No fix required — this finding was withdrawn.</t>
        </is>
      </c>
      <c r="G321" s="28" t="n"/>
      <c r="H321" s="28" t="n"/>
      <c r="I321" s="28" t="inlineStr">
        <is>
          <t>Withdrawn</t>
        </is>
      </c>
      <c r="J321" s="28" t="n"/>
      <c r="K321" s="28" t="n"/>
      <c r="L321" s="28" t="inlineStr">
        <is>
          <t>WITHDRAWN: Withdrawn: the design text is sample content in a repeated list or data field — names, e-mail addresses, dates, figures, event or album titles — which the live page fills with real entries. It is different data, not missing interface copy.</t>
        </is>
      </c>
      <c r="M321" s="28" t="inlineStr">
        <is>
          <t>—</t>
        </is>
      </c>
    </row>
    <row r="322">
      <c r="A322" s="27" t="inlineStr">
        <is>
          <t>WEB-SCREEN-226</t>
        </is>
      </c>
      <c r="B322" s="28" t="inlineStr">
        <is>
          <t>—</t>
        </is>
      </c>
      <c r="C322" s="28" t="inlineStr">
        <is>
          <t>—</t>
        </is>
      </c>
      <c r="D322" s="28" t="inlineStr">
        <is>
          <t>—</t>
        </is>
      </c>
      <c r="E322" s="28" t="inlineStr">
        <is>
          <t>Vacancies · desktop — multiple locations · contract · ongoing</t>
        </is>
      </c>
      <c r="F322" s="28" t="inlineStr">
        <is>
          <t>No fix required — this finding was withdrawn.</t>
        </is>
      </c>
      <c r="G322" s="28" t="n"/>
      <c r="H322" s="28" t="n"/>
      <c r="I322" s="28" t="inlineStr">
        <is>
          <t>Withdrawn</t>
        </is>
      </c>
      <c r="J322" s="28" t="n"/>
      <c r="K322" s="28" t="n"/>
      <c r="L322" s="28" t="inlineStr">
        <is>
          <t>WITHDRAWN: Withdrawn: the design text is sample content in a repeated list or data field — names, e-mail addresses, dates, figures, event or album titles — which the live page fills with real entries. It is different data, not missing interface copy.</t>
        </is>
      </c>
      <c r="M322" s="28" t="inlineStr">
        <is>
          <t>—</t>
        </is>
      </c>
    </row>
    <row r="323">
      <c r="A323" s="27" t="inlineStr">
        <is>
          <t>WEB-SCREEN-229</t>
        </is>
      </c>
      <c r="B323" s="28" t="inlineStr">
        <is>
          <t>—</t>
        </is>
      </c>
      <c r="C323" s="28" t="inlineStr">
        <is>
          <t>—</t>
        </is>
      </c>
      <c r="D323" s="28" t="inlineStr">
        <is>
          <t>—</t>
        </is>
      </c>
      <c r="E323" s="28" t="inlineStr">
        <is>
          <t>Vacancies · mobile — search by scheme name or keyword</t>
        </is>
      </c>
      <c r="F323" s="28" t="inlineStr">
        <is>
          <t>No fix required — this finding was withdrawn.</t>
        </is>
      </c>
      <c r="G323" s="28" t="n"/>
      <c r="H323" s="28" t="n"/>
      <c r="I323" s="28" t="inlineStr">
        <is>
          <t>Withdrawn</t>
        </is>
      </c>
      <c r="J323" s="28" t="n"/>
      <c r="K323" s="28" t="n"/>
      <c r="L323" s="28" t="inlineStr">
        <is>
          <t>WITHDRAWN: Merged into WEB-SCREEN-381, which now carries this defect together with the others of the same kind — one fix, one row.</t>
        </is>
      </c>
      <c r="M323" s="28" t="inlineStr">
        <is>
          <t>—</t>
        </is>
      </c>
    </row>
    <row r="324">
      <c r="A324" s="27" t="inlineStr">
        <is>
          <t>WEB-SCREEN-224</t>
        </is>
      </c>
      <c r="B324" s="28" t="inlineStr">
        <is>
          <t>—</t>
        </is>
      </c>
      <c r="C324" s="28" t="inlineStr">
        <is>
          <t>—</t>
        </is>
      </c>
      <c r="D324" s="28" t="inlineStr">
        <is>
          <t>—</t>
        </is>
      </c>
      <c r="E324" s="28" t="inlineStr">
        <is>
          <t>Vacancies · mobile — contact &amp; support</t>
        </is>
      </c>
      <c r="F324" s="28" t="inlineStr">
        <is>
          <t>No fix required — this finding was withdrawn.</t>
        </is>
      </c>
      <c r="G324" s="28" t="n"/>
      <c r="H324" s="28" t="n"/>
      <c r="I324" s="28" t="inlineStr">
        <is>
          <t>Withdrawn</t>
        </is>
      </c>
      <c r="J324" s="28" t="n"/>
      <c r="K324" s="28" t="n"/>
      <c r="L324" s="28" t="inlineStr">
        <is>
          <t>WITHDRAWN: Merged into WEB-SCREEN-389, which now carries this defect together with the others of the same kind — one fix, one row.</t>
        </is>
      </c>
      <c r="M324" s="28" t="inlineStr">
        <is>
          <t>—</t>
        </is>
      </c>
    </row>
    <row r="325">
      <c r="A325" s="27" t="inlineStr">
        <is>
          <t>WEB-SCREEN-228</t>
        </is>
      </c>
      <c r="B325" s="28" t="inlineStr">
        <is>
          <t>—</t>
        </is>
      </c>
      <c r="C325" s="28" t="inlineStr">
        <is>
          <t>—</t>
        </is>
      </c>
      <c r="D325" s="28" t="inlineStr">
        <is>
          <t>—</t>
        </is>
      </c>
      <c r="E325" s="28" t="inlineStr">
        <is>
          <t>Vacancies · mobile — nodal ministry</t>
        </is>
      </c>
      <c r="F325" s="28" t="inlineStr">
        <is>
          <t>No fix required — this finding was withdrawn.</t>
        </is>
      </c>
      <c r="G325" s="28" t="n"/>
      <c r="H325" s="28" t="n"/>
      <c r="I325" s="28" t="inlineStr">
        <is>
          <t>Withdrawn</t>
        </is>
      </c>
      <c r="J325" s="28" t="n"/>
      <c r="K325" s="28" t="n"/>
      <c r="L325" s="28" t="inlineStr">
        <is>
          <t>WITHDRAWN: Withdrawn: the design text is sample content in a repeated list or data field — names, e-mail addresses, dates, figures, event or album titles — which the live page fills with real entries. It is different data, not missing interface copy.</t>
        </is>
      </c>
      <c r="M325" s="28" t="inlineStr">
        <is>
          <t>—</t>
        </is>
      </c>
    </row>
    <row r="326">
      <c r="A326" s="27" t="inlineStr">
        <is>
          <t>WEB-SCREEN-232</t>
        </is>
      </c>
      <c r="B326" s="28" t="inlineStr">
        <is>
          <t>—</t>
        </is>
      </c>
      <c r="C326" s="28" t="inlineStr">
        <is>
          <t>—</t>
        </is>
      </c>
      <c r="D326" s="28" t="inlineStr">
        <is>
          <t>—</t>
        </is>
      </c>
      <c r="E326" s="28" t="inlineStr">
        <is>
          <t>Vacancies · mobile — shreshta@dosje.gov.in</t>
        </is>
      </c>
      <c r="F326" s="28" t="inlineStr">
        <is>
          <t>No fix required — this finding was withdrawn.</t>
        </is>
      </c>
      <c r="G326" s="28" t="n"/>
      <c r="H326" s="28" t="n"/>
      <c r="I326" s="28" t="inlineStr">
        <is>
          <t>Withdrawn</t>
        </is>
      </c>
      <c r="J326" s="28" t="n"/>
      <c r="K326" s="28" t="n"/>
      <c r="L326" s="28" t="inlineStr">
        <is>
          <t>WITHDRAWN: Withdrawn: the design text is sample content in a repeated list or data field — names, e-mail addresses, dates, figures, event or album titles — which the live page fills with real entries. It is different data, not missing interface copy.</t>
        </is>
      </c>
      <c r="M326" s="28" t="inlineStr">
        <is>
          <t>—</t>
        </is>
      </c>
    </row>
    <row r="327">
      <c r="A327" s="27" t="inlineStr">
        <is>
          <t>WEB-SCREEN-223</t>
        </is>
      </c>
      <c r="B327" s="28" t="inlineStr">
        <is>
          <t>—</t>
        </is>
      </c>
      <c r="C327" s="28" t="inlineStr">
        <is>
          <t>—</t>
        </is>
      </c>
      <c r="D327" s="28" t="inlineStr">
        <is>
          <t>—</t>
        </is>
      </c>
      <c r="E327" s="28" t="inlineStr">
        <is>
          <t>Vacancies · mobile — 5th floor, lok nayak bhawan, khan market, new delhi - 110003</t>
        </is>
      </c>
      <c r="F327" s="28" t="inlineStr">
        <is>
          <t>No fix required — this finding was withdrawn.</t>
        </is>
      </c>
      <c r="G327" s="28" t="n"/>
      <c r="H327" s="28" t="n"/>
      <c r="I327" s="28" t="inlineStr">
        <is>
          <t>Withdrawn</t>
        </is>
      </c>
      <c r="J327" s="28" t="n"/>
      <c r="K327" s="28" t="n"/>
      <c r="L327" s="28" t="inlineStr">
        <is>
          <t>WITHDRAWN: Withdrawn: the design text is sample content in a repeated list or data field — names, e-mail addresses, dates, figures, event or album titles — which the live page fills with real entries. It is different data, not missing interface copy.</t>
        </is>
      </c>
      <c r="M327" s="28" t="inlineStr">
        <is>
          <t>—</t>
        </is>
      </c>
    </row>
    <row r="328">
      <c r="A328" s="27" t="inlineStr">
        <is>
          <t>WEB-SCREEN-024</t>
        </is>
      </c>
      <c r="B328" s="28" t="inlineStr">
        <is>
          <t>—</t>
        </is>
      </c>
      <c r="C328" s="28" t="inlineStr">
        <is>
          <t>—</t>
        </is>
      </c>
      <c r="D328" s="28" t="inlineStr">
        <is>
          <t>—</t>
        </is>
      </c>
      <c r="E328" s="28" t="inlineStr">
        <is>
          <t>Visitor Analytics · desktop — Previous</t>
        </is>
      </c>
      <c r="F328" s="28" t="inlineStr">
        <is>
          <t>No fix required — this finding was withdrawn.</t>
        </is>
      </c>
      <c r="G328" s="28" t="n"/>
      <c r="H328" s="28" t="n"/>
      <c r="I328" s="28" t="inlineStr">
        <is>
          <t>Withdrawn</t>
        </is>
      </c>
      <c r="J328" s="28" t="n"/>
      <c r="K328" s="28" t="n"/>
      <c r="L328" s="28" t="inlineStr">
        <is>
          <t>WITHDRAWN: Merged into WEB-GLOBAL-085, which now carries this defect together with the others of the same kind — one fix, one row.</t>
        </is>
      </c>
      <c r="M328" s="28" t="inlineStr">
        <is>
          <t>—</t>
        </is>
      </c>
    </row>
    <row r="329">
      <c r="A329" s="27" t="inlineStr">
        <is>
          <t>WEB-SCREEN-240</t>
        </is>
      </c>
      <c r="B329" s="28" t="inlineStr">
        <is>
          <t>—</t>
        </is>
      </c>
      <c r="C329" s="28" t="inlineStr">
        <is>
          <t>—</t>
        </is>
      </c>
      <c r="D329" s="28" t="inlineStr">
        <is>
          <t>—</t>
        </is>
      </c>
      <c r="E329" s="28" t="inlineStr">
        <is>
          <t>Whos Who · desktop — discover the commissions, corporations, institutes and found</t>
        </is>
      </c>
      <c r="F329" s="28" t="inlineStr">
        <is>
          <t>No fix required — this finding was withdrawn.</t>
        </is>
      </c>
      <c r="G329" s="28" t="n"/>
      <c r="H329" s="28" t="n"/>
      <c r="I329" s="28" t="inlineStr">
        <is>
          <t>Withdrawn</t>
        </is>
      </c>
      <c r="J329" s="28" t="n"/>
      <c r="K329" s="28" t="n"/>
      <c r="L329" s="28" t="inlineStr">
        <is>
          <t>WITHDRAWN: Merged into WEB-SCREEN-377, which now carries this defect together with the others of the same kind — one fix, one row.</t>
        </is>
      </c>
      <c r="M329" s="28" t="inlineStr">
        <is>
          <t>—</t>
        </is>
      </c>
    </row>
    <row r="330">
      <c r="A330" s="27" t="inlineStr">
        <is>
          <t>WEB-SCREEN-245</t>
        </is>
      </c>
      <c r="B330" s="28" t="inlineStr">
        <is>
          <t>—</t>
        </is>
      </c>
      <c r="C330" s="28" t="inlineStr">
        <is>
          <t>—</t>
        </is>
      </c>
      <c r="D330" s="28" t="inlineStr">
        <is>
          <t>—</t>
        </is>
      </c>
      <c r="E330" s="28" t="inlineStr">
        <is>
          <t>Whos Who · desktop — mosje officials</t>
        </is>
      </c>
      <c r="F330" s="28" t="inlineStr">
        <is>
          <t>No fix required — this finding was withdrawn.</t>
        </is>
      </c>
      <c r="G330" s="28" t="n"/>
      <c r="H330" s="28" t="n"/>
      <c r="I330" s="28" t="inlineStr">
        <is>
          <t>Withdrawn</t>
        </is>
      </c>
      <c r="J330" s="28" t="n"/>
      <c r="K330" s="28" t="n"/>
      <c r="L330" s="28" t="inlineStr">
        <is>
          <t>WITHDRAWN: Withdrawn: the design text is sample content in a repeated list or data field — names, e-mail addresses, dates, figures, event or album titles — which the live page fills with real entries. It is different data, not missing interface copy.</t>
        </is>
      </c>
      <c r="M330" s="28" t="inlineStr">
        <is>
          <t>—</t>
        </is>
      </c>
    </row>
    <row r="331">
      <c r="A331" s="27" t="inlineStr">
        <is>
          <t>WEB-SCREEN-243</t>
        </is>
      </c>
      <c r="B331" s="28" t="inlineStr">
        <is>
          <t>—</t>
        </is>
      </c>
      <c r="C331" s="28" t="inlineStr">
        <is>
          <t>—</t>
        </is>
      </c>
      <c r="D331" s="28" t="inlineStr">
        <is>
          <t>—</t>
        </is>
      </c>
      <c r="E331" s="28" t="inlineStr">
        <is>
          <t>Whos Who · desktop — min-sje@nic.in</t>
        </is>
      </c>
      <c r="F331" s="28" t="inlineStr">
        <is>
          <t>No fix required — this finding was withdrawn.</t>
        </is>
      </c>
      <c r="G331" s="28" t="n"/>
      <c r="H331" s="28" t="n"/>
      <c r="I331" s="28" t="inlineStr">
        <is>
          <t>Withdrawn</t>
        </is>
      </c>
      <c r="J331" s="28" t="n"/>
      <c r="K331" s="28" t="n"/>
      <c r="L331" s="28" t="inlineStr">
        <is>
          <t>WITHDRAWN: Withdrawn: the design text is sample content in a repeated list or data field — names, e-mail addresses, dates, figures, event or album titles — which the live page fills with real entries. It is different data, not missing interface copy.</t>
        </is>
      </c>
      <c r="M331" s="28" t="inlineStr">
        <is>
          <t>—</t>
        </is>
      </c>
    </row>
    <row r="332">
      <c r="A332" s="27" t="inlineStr">
        <is>
          <t>WEB-SCREEN-236</t>
        </is>
      </c>
      <c r="B332" s="28" t="inlineStr">
        <is>
          <t>—</t>
        </is>
      </c>
      <c r="C332" s="28" t="inlineStr">
        <is>
          <t>—</t>
        </is>
      </c>
      <c r="D332" s="28" t="inlineStr">
        <is>
          <t>—</t>
        </is>
      </c>
      <c r="E332" s="28" t="inlineStr">
        <is>
          <t>Whos Who · desktop — 201 c-wing, shastri bhawan, new delhi</t>
        </is>
      </c>
      <c r="F332" s="28" t="inlineStr">
        <is>
          <t>No fix required — this finding was withdrawn.</t>
        </is>
      </c>
      <c r="G332" s="28" t="n"/>
      <c r="H332" s="28" t="n"/>
      <c r="I332" s="28" t="inlineStr">
        <is>
          <t>Withdrawn</t>
        </is>
      </c>
      <c r="J332" s="28" t="n"/>
      <c r="K332" s="28" t="n"/>
      <c r="L332" s="28" t="inlineStr">
        <is>
          <t>WITHDRAWN: Withdrawn: the design text is sample content in a repeated list or data field — names, e-mail addresses, dates, figures, event or album titles — which the live page fills with real entries. It is different data, not missing interface copy.</t>
        </is>
      </c>
      <c r="M332" s="28" t="inlineStr">
        <is>
          <t>—</t>
        </is>
      </c>
    </row>
    <row r="333">
      <c r="A333" s="27" t="inlineStr">
        <is>
          <t>WEB-SCREEN-244</t>
        </is>
      </c>
      <c r="B333" s="28" t="inlineStr">
        <is>
          <t>—</t>
        </is>
      </c>
      <c r="C333" s="28" t="inlineStr">
        <is>
          <t>—</t>
        </is>
      </c>
      <c r="D333" s="28" t="inlineStr">
        <is>
          <t>—</t>
        </is>
      </c>
      <c r="E333" s="28" t="inlineStr">
        <is>
          <t>Whos Who · desktop — mosathawale@gmail.com</t>
        </is>
      </c>
      <c r="F333" s="28" t="inlineStr">
        <is>
          <t>No fix required — this finding was withdrawn.</t>
        </is>
      </c>
      <c r="G333" s="28" t="n"/>
      <c r="H333" s="28" t="n"/>
      <c r="I333" s="28" t="inlineStr">
        <is>
          <t>Withdrawn</t>
        </is>
      </c>
      <c r="J333" s="28" t="n"/>
      <c r="K333" s="28" t="n"/>
      <c r="L333" s="28" t="inlineStr">
        <is>
          <t>WITHDRAWN: Withdrawn: the design text is sample content in a repeated list or data field — names, e-mail addresses, dates, figures, event or album titles — which the live page fills with real entries. It is different data, not missing interface copy.</t>
        </is>
      </c>
      <c r="M333" s="28" t="inlineStr">
        <is>
          <t>—</t>
        </is>
      </c>
    </row>
    <row r="334">
      <c r="A334" s="27" t="inlineStr">
        <is>
          <t>WEB-SCREEN-250</t>
        </is>
      </c>
      <c r="B334" s="28" t="inlineStr">
        <is>
          <t>—</t>
        </is>
      </c>
      <c r="C334" s="28" t="inlineStr">
        <is>
          <t>—</t>
        </is>
      </c>
      <c r="D334" s="28" t="inlineStr">
        <is>
          <t>—</t>
        </is>
      </c>
      <c r="E334" s="28" t="inlineStr">
        <is>
          <t>Whos Who · desktop — shri b l verma</t>
        </is>
      </c>
      <c r="F334" s="28" t="inlineStr">
        <is>
          <t>No fix required — this finding was withdrawn.</t>
        </is>
      </c>
      <c r="G334" s="28" t="n"/>
      <c r="H334" s="28" t="n"/>
      <c r="I334" s="28" t="inlineStr">
        <is>
          <t>Withdrawn</t>
        </is>
      </c>
      <c r="J334" s="28" t="n"/>
      <c r="K334" s="28" t="n"/>
      <c r="L334" s="28" t="inlineStr">
        <is>
          <t>WITHDRAWN: Withdrawn: the design text is sample content in a repeated list or data field — names, e-mail addresses, dates, figures, event or album titles — which the live page fills with real entries. It is different data, not missing interface copy.</t>
        </is>
      </c>
      <c r="M334" s="28" t="inlineStr">
        <is>
          <t>—</t>
        </is>
      </c>
    </row>
    <row r="335">
      <c r="A335" s="27" t="inlineStr">
        <is>
          <t>WEB-SCREEN-057</t>
        </is>
      </c>
      <c r="B335" s="28" t="inlineStr">
        <is>
          <t>—</t>
        </is>
      </c>
      <c r="C335" s="28" t="inlineStr">
        <is>
          <t>—</t>
        </is>
      </c>
      <c r="D335" s="28" t="inlineStr">
        <is>
          <t>—</t>
        </is>
      </c>
      <c r="E335" s="28" t="inlineStr">
        <is>
          <t>Whos Who · mobile — Dr. Virendra Kumar</t>
        </is>
      </c>
      <c r="F335" s="28" t="inlineStr">
        <is>
          <t>No fix required — this finding was withdrawn.</t>
        </is>
      </c>
      <c r="G335" s="28" t="n"/>
      <c r="H335" s="28" t="n"/>
      <c r="I335" s="28" t="inlineStr">
        <is>
          <t>Withdrawn</t>
        </is>
      </c>
      <c r="J335" s="28" t="n"/>
      <c r="K335" s="28" t="n"/>
      <c r="L335" s="28" t="inlineStr">
        <is>
          <t>WITHDRAWN: Merged into WEB-GLOBAL-111 / WEB-GLOBAL-110 / WEB-GLOBAL-112, which now carries this defect together with the others of the same kind — one fix, one row.</t>
        </is>
      </c>
      <c r="M335" s="28" t="inlineStr">
        <is>
          <t>—</t>
        </is>
      </c>
    </row>
    <row r="336">
      <c r="A336" s="27" t="inlineStr">
        <is>
          <t>WEB-SCREEN-058</t>
        </is>
      </c>
      <c r="B336" s="28" t="inlineStr">
        <is>
          <t>—</t>
        </is>
      </c>
      <c r="C336" s="28" t="inlineStr">
        <is>
          <t>—</t>
        </is>
      </c>
      <c r="D336" s="28" t="inlineStr">
        <is>
          <t>—</t>
        </is>
      </c>
      <c r="E336" s="28" t="inlineStr">
        <is>
          <t>Whos Who · mobile — Shri Kishor Makwana</t>
        </is>
      </c>
      <c r="F336" s="28" t="inlineStr">
        <is>
          <t>No fix required — this finding was withdrawn.</t>
        </is>
      </c>
      <c r="G336" s="28" t="n"/>
      <c r="H336" s="28" t="n"/>
      <c r="I336" s="28" t="inlineStr">
        <is>
          <t>Withdrawn</t>
        </is>
      </c>
      <c r="J336" s="28" t="n"/>
      <c r="K336" s="28" t="n"/>
      <c r="L336" s="28" t="inlineStr">
        <is>
          <t>WITHDRAWN: Merged into WEB-GLOBAL-111 / WEB-GLOBAL-110 / WEB-GLOBAL-112, which now carries this defect together with the others of the same kind — one fix, one row.</t>
        </is>
      </c>
      <c r="M336" s="28" t="inlineStr">
        <is>
          <t>—</t>
        </is>
      </c>
    </row>
    <row r="337">
      <c r="A337" s="27" t="inlineStr">
        <is>
          <t>WEB-SCREEN-288</t>
        </is>
      </c>
      <c r="B337" s="28" t="inlineStr">
        <is>
          <t>—</t>
        </is>
      </c>
      <c r="C337" s="28" t="inlineStr">
        <is>
          <t>—</t>
        </is>
      </c>
      <c r="D337" s="28" t="inlineStr">
        <is>
          <t>—</t>
        </is>
      </c>
      <c r="E337" s="28" t="inlineStr">
        <is>
          <t>Whos Who · mobile — Shri Kaishab Bihari</t>
        </is>
      </c>
      <c r="F337" s="28" t="inlineStr">
        <is>
          <t>No fix required — this finding was withdrawn.</t>
        </is>
      </c>
      <c r="G337" s="28" t="n"/>
      <c r="H337" s="28" t="n"/>
      <c r="I337" s="28" t="inlineStr">
        <is>
          <t>Withdrawn</t>
        </is>
      </c>
      <c r="J337" s="28" t="n"/>
      <c r="K337" s="28" t="n"/>
      <c r="L337" s="28" t="inlineStr">
        <is>
          <t>WITHDRAWN: Merged into WEB-GLOBAL-111 / WEB-GLOBAL-110 / WEB-GLOBAL-112, which now carries this defect together with the others of the same kind — one fix, one row.</t>
        </is>
      </c>
      <c r="M337" s="28" t="inlineStr">
        <is>
          <t>—</t>
        </is>
      </c>
    </row>
    <row r="338">
      <c r="A338" s="27" t="inlineStr">
        <is>
          <t>WEB-SCREEN-289</t>
        </is>
      </c>
      <c r="B338" s="28" t="inlineStr">
        <is>
          <t>—</t>
        </is>
      </c>
      <c r="C338" s="28" t="inlineStr">
        <is>
          <t>—</t>
        </is>
      </c>
      <c r="D338" s="28" t="inlineStr">
        <is>
          <t>—</t>
        </is>
      </c>
      <c r="E338" s="28" t="inlineStr">
        <is>
          <t>Whos Who · mobile — Sadhvi Niranjan Jyoti</t>
        </is>
      </c>
      <c r="F338" s="28" t="inlineStr">
        <is>
          <t>No fix required — this finding was withdrawn.</t>
        </is>
      </c>
      <c r="G338" s="28" t="n"/>
      <c r="H338" s="28" t="n"/>
      <c r="I338" s="28" t="inlineStr">
        <is>
          <t>Withdrawn</t>
        </is>
      </c>
      <c r="J338" s="28" t="n"/>
      <c r="K338" s="28" t="n"/>
      <c r="L338" s="28" t="inlineStr">
        <is>
          <t>WITHDRAWN: Merged into WEB-GLOBAL-111 / WEB-GLOBAL-110 / WEB-GLOBAL-112, which now carries this defect together with the others of the same kind — one fix, one row.</t>
        </is>
      </c>
      <c r="M338" s="28" t="inlineStr">
        <is>
          <t>—</t>
        </is>
      </c>
    </row>
    <row r="339">
      <c r="A339" s="27" t="inlineStr">
        <is>
          <t>WEB-SCREEN-235</t>
        </is>
      </c>
      <c r="B339" s="28" t="inlineStr">
        <is>
          <t>—</t>
        </is>
      </c>
      <c r="C339" s="28" t="inlineStr">
        <is>
          <t>—</t>
        </is>
      </c>
      <c r="D339" s="28" t="inlineStr">
        <is>
          <t>—</t>
        </is>
      </c>
      <c r="E339" s="28" t="inlineStr">
        <is>
          <t>Whos Who · mobile — 101c-wing, shastri bhawan, new delhi</t>
        </is>
      </c>
      <c r="F339" s="28" t="inlineStr">
        <is>
          <t>No fix required — this finding was withdrawn.</t>
        </is>
      </c>
      <c r="G339" s="28" t="n"/>
      <c r="H339" s="28" t="n"/>
      <c r="I339" s="28" t="inlineStr">
        <is>
          <t>Withdrawn</t>
        </is>
      </c>
      <c r="J339" s="28" t="n"/>
      <c r="K339" s="28" t="n"/>
      <c r="L339" s="28" t="inlineStr">
        <is>
          <t>WITHDRAWN: Withdrawn: the design text is sample content in a repeated list or data field — names, e-mail addresses, dates, figures, event or album titles — which the live page fills with real entries. It is different data, not missing interface copy.</t>
        </is>
      </c>
      <c r="M339" s="28" t="inlineStr">
        <is>
          <t>—</t>
        </is>
      </c>
    </row>
    <row r="340">
      <c r="A340" s="27" t="inlineStr">
        <is>
          <t>WEB-SCREEN-249</t>
        </is>
      </c>
      <c r="B340" s="28" t="inlineStr">
        <is>
          <t>—</t>
        </is>
      </c>
      <c r="C340" s="28" t="inlineStr">
        <is>
          <t>—</t>
        </is>
      </c>
      <c r="D340" s="28" t="inlineStr">
        <is>
          <t>—</t>
        </is>
      </c>
      <c r="E340" s="28" t="inlineStr">
        <is>
          <t>Whos Who · mobile — room no. 623, a-wing, shastri bhawan</t>
        </is>
      </c>
      <c r="F340" s="28" t="inlineStr">
        <is>
          <t>No fix required — this finding was withdrawn.</t>
        </is>
      </c>
      <c r="G340" s="28" t="n"/>
      <c r="H340" s="28" t="n"/>
      <c r="I340" s="28" t="inlineStr">
        <is>
          <t>Withdrawn</t>
        </is>
      </c>
      <c r="J340" s="28" t="n"/>
      <c r="K340" s="28" t="n"/>
      <c r="L340" s="28" t="inlineStr">
        <is>
          <t>WITHDRAWN: Withdrawn: the design text is sample content in a repeated list or data field — names, e-mail addresses, dates, figures, event or album titles — which the live page fills with real entries. It is different data, not missing interface copy.</t>
        </is>
      </c>
      <c r="M340" s="28" t="inlineStr">
        <is>
          <t>—</t>
        </is>
      </c>
    </row>
    <row r="341">
      <c r="A341" s="27" t="inlineStr">
        <is>
          <t>WEB-SCREEN-317</t>
        </is>
      </c>
      <c r="B341" s="28" t="inlineStr">
        <is>
          <t>—</t>
        </is>
      </c>
      <c r="C341" s="28" t="inlineStr">
        <is>
          <t>—</t>
        </is>
      </c>
      <c r="D341" s="28" t="inlineStr">
        <is>
          <t>—</t>
        </is>
      </c>
      <c r="E341" s="28" t="inlineStr">
        <is>
          <t>Home · mobile — Go to slide 1</t>
        </is>
      </c>
      <c r="F341" s="28" t="inlineStr">
        <is>
          <t>No fix required — this finding was withdrawn.</t>
        </is>
      </c>
      <c r="G341" s="28" t="n"/>
      <c r="H341" s="28" t="n"/>
      <c r="I341" s="28" t="inlineStr">
        <is>
          <t>Withdrawn</t>
        </is>
      </c>
      <c r="J341" s="28" t="n"/>
      <c r="K341" s="28" t="n"/>
      <c r="L341" s="28" t="inlineStr">
        <is>
          <t>WITHDRAWN: Merged into WEB-GLOBAL-111 / WEB-GLOBAL-110 / WEB-GLOBAL-112, which now carries this defect together with the others of the same kind — one fix, one row.</t>
        </is>
      </c>
      <c r="M341" s="28" t="inlineStr">
        <is>
          <t>—</t>
        </is>
      </c>
    </row>
    <row r="342">
      <c r="A342" s="27" t="inlineStr">
        <is>
          <t>WEB-SCREEN-316</t>
        </is>
      </c>
      <c r="B342" s="28" t="inlineStr">
        <is>
          <t>—</t>
        </is>
      </c>
      <c r="C342" s="28" t="inlineStr">
        <is>
          <t>—</t>
        </is>
      </c>
      <c r="D342" s="28" t="inlineStr">
        <is>
          <t>—</t>
        </is>
      </c>
      <c r="E342" s="28" t="inlineStr">
        <is>
          <t>Home · mobile — Go to slide 2</t>
        </is>
      </c>
      <c r="F342" s="28" t="inlineStr">
        <is>
          <t>No fix required — this finding was withdrawn.</t>
        </is>
      </c>
      <c r="G342" s="28" t="n"/>
      <c r="H342" s="28" t="n"/>
      <c r="I342" s="28" t="inlineStr">
        <is>
          <t>Withdrawn</t>
        </is>
      </c>
      <c r="J342" s="28" t="n"/>
      <c r="K342" s="28" t="n"/>
      <c r="L342" s="28" t="inlineStr">
        <is>
          <t>WITHDRAWN: Merged into WEB-GLOBAL-111 / WEB-GLOBAL-110 / WEB-GLOBAL-112, which now carries this defect together with the others of the same kind — one fix, one row.</t>
        </is>
      </c>
      <c r="M342" s="28" t="inlineStr">
        <is>
          <t>—</t>
        </is>
      </c>
    </row>
  </sheetData>
  <autoFilter ref="A1:M3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1"/>
  <sheetViews>
    <sheetView workbookViewId="0">
      <pane ySplit="1" topLeftCell="A2" activePane="bottomLeft" state="frozen"/>
      <selection pane="bottomLeft" activeCell="A1" sqref="A1"/>
    </sheetView>
  </sheetViews>
  <sheetFormatPr baseColWidth="8" defaultRowHeight="15"/>
  <cols>
    <col width="44" customWidth="1" min="1" max="1"/>
    <col width="18" customWidth="1" min="2" max="2"/>
    <col width="34" customWidth="1" min="3" max="3"/>
    <col width="12" customWidth="1" min="4" max="4"/>
    <col width="10" customWidth="1" min="5" max="5"/>
    <col width="14" customWidth="1" min="6" max="6"/>
    <col width="12" customWidth="1" min="7" max="7"/>
    <col width="52" customWidth="1" min="8" max="8"/>
  </cols>
  <sheetData>
    <row r="1">
      <c r="A1" s="29" t="inlineStr">
        <is>
          <t>Screen</t>
        </is>
      </c>
      <c r="B1" s="29" t="inlineStr">
        <is>
          <t>Section</t>
        </is>
      </c>
      <c r="C1" s="29" t="inlineStr">
        <is>
          <t>Figma URL</t>
        </is>
      </c>
      <c r="D1" s="29" t="inlineStr">
        <is>
          <t>Has Design?</t>
        </is>
      </c>
      <c r="E1" s="29" t="inlineStr">
        <is>
          <t>Built?</t>
        </is>
      </c>
      <c r="F1" s="29" t="inlineStr">
        <is>
          <t>QC Status</t>
        </is>
      </c>
      <c r="G1" s="29" t="inlineStr">
        <is>
          <t># Findings</t>
        </is>
      </c>
      <c r="H1" s="29" t="inlineStr">
        <is>
          <t>Notes</t>
        </is>
      </c>
    </row>
    <row r="2">
      <c r="A2" s="28" t="inlineStr">
        <is>
          <t>home</t>
        </is>
      </c>
      <c r="B2" s="28" t="inlineStr">
        <is>
          <t>Page</t>
        </is>
      </c>
      <c r="C2" s="28" t="inlineStr">
        <is>
          <t>https://www.figma.com/design/Ds5qx61QsI0ZkYSrLKxo0A/MoSJE--Handoff-?node-id=3453-7805</t>
        </is>
      </c>
      <c r="D2" s="28" t="inlineStr">
        <is>
          <t>Yes</t>
        </is>
      </c>
      <c r="E2" s="28" t="inlineStr">
        <is>
          <t>Yes</t>
        </is>
      </c>
      <c r="F2" s="28" t="inlineStr">
        <is>
          <t>Not captured</t>
        </is>
      </c>
      <c r="G2" s="28" t="n">
        <v>32</v>
      </c>
      <c r="H2" s="28" t="inlineStr">
        <is>
          <t>Home frames; UI Flow 'Home' (3453:7805) is the ✅ flow copy — the Home page's own 'Home' (51821:33657, 7216px) is newer and taller; human to choose which is current</t>
        </is>
      </c>
    </row>
    <row r="3">
      <c r="A3" s="28" t="inlineStr">
        <is>
          <t>footer-carousel</t>
        </is>
      </c>
      <c r="B3" s="28" t="inlineStr">
        <is>
          <t>Page</t>
        </is>
      </c>
      <c r="C3" s="28" t="inlineStr">
        <is>
          <t>https://www.figma.com/design/Ds5qx61QsI0ZkYSrLKxo0A/MoSJE--Handoff-?node-id=4432-105121</t>
        </is>
      </c>
      <c r="D3" s="28" t="inlineStr">
        <is>
          <t>Yes</t>
        </is>
      </c>
      <c r="E3" s="28" t="inlineStr">
        <is>
          <t>Yes</t>
        </is>
      </c>
      <c r="F3" s="28" t="inlineStr">
        <is>
          <t>Not captured</t>
        </is>
      </c>
      <c r="G3" s="28" t="n">
        <v>16</v>
      </c>
      <c r="H3" s="28" t="inlineStr">
        <is>
          <t>No page design; only a 'Carousel' strip on Home page (the live URL is a utility carousel page)</t>
        </is>
      </c>
    </row>
    <row r="4">
      <c r="A4" s="28" t="inlineStr">
        <is>
          <t>samavesh-citizen-portals</t>
        </is>
      </c>
      <c r="B4" s="28" t="inlineStr">
        <is>
          <t>Page</t>
        </is>
      </c>
      <c r="C4" s="28" t="inlineStr">
        <is>
          <t>https://www.figma.com/design/Ds5qx61QsI0ZkYSrLKxo0A/MoSJE--Handoff-?node-id=7116-34665</t>
        </is>
      </c>
      <c r="D4" s="28" t="inlineStr">
        <is>
          <t>Yes</t>
        </is>
      </c>
      <c r="E4" s="28" t="inlineStr">
        <is>
          <t>Yes</t>
        </is>
      </c>
      <c r="F4" s="28" t="inlineStr">
        <is>
          <t>Not captured</t>
        </is>
      </c>
      <c r="G4" s="28" t="n">
        <v>18</v>
      </c>
      <c r="H4" s="28" t="inlineStr">
        <is>
          <t>Home › Explore 'SAMAVESH Login (Citizen)' state shows the citizen portal chooser; not a standalone page</t>
        </is>
      </c>
    </row>
    <row r="5">
      <c r="A5" s="28" t="inlineStr">
        <is>
          <t>about-us</t>
        </is>
      </c>
      <c r="B5" s="28" t="inlineStr">
        <is>
          <t>Page</t>
        </is>
      </c>
      <c r="C5" s="28" t="inlineStr">
        <is>
          <t>https://www.figma.com/design/Ds5qx61QsI0ZkYSrLKxo0A/MoSJE--Handoff-?node-id=3453-8567</t>
        </is>
      </c>
      <c r="D5" s="28" t="inlineStr">
        <is>
          <t>Yes</t>
        </is>
      </c>
      <c r="E5" s="28" t="inlineStr">
        <is>
          <t>Yes</t>
        </is>
      </c>
      <c r="F5" s="28" t="inlineStr">
        <is>
          <t>Not captured</t>
        </is>
      </c>
      <c r="G5" s="28" t="n">
        <v>30</v>
      </c>
      <c r="H5" s="28" t="inlineStr">
        <is>
          <t>Ministry › About Us</t>
        </is>
      </c>
    </row>
    <row r="6">
      <c r="A6" s="28" t="inlineStr">
        <is>
          <t>miscellaneous</t>
        </is>
      </c>
      <c r="B6" s="28" t="inlineStr">
        <is>
          <t>Page</t>
        </is>
      </c>
      <c r="C6" s="28" t="n"/>
      <c r="D6" s="28" t="inlineStr">
        <is>
          <t>No</t>
        </is>
      </c>
      <c r="E6" s="28" t="inlineStr">
        <is>
          <t>Yes</t>
        </is>
      </c>
      <c r="F6" s="28" t="inlineStr">
        <is>
          <t>Not captured</t>
        </is>
      </c>
      <c r="G6" s="28" t="n">
        <v>18</v>
      </c>
      <c r="H6" s="28" t="inlineStr"/>
    </row>
    <row r="7">
      <c r="A7" s="28" t="inlineStr">
        <is>
          <t>meta-data</t>
        </is>
      </c>
      <c r="B7" s="28" t="inlineStr">
        <is>
          <t>Page</t>
        </is>
      </c>
      <c r="C7" s="28" t="n"/>
      <c r="D7" s="28" t="inlineStr">
        <is>
          <t>No</t>
        </is>
      </c>
      <c r="E7" s="28" t="inlineStr">
        <is>
          <t>Yes</t>
        </is>
      </c>
      <c r="F7" s="28" t="inlineStr">
        <is>
          <t>Not captured</t>
        </is>
      </c>
      <c r="G7" s="28" t="n">
        <v>18</v>
      </c>
      <c r="H7" s="28" t="inlineStr"/>
    </row>
    <row r="8">
      <c r="A8" s="28" t="inlineStr">
        <is>
          <t>mosje-directory</t>
        </is>
      </c>
      <c r="B8" s="28" t="inlineStr">
        <is>
          <t>Page</t>
        </is>
      </c>
      <c r="C8" s="28" t="inlineStr">
        <is>
          <t>https://www.figma.com/design/Ds5qx61QsI0ZkYSrLKxo0A/MoSJE--Handoff-?node-id=3453-9324</t>
        </is>
      </c>
      <c r="D8" s="28" t="inlineStr">
        <is>
          <t>Yes</t>
        </is>
      </c>
      <c r="E8" s="28" t="inlineStr">
        <is>
          <t>Yes</t>
        </is>
      </c>
      <c r="F8" s="28" t="inlineStr">
        <is>
          <t>Not captured</t>
        </is>
      </c>
      <c r="G8" s="28" t="n">
        <v>29</v>
      </c>
      <c r="H8" s="28" t="inlineStr">
        <is>
          <t>UI Flow names it 'Who’s Who -&gt; MoSJE'; Ministry page names it 'Ministry/Directory'</t>
        </is>
      </c>
    </row>
    <row r="9">
      <c r="A9" s="28" t="inlineStr">
        <is>
          <t>contact-us-2</t>
        </is>
      </c>
      <c r="B9" s="28" t="inlineStr">
        <is>
          <t>Page</t>
        </is>
      </c>
      <c r="C9" s="28" t="inlineStr">
        <is>
          <t>https://www.figma.com/design/Ds5qx61QsI0ZkYSrLKxo0A/MoSJE--Handoff-?node-id=3453-14723</t>
        </is>
      </c>
      <c r="D9" s="28" t="inlineStr">
        <is>
          <t>Yes</t>
        </is>
      </c>
      <c r="E9" s="28" t="inlineStr">
        <is>
          <t>Yes</t>
        </is>
      </c>
      <c r="F9" s="28" t="inlineStr">
        <is>
          <t>Not captured</t>
        </is>
      </c>
      <c r="G9" s="28" t="n">
        <v>18</v>
      </c>
      <c r="H9" s="28" t="inlineStr">
        <is>
          <t>Second contact page; closest is the organisation Contact Us (NCSC) variant</t>
        </is>
      </c>
    </row>
    <row r="10">
      <c r="A10" s="28" t="inlineStr">
        <is>
          <t>cookies</t>
        </is>
      </c>
      <c r="B10" s="28" t="inlineStr">
        <is>
          <t>Page</t>
        </is>
      </c>
      <c r="C10" s="28" t="inlineStr">
        <is>
          <t>https://www.figma.com/design/Ds5qx61QsI0ZkYSrLKxo0A/MoSJE--Handoff-?node-id=5243-126087</t>
        </is>
      </c>
      <c r="D10" s="28" t="inlineStr">
        <is>
          <t>Yes</t>
        </is>
      </c>
      <c r="E10" s="28" t="inlineStr">
        <is>
          <t>Yes</t>
        </is>
      </c>
      <c r="F10" s="28" t="inlineStr">
        <is>
          <t>Not captured</t>
        </is>
      </c>
      <c r="G10" s="28" t="n">
        <v>18</v>
      </c>
      <c r="H10" s="28" t="inlineStr">
        <is>
          <t>Individual policy/help page; design shows the combined Policies page</t>
        </is>
      </c>
    </row>
    <row r="11">
      <c r="A11" s="28" t="inlineStr">
        <is>
          <t>guidelines-for-assisting-ngos-voluntary-organisations</t>
        </is>
      </c>
      <c r="B11" s="28" t="inlineStr">
        <is>
          <t>Page</t>
        </is>
      </c>
      <c r="C11" s="28" t="n"/>
      <c r="D11" s="28" t="inlineStr">
        <is>
          <t>No</t>
        </is>
      </c>
      <c r="E11" s="28" t="inlineStr">
        <is>
          <t>Yes</t>
        </is>
      </c>
      <c r="F11" s="28" t="inlineStr">
        <is>
          <t>Not captured</t>
        </is>
      </c>
      <c r="G11" s="28" t="n">
        <v>17</v>
      </c>
      <c r="H11" s="28" t="inlineStr"/>
    </row>
    <row r="12">
      <c r="A12" s="28" t="inlineStr">
        <is>
          <t>list-of-scheduled-castes</t>
        </is>
      </c>
      <c r="B12" s="28" t="inlineStr">
        <is>
          <t>Page</t>
        </is>
      </c>
      <c r="C12" s="28" t="inlineStr">
        <is>
          <t>https://www.figma.com/design/Ds5qx61QsI0ZkYSrLKxo0A/MoSJE--Handoff-?node-id=3453-12795</t>
        </is>
      </c>
      <c r="D12" s="28" t="inlineStr">
        <is>
          <t>Yes</t>
        </is>
      </c>
      <c r="E12" s="28" t="inlineStr">
        <is>
          <t>Yes</t>
        </is>
      </c>
      <c r="F12" s="28" t="inlineStr">
        <is>
          <t>Not captured</t>
        </is>
      </c>
      <c r="G12" s="28" t="n">
        <v>20</v>
      </c>
      <c r="H12" s="28" t="inlineStr">
        <is>
          <t>Document-listing page; the only drawn document list is Annual Reports</t>
        </is>
      </c>
    </row>
    <row r="13">
      <c r="A13" s="28" t="inlineStr">
        <is>
          <t>advertisement</t>
        </is>
      </c>
      <c r="B13" s="28" t="inlineStr">
        <is>
          <t>Page</t>
        </is>
      </c>
      <c r="C13" s="28" t="inlineStr">
        <is>
          <t>https://www.figma.com/design/Ds5qx61QsI0ZkYSrLKxo0A/MoSJE--Handoff-?node-id=3453-12795</t>
        </is>
      </c>
      <c r="D13" s="28" t="inlineStr">
        <is>
          <t>Yes</t>
        </is>
      </c>
      <c r="E13" s="28" t="inlineStr">
        <is>
          <t>Yes</t>
        </is>
      </c>
      <c r="F13" s="28" t="inlineStr">
        <is>
          <t>Not captured</t>
        </is>
      </c>
      <c r="G13" s="28" t="n">
        <v>21</v>
      </c>
      <c r="H13" s="28" t="inlineStr">
        <is>
          <t>Document-listing page; the only drawn document list is Annual Reports</t>
        </is>
      </c>
    </row>
    <row r="14">
      <c r="A14" s="28" t="inlineStr">
        <is>
          <t>visitor-analytics</t>
        </is>
      </c>
      <c r="B14" s="28" t="inlineStr">
        <is>
          <t>Page</t>
        </is>
      </c>
      <c r="C14" s="28" t="n"/>
      <c r="D14" s="28" t="inlineStr">
        <is>
          <t>No</t>
        </is>
      </c>
      <c r="E14" s="28" t="inlineStr">
        <is>
          <t>Yes</t>
        </is>
      </c>
      <c r="F14" s="28" t="inlineStr">
        <is>
          <t>Not captured</t>
        </is>
      </c>
      <c r="G14" s="28" t="n">
        <v>20</v>
      </c>
      <c r="H14" s="28" t="inlineStr"/>
    </row>
    <row r="15">
      <c r="A15" s="28" t="inlineStr">
        <is>
          <t>whos-who</t>
        </is>
      </c>
      <c r="B15" s="28" t="inlineStr">
        <is>
          <t>Page</t>
        </is>
      </c>
      <c r="C15" s="28" t="inlineStr">
        <is>
          <t>https://www.figma.com/design/Ds5qx61QsI0ZkYSrLKxo0A/MoSJE--Handoff-?node-id=3453-8801</t>
        </is>
      </c>
      <c r="D15" s="28" t="inlineStr">
        <is>
          <t>Yes</t>
        </is>
      </c>
      <c r="E15" s="28" t="inlineStr">
        <is>
          <t>Yes</t>
        </is>
      </c>
      <c r="F15" s="28" t="inlineStr">
        <is>
          <t>Not captured</t>
        </is>
      </c>
      <c r="G15" s="28" t="n">
        <v>25</v>
      </c>
      <c r="H15" s="28" t="inlineStr">
        <is>
          <t>Ministry › Who’s Who</t>
        </is>
      </c>
    </row>
    <row r="16">
      <c r="A16" s="28" t="inlineStr">
        <is>
          <t>bjrnf-directory</t>
        </is>
      </c>
      <c r="B16" s="28" t="inlineStr">
        <is>
          <t>Page</t>
        </is>
      </c>
      <c r="C16" s="28" t="inlineStr">
        <is>
          <t>https://www.figma.com/design/Ds5qx61QsI0ZkYSrLKxo0A/MoSJE--Handoff-?node-id=3453-9324</t>
        </is>
      </c>
      <c r="D16" s="28" t="inlineStr">
        <is>
          <t>Yes</t>
        </is>
      </c>
      <c r="E16" s="28" t="inlineStr">
        <is>
          <t>Yes</t>
        </is>
      </c>
      <c r="F16" s="28" t="inlineStr">
        <is>
          <t>Not captured</t>
        </is>
      </c>
      <c r="G16" s="28" t="n">
        <v>21</v>
      </c>
      <c r="H16" s="28" t="inlineStr">
        <is>
          <t>Organisation directory pages share the MoSJE Directory design</t>
        </is>
      </c>
    </row>
    <row r="17">
      <c r="A17" s="28" t="inlineStr">
        <is>
          <t>help</t>
        </is>
      </c>
      <c r="B17" s="28" t="inlineStr">
        <is>
          <t>Page</t>
        </is>
      </c>
      <c r="C17" s="28" t="inlineStr">
        <is>
          <t>https://www.figma.com/design/Ds5qx61QsI0ZkYSrLKxo0A/MoSJE--Handoff-?node-id=5243-126087</t>
        </is>
      </c>
      <c r="D17" s="28" t="inlineStr">
        <is>
          <t>Yes</t>
        </is>
      </c>
      <c r="E17" s="28" t="inlineStr">
        <is>
          <t>Yes</t>
        </is>
      </c>
      <c r="F17" s="28" t="inlineStr">
        <is>
          <t>Not captured</t>
        </is>
      </c>
      <c r="G17" s="28" t="n">
        <v>17</v>
      </c>
      <c r="H17" s="28" t="inlineStr">
        <is>
          <t>Individual policy/help page; design shows the combined Policies page</t>
        </is>
      </c>
    </row>
    <row r="18">
      <c r="A18" s="28" t="inlineStr">
        <is>
          <t>copyright-policy</t>
        </is>
      </c>
      <c r="B18" s="28" t="inlineStr">
        <is>
          <t>Page</t>
        </is>
      </c>
      <c r="C18" s="28" t="inlineStr">
        <is>
          <t>https://www.figma.com/design/Ds5qx61QsI0ZkYSrLKxo0A/MoSJE--Handoff-?node-id=5243-126087</t>
        </is>
      </c>
      <c r="D18" s="28" t="inlineStr">
        <is>
          <t>Yes</t>
        </is>
      </c>
      <c r="E18" s="28" t="inlineStr">
        <is>
          <t>Yes</t>
        </is>
      </c>
      <c r="F18" s="28" t="inlineStr">
        <is>
          <t>Not captured</t>
        </is>
      </c>
      <c r="G18" s="28" t="n">
        <v>17</v>
      </c>
      <c r="H18" s="28" t="inlineStr">
        <is>
          <t>Individual policy/help page; design shows the combined Policies page</t>
        </is>
      </c>
    </row>
    <row r="19">
      <c r="A19" s="28" t="inlineStr">
        <is>
          <t>hyperlinking-policy</t>
        </is>
      </c>
      <c r="B19" s="28" t="inlineStr">
        <is>
          <t>Page</t>
        </is>
      </c>
      <c r="C19" s="28" t="inlineStr">
        <is>
          <t>https://www.figma.com/design/Ds5qx61QsI0ZkYSrLKxo0A/MoSJE--Handoff-?node-id=5243-126087</t>
        </is>
      </c>
      <c r="D19" s="28" t="inlineStr">
        <is>
          <t>Yes</t>
        </is>
      </c>
      <c r="E19" s="28" t="inlineStr">
        <is>
          <t>Yes</t>
        </is>
      </c>
      <c r="F19" s="28" t="inlineStr">
        <is>
          <t>Not captured</t>
        </is>
      </c>
      <c r="G19" s="28" t="n">
        <v>17</v>
      </c>
      <c r="H19" s="28" t="inlineStr">
        <is>
          <t>Individual policy/help page; design shows the combined Policies page</t>
        </is>
      </c>
    </row>
    <row r="20">
      <c r="A20" s="28" t="inlineStr">
        <is>
          <t>daic-directory</t>
        </is>
      </c>
      <c r="B20" s="28" t="inlineStr">
        <is>
          <t>Page</t>
        </is>
      </c>
      <c r="C20" s="28" t="inlineStr">
        <is>
          <t>https://www.figma.com/design/Ds5qx61QsI0ZkYSrLKxo0A/MoSJE--Handoff-?node-id=3453-9324</t>
        </is>
      </c>
      <c r="D20" s="28" t="inlineStr">
        <is>
          <t>Yes</t>
        </is>
      </c>
      <c r="E20" s="28" t="inlineStr">
        <is>
          <t>Yes</t>
        </is>
      </c>
      <c r="F20" s="28" t="inlineStr">
        <is>
          <t>Not captured</t>
        </is>
      </c>
      <c r="G20" s="28" t="n">
        <v>21</v>
      </c>
      <c r="H20" s="28" t="inlineStr">
        <is>
          <t>Organisation directory pages share the MoSJE Directory design</t>
        </is>
      </c>
    </row>
    <row r="21">
      <c r="A21" s="28" t="inlineStr">
        <is>
          <t>nisd-directory</t>
        </is>
      </c>
      <c r="B21" s="28" t="inlineStr">
        <is>
          <t>Page</t>
        </is>
      </c>
      <c r="C21" s="28" t="inlineStr">
        <is>
          <t>https://www.figma.com/design/Ds5qx61QsI0ZkYSrLKxo0A/MoSJE--Handoff-?node-id=3453-9324</t>
        </is>
      </c>
      <c r="D21" s="28" t="inlineStr">
        <is>
          <t>Yes</t>
        </is>
      </c>
      <c r="E21" s="28" t="inlineStr">
        <is>
          <t>Yes</t>
        </is>
      </c>
      <c r="F21" s="28" t="inlineStr">
        <is>
          <t>Not captured</t>
        </is>
      </c>
      <c r="G21" s="28" t="n">
        <v>20</v>
      </c>
      <c r="H21" s="28" t="inlineStr">
        <is>
          <t>Organisation directory pages share the MoSJE Directory design</t>
        </is>
      </c>
    </row>
    <row r="22">
      <c r="A22" s="28" t="inlineStr">
        <is>
          <t>samavesh-admin-portals</t>
        </is>
      </c>
      <c r="B22" s="28" t="inlineStr">
        <is>
          <t>Page</t>
        </is>
      </c>
      <c r="C22" s="28" t="inlineStr">
        <is>
          <t>https://www.figma.com/design/Ds5qx61QsI0ZkYSrLKxo0A/MoSJE--Handoff-?node-id=7298-28616</t>
        </is>
      </c>
      <c r="D22" s="28" t="inlineStr">
        <is>
          <t>Yes</t>
        </is>
      </c>
      <c r="E22" s="28" t="inlineStr">
        <is>
          <t>Yes</t>
        </is>
      </c>
      <c r="F22" s="28" t="inlineStr">
        <is>
          <t>Not captured</t>
        </is>
      </c>
      <c r="G22" s="28" t="n">
        <v>18</v>
      </c>
      <c r="H22" s="28" t="inlineStr">
        <is>
          <t>Home › Explore 'SAMAVESH Login (Admin)' — portal chooser drawn as a Home state</t>
        </is>
      </c>
    </row>
    <row r="23">
      <c r="A23" s="28" t="inlineStr">
        <is>
          <t>pm-ajay-directory</t>
        </is>
      </c>
      <c r="B23" s="28" t="inlineStr">
        <is>
          <t>Page</t>
        </is>
      </c>
      <c r="C23" s="28" t="inlineStr">
        <is>
          <t>https://www.figma.com/design/Ds5qx61QsI0ZkYSrLKxo0A/MoSJE--Handoff-?node-id=3453-9324</t>
        </is>
      </c>
      <c r="D23" s="28" t="inlineStr">
        <is>
          <t>Yes</t>
        </is>
      </c>
      <c r="E23" s="28" t="inlineStr">
        <is>
          <t>Yes</t>
        </is>
      </c>
      <c r="F23" s="28" t="inlineStr">
        <is>
          <t>Not captured</t>
        </is>
      </c>
      <c r="G23" s="28" t="n">
        <v>21</v>
      </c>
      <c r="H23" s="28" t="inlineStr">
        <is>
          <t>Organisation directory pages share the MoSJE Directory design</t>
        </is>
      </c>
    </row>
    <row r="24">
      <c r="A24" s="28" t="inlineStr">
        <is>
          <t>resources</t>
        </is>
      </c>
      <c r="B24" s="28" t="inlineStr">
        <is>
          <t>Page</t>
        </is>
      </c>
      <c r="C24" s="28" t="inlineStr">
        <is>
          <t>https://www.figma.com/design/Ds5qx61QsI0ZkYSrLKxo0A/MoSJE--Handoff-?node-id=3453-12795</t>
        </is>
      </c>
      <c r="D24" s="28" t="inlineStr">
        <is>
          <t>Yes</t>
        </is>
      </c>
      <c r="E24" s="28" t="inlineStr">
        <is>
          <t>Yes</t>
        </is>
      </c>
      <c r="F24" s="28" t="inlineStr">
        <is>
          <t>Not captured</t>
        </is>
      </c>
      <c r="G24" s="28" t="n">
        <v>21</v>
      </c>
      <c r="H24" s="28" t="inlineStr">
        <is>
          <t>Document-listing page; the only drawn document list is Annual Reports</t>
        </is>
      </c>
    </row>
    <row r="25">
      <c r="A25" s="28" t="inlineStr">
        <is>
          <t>nsfdc-directory</t>
        </is>
      </c>
      <c r="B25" s="28" t="inlineStr">
        <is>
          <t>Page</t>
        </is>
      </c>
      <c r="C25" s="28" t="inlineStr">
        <is>
          <t>https://www.figma.com/design/Ds5qx61QsI0ZkYSrLKxo0A/MoSJE--Handoff-?node-id=3453-9324</t>
        </is>
      </c>
      <c r="D25" s="28" t="inlineStr">
        <is>
          <t>Yes</t>
        </is>
      </c>
      <c r="E25" s="28" t="inlineStr">
        <is>
          <t>Yes</t>
        </is>
      </c>
      <c r="F25" s="28" t="inlineStr">
        <is>
          <t>Not captured</t>
        </is>
      </c>
      <c r="G25" s="28" t="n">
        <v>22</v>
      </c>
      <c r="H25" s="28" t="inlineStr">
        <is>
          <t>Organisation directory pages share the MoSJE Directory design</t>
        </is>
      </c>
    </row>
    <row r="26">
      <c r="A26" s="28" t="inlineStr">
        <is>
          <t>nhaa-directory</t>
        </is>
      </c>
      <c r="B26" s="28" t="inlineStr">
        <is>
          <t>Page</t>
        </is>
      </c>
      <c r="C26" s="28" t="inlineStr">
        <is>
          <t>https://www.figma.com/design/Ds5qx61QsI0ZkYSrLKxo0A/MoSJE--Handoff-?node-id=3453-9324</t>
        </is>
      </c>
      <c r="D26" s="28" t="inlineStr">
        <is>
          <t>Yes</t>
        </is>
      </c>
      <c r="E26" s="28" t="inlineStr">
        <is>
          <t>Yes</t>
        </is>
      </c>
      <c r="F26" s="28" t="inlineStr">
        <is>
          <t>Not captured</t>
        </is>
      </c>
      <c r="G26" s="28" t="n">
        <v>21</v>
      </c>
      <c r="H26" s="28" t="inlineStr">
        <is>
          <t>Organisation directory pages share the MoSJE Directory design</t>
        </is>
      </c>
    </row>
    <row r="27">
      <c r="A27" s="28" t="inlineStr">
        <is>
          <t>official-language-act</t>
        </is>
      </c>
      <c r="B27" s="28" t="inlineStr">
        <is>
          <t>Page</t>
        </is>
      </c>
      <c r="C27" s="28" t="n"/>
      <c r="D27" s="28" t="inlineStr">
        <is>
          <t>No</t>
        </is>
      </c>
      <c r="E27" s="28" t="inlineStr">
        <is>
          <t>Yes</t>
        </is>
      </c>
      <c r="F27" s="28" t="inlineStr">
        <is>
          <t>Not captured</t>
        </is>
      </c>
      <c r="G27" s="28" t="n">
        <v>15</v>
      </c>
      <c r="H27" s="28" t="inlineStr"/>
    </row>
    <row r="28">
      <c r="A28" s="28" t="inlineStr">
        <is>
          <t>terms-conditions</t>
        </is>
      </c>
      <c r="B28" s="28" t="inlineStr">
        <is>
          <t>Page</t>
        </is>
      </c>
      <c r="C28" s="28" t="inlineStr">
        <is>
          <t>https://www.figma.com/design/Ds5qx61QsI0ZkYSrLKxo0A/MoSJE--Handoff-?node-id=5243-126087</t>
        </is>
      </c>
      <c r="D28" s="28" t="inlineStr">
        <is>
          <t>Yes</t>
        </is>
      </c>
      <c r="E28" s="28" t="inlineStr">
        <is>
          <t>Yes</t>
        </is>
      </c>
      <c r="F28" s="28" t="inlineStr">
        <is>
          <t>Not captured</t>
        </is>
      </c>
      <c r="G28" s="28" t="n">
        <v>17</v>
      </c>
      <c r="H28" s="28" t="inlineStr">
        <is>
          <t>Individual policy/help page; design shows the combined Policies page</t>
        </is>
      </c>
    </row>
    <row r="29">
      <c r="A29" s="28" t="inlineStr">
        <is>
          <t>updates</t>
        </is>
      </c>
      <c r="B29" s="28" t="inlineStr">
        <is>
          <t>Page</t>
        </is>
      </c>
      <c r="C29" s="28" t="inlineStr">
        <is>
          <t>https://www.figma.com/design/Ds5qx61QsI0ZkYSrLKxo0A/MoSJE--Handoff-?node-id=3453-8192</t>
        </is>
      </c>
      <c r="D29" s="28" t="inlineStr">
        <is>
          <t>Yes</t>
        </is>
      </c>
      <c r="E29" s="28" t="inlineStr">
        <is>
          <t>Yes</t>
        </is>
      </c>
      <c r="F29" s="28" t="inlineStr">
        <is>
          <t>Not captured</t>
        </is>
      </c>
      <c r="G29" s="28" t="n">
        <v>22</v>
      </c>
      <c r="H29" s="28" t="inlineStr">
        <is>
          <t>No updates listing page; only the Latest Updates side sheet / 'Home -&gt; View All Updates' state</t>
        </is>
      </c>
    </row>
    <row r="30">
      <c r="A30" s="28" t="inlineStr">
        <is>
          <t>vacancies</t>
        </is>
      </c>
      <c r="B30" s="28" t="inlineStr">
        <is>
          <t>Page</t>
        </is>
      </c>
      <c r="C30" s="28" t="inlineStr">
        <is>
          <t>https://www.figma.com/design/Ds5qx61QsI0ZkYSrLKxo0A/MoSJE--Handoff-?node-id=3453-12427</t>
        </is>
      </c>
      <c r="D30" s="28" t="inlineStr">
        <is>
          <t>Yes</t>
        </is>
      </c>
      <c r="E30" s="28" t="inlineStr">
        <is>
          <t>Yes</t>
        </is>
      </c>
      <c r="F30" s="28" t="inlineStr">
        <is>
          <t>Not captured</t>
        </is>
      </c>
      <c r="G30" s="28" t="n">
        <v>26</v>
      </c>
      <c r="H30" s="28" t="inlineStr">
        <is>
          <t>Offerings › Vacancies</t>
        </is>
      </c>
    </row>
    <row r="31">
      <c r="A31" s="28" t="inlineStr">
        <is>
          <t>tenders</t>
        </is>
      </c>
      <c r="B31" s="28" t="inlineStr">
        <is>
          <t>Page</t>
        </is>
      </c>
      <c r="C31" s="28" t="inlineStr">
        <is>
          <t>https://www.figma.com/design/Ds5qx61QsI0ZkYSrLKxo0A/MoSJE--Handoff-?node-id=3453-12568</t>
        </is>
      </c>
      <c r="D31" s="28" t="inlineStr">
        <is>
          <t>Yes</t>
        </is>
      </c>
      <c r="E31" s="28" t="inlineStr">
        <is>
          <t>Yes</t>
        </is>
      </c>
      <c r="F31" s="28" t="inlineStr">
        <is>
          <t>Not captured</t>
        </is>
      </c>
      <c r="G31" s="28" t="n">
        <v>27</v>
      </c>
      <c r="H31" s="28" t="inlineStr">
        <is>
          <t>Offerings › Tenders</t>
        </is>
      </c>
    </row>
    <row r="32">
      <c r="A32" s="28" t="inlineStr">
        <is>
          <t>supreme-court-judgement</t>
        </is>
      </c>
      <c r="B32" s="28" t="inlineStr">
        <is>
          <t>Page</t>
        </is>
      </c>
      <c r="C32" s="28" t="inlineStr">
        <is>
          <t>https://www.figma.com/design/Ds5qx61QsI0ZkYSrLKxo0A/MoSJE--Handoff-?node-id=3453-12795</t>
        </is>
      </c>
      <c r="D32" s="28" t="inlineStr">
        <is>
          <t>Yes</t>
        </is>
      </c>
      <c r="E32" s="28" t="inlineStr">
        <is>
          <t>Yes</t>
        </is>
      </c>
      <c r="F32" s="28" t="inlineStr">
        <is>
          <t>Not captured</t>
        </is>
      </c>
      <c r="G32" s="28" t="n">
        <v>21</v>
      </c>
      <c r="H32" s="28" t="inlineStr">
        <is>
          <t>Document-listing page; the only drawn document list is Annual Reports</t>
        </is>
      </c>
    </row>
    <row r="33">
      <c r="A33" s="28" t="inlineStr">
        <is>
          <t>schemes-services</t>
        </is>
      </c>
      <c r="B33" s="28" t="inlineStr">
        <is>
          <t>Page</t>
        </is>
      </c>
      <c r="C33" s="28" t="inlineStr">
        <is>
          <t>https://www.figma.com/design/Ds5qx61QsI0ZkYSrLKxo0A/MoSJE--Handoff-?node-id=3453-12250</t>
        </is>
      </c>
      <c r="D33" s="28" t="inlineStr">
        <is>
          <t>Yes</t>
        </is>
      </c>
      <c r="E33" s="28" t="inlineStr">
        <is>
          <t>Yes</t>
        </is>
      </c>
      <c r="F33" s="28" t="inlineStr">
        <is>
          <t>Not captured</t>
        </is>
      </c>
      <c r="G33" s="28" t="n">
        <v>28</v>
      </c>
      <c r="H33" s="28" t="inlineStr">
        <is>
          <t>Offerings › Schemes &amp; Services; newer 'Scheme Discovery — Finalised for Handoff (Review of 14 September)' frames (52428:9723 etc.) supersede it per the Read Me — human to confirm</t>
        </is>
      </c>
    </row>
    <row r="34">
      <c r="A34" s="28" t="inlineStr">
        <is>
          <t>suo-moto-disclosure</t>
        </is>
      </c>
      <c r="B34" s="28" t="inlineStr">
        <is>
          <t>Page</t>
        </is>
      </c>
      <c r="C34" s="28" t="inlineStr">
        <is>
          <t>https://www.figma.com/design/Ds5qx61QsI0ZkYSrLKxo0A/MoSJE--Handoff-?node-id=3453-14426</t>
        </is>
      </c>
      <c r="D34" s="28" t="inlineStr">
        <is>
          <t>Yes</t>
        </is>
      </c>
      <c r="E34" s="28" t="inlineStr">
        <is>
          <t>Yes</t>
        </is>
      </c>
      <c r="F34" s="28" t="inlineStr">
        <is>
          <t>Not captured</t>
        </is>
      </c>
      <c r="G34" s="28" t="n">
        <v>25</v>
      </c>
      <c r="H34" s="28" t="inlineStr">
        <is>
          <t>Connect › RTI › Suo-moto Disclosure</t>
        </is>
      </c>
    </row>
    <row r="35">
      <c r="A35" s="28" t="inlineStr">
        <is>
          <t>policies</t>
        </is>
      </c>
      <c r="B35" s="28" t="inlineStr">
        <is>
          <t>Page</t>
        </is>
      </c>
      <c r="C35" s="28" t="inlineStr">
        <is>
          <t>https://www.figma.com/design/Ds5qx61QsI0ZkYSrLKxo0A/MoSJE--Handoff-?node-id=5243-126087</t>
        </is>
      </c>
      <c r="D35" s="28" t="inlineStr">
        <is>
          <t>Yes</t>
        </is>
      </c>
      <c r="E35" s="28" t="inlineStr">
        <is>
          <t>Yes</t>
        </is>
      </c>
      <c r="F35" s="28" t="inlineStr">
        <is>
          <t>Not captured</t>
        </is>
      </c>
      <c r="G35" s="28" t="n">
        <v>21</v>
      </c>
      <c r="H35" s="28" t="inlineStr">
        <is>
          <t>Compliance Pages › Policies (mobile frame is misnamed 'Search result' in Policies section)</t>
        </is>
      </c>
    </row>
    <row r="36">
      <c r="A36" s="28" t="inlineStr">
        <is>
          <t>newsletter</t>
        </is>
      </c>
      <c r="B36" s="28" t="inlineStr">
        <is>
          <t>Page</t>
        </is>
      </c>
      <c r="C36" s="28" t="inlineStr">
        <is>
          <t>https://www.figma.com/design/Ds5qx61QsI0ZkYSrLKxo0A/MoSJE--Handoff-?node-id=3453-12795</t>
        </is>
      </c>
      <c r="D36" s="28" t="inlineStr">
        <is>
          <t>Yes</t>
        </is>
      </c>
      <c r="E36" s="28" t="inlineStr">
        <is>
          <t>Yes</t>
        </is>
      </c>
      <c r="F36" s="28" t="inlineStr">
        <is>
          <t>Not captured</t>
        </is>
      </c>
      <c r="G36" s="28" t="n">
        <v>21</v>
      </c>
      <c r="H36" s="28" t="inlineStr">
        <is>
          <t>Document-listing page; the only drawn document list is Annual Reports</t>
        </is>
      </c>
    </row>
    <row r="37">
      <c r="A37" s="28" t="inlineStr">
        <is>
          <t>publications</t>
        </is>
      </c>
      <c r="B37" s="28" t="inlineStr">
        <is>
          <t>Page</t>
        </is>
      </c>
      <c r="C37" s="28" t="inlineStr">
        <is>
          <t>https://www.figma.com/design/Ds5qx61QsI0ZkYSrLKxo0A/MoSJE--Handoff-?node-id=3453-12795</t>
        </is>
      </c>
      <c r="D37" s="28" t="inlineStr">
        <is>
          <t>Yes</t>
        </is>
      </c>
      <c r="E37" s="28" t="inlineStr">
        <is>
          <t>Yes</t>
        </is>
      </c>
      <c r="F37" s="28" t="inlineStr">
        <is>
          <t>Not captured</t>
        </is>
      </c>
      <c r="G37" s="28" t="n">
        <v>20</v>
      </c>
      <c r="H37" s="28" t="inlineStr">
        <is>
          <t>Document-listing page; the only drawn document list is Annual Reports</t>
        </is>
      </c>
    </row>
    <row r="38">
      <c r="A38" s="28" t="inlineStr">
        <is>
          <t>notices</t>
        </is>
      </c>
      <c r="B38" s="28" t="inlineStr">
        <is>
          <t>Page</t>
        </is>
      </c>
      <c r="C38" s="28" t="inlineStr">
        <is>
          <t>https://www.figma.com/design/Ds5qx61QsI0ZkYSrLKxo0A/MoSJE--Handoff-?node-id=3453-12795</t>
        </is>
      </c>
      <c r="D38" s="28" t="inlineStr">
        <is>
          <t>Yes</t>
        </is>
      </c>
      <c r="E38" s="28" t="inlineStr">
        <is>
          <t>Yes</t>
        </is>
      </c>
      <c r="F38" s="28" t="inlineStr">
        <is>
          <t>Not captured</t>
        </is>
      </c>
      <c r="G38" s="28" t="n">
        <v>21</v>
      </c>
      <c r="H38" s="28" t="inlineStr">
        <is>
          <t>Document-listing page; the only drawn document list is Annual Reports</t>
        </is>
      </c>
    </row>
    <row r="39">
      <c r="A39" s="28" t="inlineStr">
        <is>
          <t>rti</t>
        </is>
      </c>
      <c r="B39" s="28" t="inlineStr">
        <is>
          <t>Page</t>
        </is>
      </c>
      <c r="C39" s="28" t="inlineStr">
        <is>
          <t>https://www.figma.com/design/Ds5qx61QsI0ZkYSrLKxo0A/MoSJE--Handoff-?node-id=3453-14221</t>
        </is>
      </c>
      <c r="D39" s="28" t="inlineStr">
        <is>
          <t>Yes</t>
        </is>
      </c>
      <c r="E39" s="28" t="inlineStr">
        <is>
          <t>Yes</t>
        </is>
      </c>
      <c r="F39" s="28" t="inlineStr">
        <is>
          <t>Not captured</t>
        </is>
      </c>
      <c r="G39" s="28" t="n">
        <v>25</v>
      </c>
      <c r="H39" s="28" t="inlineStr">
        <is>
          <t>Connect › RTI › RTI Act</t>
        </is>
      </c>
    </row>
    <row r="40">
      <c r="A40" s="28" t="inlineStr">
        <is>
          <t>mou</t>
        </is>
      </c>
      <c r="B40" s="28" t="inlineStr">
        <is>
          <t>Page</t>
        </is>
      </c>
      <c r="C40" s="28" t="inlineStr">
        <is>
          <t>https://www.figma.com/design/Ds5qx61QsI0ZkYSrLKxo0A/MoSJE--Handoff-?node-id=3453-12795</t>
        </is>
      </c>
      <c r="D40" s="28" t="inlineStr">
        <is>
          <t>Yes</t>
        </is>
      </c>
      <c r="E40" s="28" t="inlineStr">
        <is>
          <t>Yes</t>
        </is>
      </c>
      <c r="F40" s="28" t="inlineStr">
        <is>
          <t>Not captured</t>
        </is>
      </c>
      <c r="G40" s="28" t="n">
        <v>21</v>
      </c>
      <c r="H40" s="28" t="inlineStr">
        <is>
          <t>Document-listing page; the only drawn document list is Annual Reports</t>
        </is>
      </c>
    </row>
    <row r="41">
      <c r="A41" s="28" t="inlineStr">
        <is>
          <t>lok-sabha-question-answer</t>
        </is>
      </c>
      <c r="B41" s="28" t="inlineStr">
        <is>
          <t>Page</t>
        </is>
      </c>
      <c r="C41" s="28" t="inlineStr">
        <is>
          <t>https://www.figma.com/design/Ds5qx61QsI0ZkYSrLKxo0A/MoSJE--Handoff-?node-id=3453-12795</t>
        </is>
      </c>
      <c r="D41" s="28" t="inlineStr">
        <is>
          <t>Yes</t>
        </is>
      </c>
      <c r="E41" s="28" t="inlineStr">
        <is>
          <t>Yes</t>
        </is>
      </c>
      <c r="F41" s="28" t="inlineStr">
        <is>
          <t>Not captured</t>
        </is>
      </c>
      <c r="G41" s="28" t="n">
        <v>21</v>
      </c>
      <c r="H41" s="28" t="inlineStr">
        <is>
          <t>Document-listing page; the only drawn document list is Annual Reports</t>
        </is>
      </c>
    </row>
    <row r="42">
      <c r="A42" s="28" t="inlineStr">
        <is>
          <t>for-student</t>
        </is>
      </c>
      <c r="B42" s="28" t="inlineStr">
        <is>
          <t>Page</t>
        </is>
      </c>
      <c r="C42" s="28" t="inlineStr">
        <is>
          <t>https://www.figma.com/design/Ds5qx61QsI0ZkYSrLKxo0A/MoSJE--Handoff-?node-id=3453-8477</t>
        </is>
      </c>
      <c r="D42" s="28" t="inlineStr">
        <is>
          <t>Yes</t>
        </is>
      </c>
      <c r="E42" s="28" t="inlineStr">
        <is>
          <t>Yes</t>
        </is>
      </c>
      <c r="F42" s="28" t="inlineStr">
        <is>
          <t>Not captured</t>
        </is>
      </c>
      <c r="G42" s="28" t="n">
        <v>21</v>
      </c>
      <c r="H42" s="28" t="inlineStr">
        <is>
          <t>Persona page; only the Researcher persona is drawn</t>
        </is>
      </c>
    </row>
    <row r="43">
      <c r="A43" s="28" t="inlineStr">
        <is>
          <t>privacy-policy</t>
        </is>
      </c>
      <c r="B43" s="28" t="inlineStr">
        <is>
          <t>Page</t>
        </is>
      </c>
      <c r="C43" s="28" t="inlineStr">
        <is>
          <t>https://www.figma.com/design/Ds5qx61QsI0ZkYSrLKxo0A/MoSJE--Handoff-?node-id=5243-126087</t>
        </is>
      </c>
      <c r="D43" s="28" t="inlineStr">
        <is>
          <t>Yes</t>
        </is>
      </c>
      <c r="E43" s="28" t="inlineStr">
        <is>
          <t>Yes</t>
        </is>
      </c>
      <c r="F43" s="28" t="inlineStr">
        <is>
          <t>Not captured</t>
        </is>
      </c>
      <c r="G43" s="28" t="n">
        <v>18</v>
      </c>
      <c r="H43" s="28" t="inlineStr">
        <is>
          <t>Individual policy/help page; design shows the combined Policies page</t>
        </is>
      </c>
    </row>
    <row r="44">
      <c r="A44" s="28" t="inlineStr">
        <is>
          <t>sitemap</t>
        </is>
      </c>
      <c r="B44" s="28" t="inlineStr">
        <is>
          <t>Page</t>
        </is>
      </c>
      <c r="C44" s="28" t="inlineStr">
        <is>
          <t>https://www.figma.com/design/Ds5qx61QsI0ZkYSrLKxo0A/MoSJE--Handoff-?node-id=5243-134590</t>
        </is>
      </c>
      <c r="D44" s="28" t="inlineStr">
        <is>
          <t>Yes</t>
        </is>
      </c>
      <c r="E44" s="28" t="inlineStr">
        <is>
          <t>Yes</t>
        </is>
      </c>
      <c r="F44" s="28" t="inlineStr">
        <is>
          <t>Not captured</t>
        </is>
      </c>
      <c r="G44" s="28" t="n">
        <v>18</v>
      </c>
      <c r="H44" s="28" t="inlineStr">
        <is>
          <t>Compliance Pages › Sitemap (no mobile frame)</t>
        </is>
      </c>
    </row>
    <row r="45">
      <c r="A45" s="28" t="inlineStr">
        <is>
          <t>for-beneficiary</t>
        </is>
      </c>
      <c r="B45" s="28" t="inlineStr">
        <is>
          <t>Page</t>
        </is>
      </c>
      <c r="C45" s="28" t="inlineStr">
        <is>
          <t>https://www.figma.com/design/Ds5qx61QsI0ZkYSrLKxo0A/MoSJE--Handoff-?node-id=3453-8477</t>
        </is>
      </c>
      <c r="D45" s="28" t="inlineStr">
        <is>
          <t>Yes</t>
        </is>
      </c>
      <c r="E45" s="28" t="inlineStr">
        <is>
          <t>Yes</t>
        </is>
      </c>
      <c r="F45" s="28" t="inlineStr">
        <is>
          <t>Not captured</t>
        </is>
      </c>
      <c r="G45" s="28" t="n">
        <v>20</v>
      </c>
      <c r="H45" s="28" t="inlineStr">
        <is>
          <t>Persona page; only the Researcher persona is drawn</t>
        </is>
      </c>
    </row>
    <row r="46">
      <c r="A46" s="28" t="inlineStr">
        <is>
          <t>for-government-official</t>
        </is>
      </c>
      <c r="B46" s="28" t="inlineStr">
        <is>
          <t>Page</t>
        </is>
      </c>
      <c r="C46" s="28" t="inlineStr">
        <is>
          <t>https://www.figma.com/design/Ds5qx61QsI0ZkYSrLKxo0A/MoSJE--Handoff-?node-id=3453-8477</t>
        </is>
      </c>
      <c r="D46" s="28" t="inlineStr">
        <is>
          <t>Yes</t>
        </is>
      </c>
      <c r="E46" s="28" t="inlineStr">
        <is>
          <t>Yes</t>
        </is>
      </c>
      <c r="F46" s="28" t="inlineStr">
        <is>
          <t>Not captured</t>
        </is>
      </c>
      <c r="G46" s="28" t="n">
        <v>20</v>
      </c>
      <c r="H46" s="28" t="inlineStr">
        <is>
          <t>Persona page; only the Researcher persona is drawn</t>
        </is>
      </c>
    </row>
    <row r="47">
      <c r="A47" s="28" t="inlineStr">
        <is>
          <t>for-researchers</t>
        </is>
      </c>
      <c r="B47" s="28" t="inlineStr">
        <is>
          <t>Page</t>
        </is>
      </c>
      <c r="C47" s="28" t="inlineStr">
        <is>
          <t>https://www.figma.com/design/Ds5qx61QsI0ZkYSrLKxo0A/MoSJE--Handoff-?node-id=3453-8477</t>
        </is>
      </c>
      <c r="D47" s="28" t="inlineStr">
        <is>
          <t>Yes</t>
        </is>
      </c>
      <c r="E47" s="28" t="inlineStr">
        <is>
          <t>Yes</t>
        </is>
      </c>
      <c r="F47" s="28" t="inlineStr">
        <is>
          <t>Not captured</t>
        </is>
      </c>
      <c r="G47" s="28" t="n">
        <v>20</v>
      </c>
      <c r="H47" s="28" t="inlineStr">
        <is>
          <t>Home › for Researcher persona page</t>
        </is>
      </c>
    </row>
    <row r="48">
      <c r="A48" s="28" t="inlineStr">
        <is>
          <t>events</t>
        </is>
      </c>
      <c r="B48" s="28" t="inlineStr">
        <is>
          <t>Page</t>
        </is>
      </c>
      <c r="C48" s="28" t="inlineStr">
        <is>
          <t>https://www.figma.com/design/Ds5qx61QsI0ZkYSrLKxo0A/MoSJE--Handoff-?node-id=3453-13841</t>
        </is>
      </c>
      <c r="D48" s="28" t="inlineStr">
        <is>
          <t>Yes</t>
        </is>
      </c>
      <c r="E48" s="28" t="inlineStr">
        <is>
          <t>Yes</t>
        </is>
      </c>
      <c r="F48" s="28" t="inlineStr">
        <is>
          <t>Not captured</t>
        </is>
      </c>
      <c r="G48" s="28" t="n">
        <v>34</v>
      </c>
      <c r="H48" s="28" t="inlineStr">
        <is>
          <t>Events &amp; Gallery › Events</t>
        </is>
      </c>
    </row>
    <row r="49">
      <c r="A49" s="28" t="inlineStr">
        <is>
          <t>forms-templates</t>
        </is>
      </c>
      <c r="B49" s="28" t="inlineStr">
        <is>
          <t>Page</t>
        </is>
      </c>
      <c r="C49" s="28" t="inlineStr">
        <is>
          <t>https://www.figma.com/design/Ds5qx61QsI0ZkYSrLKxo0A/MoSJE--Handoff-?node-id=3453-12795</t>
        </is>
      </c>
      <c r="D49" s="28" t="inlineStr">
        <is>
          <t>Yes</t>
        </is>
      </c>
      <c r="E49" s="28" t="inlineStr">
        <is>
          <t>Yes</t>
        </is>
      </c>
      <c r="F49" s="28" t="inlineStr">
        <is>
          <t>Not captured</t>
        </is>
      </c>
      <c r="G49" s="28" t="n">
        <v>21</v>
      </c>
      <c r="H49" s="28" t="inlineStr">
        <is>
          <t>Document-listing page; the only drawn document list is Annual Reports</t>
        </is>
      </c>
    </row>
    <row r="50">
      <c r="A50" s="28" t="inlineStr">
        <is>
          <t>gallery</t>
        </is>
      </c>
      <c r="B50" s="28" t="inlineStr">
        <is>
          <t>Page</t>
        </is>
      </c>
      <c r="C50" s="28" t="inlineStr">
        <is>
          <t>https://www.figma.com/design/Ds5qx61QsI0ZkYSrLKxo0A/MoSJE--Handoff-?node-id=3453-13281</t>
        </is>
      </c>
      <c r="D50" s="28" t="inlineStr">
        <is>
          <t>Yes</t>
        </is>
      </c>
      <c r="E50" s="28" t="inlineStr">
        <is>
          <t>Yes</t>
        </is>
      </c>
      <c r="F50" s="28" t="inlineStr">
        <is>
          <t>Not captured</t>
        </is>
      </c>
      <c r="G50" s="28" t="n">
        <v>29</v>
      </c>
      <c r="H50" s="28" t="inlineStr">
        <is>
          <t>Events &amp; Gallery › Gallery (Photo and Video tab)</t>
        </is>
      </c>
    </row>
    <row r="51">
      <c r="A51" s="28" t="inlineStr">
        <is>
          <t>contact-us</t>
        </is>
      </c>
      <c r="B51" s="28" t="inlineStr">
        <is>
          <t>Page</t>
        </is>
      </c>
      <c r="C51" s="28" t="inlineStr">
        <is>
          <t>https://www.figma.com/design/Ds5qx61QsI0ZkYSrLKxo0A/MoSJE--Handoff-?node-id=3453-14626</t>
        </is>
      </c>
      <c r="D51" s="28" t="inlineStr">
        <is>
          <t>Yes</t>
        </is>
      </c>
      <c r="E51" s="28" t="inlineStr">
        <is>
          <t>Yes</t>
        </is>
      </c>
      <c r="F51" s="28" t="inlineStr">
        <is>
          <t>Not captured</t>
        </is>
      </c>
      <c r="G51" s="28" t="n">
        <v>23</v>
      </c>
      <c r="H51" s="28" t="inlineStr">
        <is>
          <t>Connect › Contact Us/MoSJE</t>
        </is>
      </c>
    </row>
    <row r="52">
      <c r="A52" s="28" t="inlineStr">
        <is>
          <t>dashboard</t>
        </is>
      </c>
      <c r="B52" s="28" t="inlineStr">
        <is>
          <t>Page</t>
        </is>
      </c>
      <c r="C52" s="28" t="inlineStr">
        <is>
          <t>https://www.figma.com/design/Ds5qx61QsI0ZkYSrLKxo0A/MoSJE--Handoff-?node-id=4743-128714</t>
        </is>
      </c>
      <c r="D52" s="28" t="inlineStr">
        <is>
          <t>Yes</t>
        </is>
      </c>
      <c r="E52" s="28" t="inlineStr">
        <is>
          <t>Yes</t>
        </is>
      </c>
      <c r="F52" s="28" t="inlineStr">
        <is>
          <t>Not captured</t>
        </is>
      </c>
      <c r="G52" s="28" t="n">
        <v>20</v>
      </c>
      <c r="H52" s="28" t="inlineStr">
        <is>
          <t>Home › Statistics › Home/Dashboard</t>
        </is>
      </c>
    </row>
    <row r="53">
      <c r="A53" s="28" t="inlineStr">
        <is>
          <t>cpio</t>
        </is>
      </c>
      <c r="B53" s="28" t="inlineStr">
        <is>
          <t>Page</t>
        </is>
      </c>
      <c r="C53" s="28" t="inlineStr">
        <is>
          <t>https://www.figma.com/design/Ds5qx61QsI0ZkYSrLKxo0A/MoSJE--Handoff-?node-id=3453-14262</t>
        </is>
      </c>
      <c r="D53" s="28" t="inlineStr">
        <is>
          <t>Yes</t>
        </is>
      </c>
      <c r="E53" s="28" t="inlineStr">
        <is>
          <t>Yes</t>
        </is>
      </c>
      <c r="F53" s="28" t="inlineStr">
        <is>
          <t>Not captured</t>
        </is>
      </c>
      <c r="G53" s="28" t="n">
        <v>31</v>
      </c>
      <c r="H53" s="28" t="inlineStr">
        <is>
          <t>Connect › RTI › CPIO</t>
        </is>
      </c>
    </row>
    <row r="54">
      <c r="A54" s="28" t="inlineStr">
        <is>
          <t>circulars-notifications</t>
        </is>
      </c>
      <c r="B54" s="28" t="inlineStr">
        <is>
          <t>Page</t>
        </is>
      </c>
      <c r="C54" s="28" t="inlineStr">
        <is>
          <t>https://www.figma.com/design/Ds5qx61QsI0ZkYSrLKxo0A/MoSJE--Handoff-?node-id=3453-12795</t>
        </is>
      </c>
      <c r="D54" s="28" t="inlineStr">
        <is>
          <t>Yes</t>
        </is>
      </c>
      <c r="E54" s="28" t="inlineStr">
        <is>
          <t>Yes</t>
        </is>
      </c>
      <c r="F54" s="28" t="inlineStr">
        <is>
          <t>Not captured</t>
        </is>
      </c>
      <c r="G54" s="28" t="n">
        <v>24</v>
      </c>
      <c r="H54" s="28" t="inlineStr">
        <is>
          <t>Document-listing page; the only drawn document list is Annual Reports</t>
        </is>
      </c>
    </row>
    <row r="55">
      <c r="A55" s="28" t="inlineStr">
        <is>
          <t>annual-reports</t>
        </is>
      </c>
      <c r="B55" s="28" t="inlineStr">
        <is>
          <t>Page</t>
        </is>
      </c>
      <c r="C55" s="28" t="inlineStr">
        <is>
          <t>https://www.figma.com/design/Ds5qx61QsI0ZkYSrLKxo0A/MoSJE--Handoff-?node-id=3453-12795</t>
        </is>
      </c>
      <c r="D55" s="28" t="inlineStr">
        <is>
          <t>Yes</t>
        </is>
      </c>
      <c r="E55" s="28" t="inlineStr">
        <is>
          <t>Yes</t>
        </is>
      </c>
      <c r="F55" s="28" t="inlineStr">
        <is>
          <t>Not captured</t>
        </is>
      </c>
      <c r="G55" s="28" t="n">
        <v>27</v>
      </c>
      <c r="H55" s="28" t="inlineStr">
        <is>
          <t>Documents › Annual Reports</t>
        </is>
      </c>
    </row>
    <row r="56">
      <c r="A56" s="28" t="inlineStr">
        <is>
          <t>advices</t>
        </is>
      </c>
      <c r="B56" s="28" t="inlineStr">
        <is>
          <t>Page</t>
        </is>
      </c>
      <c r="C56" s="28" t="inlineStr">
        <is>
          <t>https://www.figma.com/design/Ds5qx61QsI0ZkYSrLKxo0A/MoSJE--Handoff-?node-id=3453-12795</t>
        </is>
      </c>
      <c r="D56" s="28" t="inlineStr">
        <is>
          <t>Yes</t>
        </is>
      </c>
      <c r="E56" s="28" t="inlineStr">
        <is>
          <t>Yes</t>
        </is>
      </c>
      <c r="F56" s="28" t="inlineStr">
        <is>
          <t>Not captured</t>
        </is>
      </c>
      <c r="G56" s="28" t="n">
        <v>21</v>
      </c>
      <c r="H56" s="28" t="inlineStr">
        <is>
          <t>Document-listing page; the only drawn document list is Annual Reports</t>
        </is>
      </c>
    </row>
    <row r="57">
      <c r="A57" s="28" t="inlineStr">
        <is>
          <t>acts-rules</t>
        </is>
      </c>
      <c r="B57" s="28" t="inlineStr">
        <is>
          <t>Page</t>
        </is>
      </c>
      <c r="C57" s="28" t="inlineStr">
        <is>
          <t>https://www.figma.com/design/Ds5qx61QsI0ZkYSrLKxo0A/MoSJE--Handoff-?node-id=3453-12795</t>
        </is>
      </c>
      <c r="D57" s="28" t="inlineStr">
        <is>
          <t>Yes</t>
        </is>
      </c>
      <c r="E57" s="28" t="inlineStr">
        <is>
          <t>Yes</t>
        </is>
      </c>
      <c r="F57" s="28" t="inlineStr">
        <is>
          <t>Not captured</t>
        </is>
      </c>
      <c r="G57" s="28" t="n">
        <v>20</v>
      </c>
      <c r="H57" s="28" t="inlineStr">
        <is>
          <t>Document-listing page; the only drawn document list is Annual Reports</t>
        </is>
      </c>
    </row>
    <row r="58">
      <c r="A58" s="28" t="inlineStr">
        <is>
          <t>social-defence-faqs</t>
        </is>
      </c>
      <c r="B58" s="28" t="inlineStr">
        <is>
          <t>Page</t>
        </is>
      </c>
      <c r="C58" s="28" t="inlineStr">
        <is>
          <t>https://www.figma.com/design/Ds5qx61QsI0ZkYSrLKxo0A/MoSJE--Handoff-?node-id=4330-56208</t>
        </is>
      </c>
      <c r="D58" s="28" t="inlineStr">
        <is>
          <t>Yes</t>
        </is>
      </c>
      <c r="E58" s="28" t="inlineStr">
        <is>
          <t>Yes</t>
        </is>
      </c>
      <c r="F58" s="28" t="inlineStr">
        <is>
          <t>Not captured</t>
        </is>
      </c>
      <c r="G58" s="28" t="n">
        <v>17</v>
      </c>
      <c r="H58" s="28" t="inlineStr">
        <is>
          <t>Division FAQ page uses the Compliance › FAQs design</t>
        </is>
      </c>
    </row>
    <row r="59">
      <c r="A59" s="28" t="inlineStr">
        <is>
          <t>about-the-division-social-defence</t>
        </is>
      </c>
      <c r="B59" s="28" t="inlineStr">
        <is>
          <t>Page</t>
        </is>
      </c>
      <c r="C59" s="28" t="n"/>
      <c r="D59" s="28" t="inlineStr">
        <is>
          <t>No</t>
        </is>
      </c>
      <c r="E59" s="28" t="inlineStr">
        <is>
          <t>Yes</t>
        </is>
      </c>
      <c r="F59" s="28" t="inlineStr">
        <is>
          <t>Not captured</t>
        </is>
      </c>
      <c r="G59" s="28" t="n">
        <v>19</v>
      </c>
      <c r="H59" s="28" t="inlineStr"/>
    </row>
    <row r="60">
      <c r="A60" s="28" t="inlineStr">
        <is>
          <t>daf-directory</t>
        </is>
      </c>
      <c r="B60" s="28" t="inlineStr">
        <is>
          <t>Page</t>
        </is>
      </c>
      <c r="C60" s="28" t="inlineStr">
        <is>
          <t>https://www.figma.com/design/Ds5qx61QsI0ZkYSrLKxo0A/MoSJE--Handoff-?node-id=3453-9324</t>
        </is>
      </c>
      <c r="D60" s="28" t="inlineStr">
        <is>
          <t>Yes</t>
        </is>
      </c>
      <c r="E60" s="28" t="inlineStr">
        <is>
          <t>Yes</t>
        </is>
      </c>
      <c r="F60" s="28" t="inlineStr">
        <is>
          <t>Not captured</t>
        </is>
      </c>
      <c r="G60" s="28" t="n">
        <v>22</v>
      </c>
      <c r="H60" s="28" t="inlineStr">
        <is>
          <t>Organisation directory pages share the MoSJE Directory design</t>
        </is>
      </c>
    </row>
    <row r="61">
      <c r="A61" s="28" t="inlineStr">
        <is>
          <t>chairpersons-office</t>
        </is>
      </c>
      <c r="B61" s="28" t="inlineStr">
        <is>
          <t>Page</t>
        </is>
      </c>
      <c r="C61" s="28" t="n"/>
      <c r="D61" s="28" t="inlineStr">
        <is>
          <t>No</t>
        </is>
      </c>
      <c r="E61" s="28" t="inlineStr">
        <is>
          <t>Yes</t>
        </is>
      </c>
      <c r="F61" s="28" t="inlineStr">
        <is>
          <t>Not captured</t>
        </is>
      </c>
      <c r="G61" s="28" t="n">
        <v>19</v>
      </c>
      <c r="H61" s="28" t="inlineStr"/>
    </row>
    <row r="62">
      <c r="A62" s="28" t="inlineStr">
        <is>
          <t>nskfdc-directory</t>
        </is>
      </c>
      <c r="B62" s="28" t="inlineStr">
        <is>
          <t>Page</t>
        </is>
      </c>
      <c r="C62" s="28" t="inlineStr">
        <is>
          <t>https://www.figma.com/design/Ds5qx61QsI0ZkYSrLKxo0A/MoSJE--Handoff-?node-id=3453-9324</t>
        </is>
      </c>
      <c r="D62" s="28" t="inlineStr">
        <is>
          <t>Yes</t>
        </is>
      </c>
      <c r="E62" s="28" t="inlineStr">
        <is>
          <t>Yes</t>
        </is>
      </c>
      <c r="F62" s="28" t="inlineStr">
        <is>
          <t>Not captured</t>
        </is>
      </c>
      <c r="G62" s="28" t="n">
        <v>21</v>
      </c>
      <c r="H62" s="28" t="inlineStr">
        <is>
          <t>Organisation directory pages share the MoSJE Directory design</t>
        </is>
      </c>
    </row>
    <row r="63">
      <c r="A63" s="28" t="inlineStr">
        <is>
          <t>ncsk-directory</t>
        </is>
      </c>
      <c r="B63" s="28" t="inlineStr">
        <is>
          <t>Page</t>
        </is>
      </c>
      <c r="C63" s="28" t="inlineStr">
        <is>
          <t>https://www.figma.com/design/Ds5qx61QsI0ZkYSrLKxo0A/MoSJE--Handoff-?node-id=3453-9324</t>
        </is>
      </c>
      <c r="D63" s="28" t="inlineStr">
        <is>
          <t>Yes</t>
        </is>
      </c>
      <c r="E63" s="28" t="inlineStr">
        <is>
          <t>Yes</t>
        </is>
      </c>
      <c r="F63" s="28" t="inlineStr">
        <is>
          <t>Not captured</t>
        </is>
      </c>
      <c r="G63" s="28" t="n">
        <v>22</v>
      </c>
      <c r="H63" s="28" t="inlineStr">
        <is>
          <t>Organisation directory pages share the MoSJE Directory design</t>
        </is>
      </c>
    </row>
    <row r="64">
      <c r="A64" s="28" t="inlineStr">
        <is>
          <t>scw-directory</t>
        </is>
      </c>
      <c r="B64" s="28" t="inlineStr">
        <is>
          <t>Page</t>
        </is>
      </c>
      <c r="C64" s="28" t="inlineStr">
        <is>
          <t>https://www.figma.com/design/Ds5qx61QsI0ZkYSrLKxo0A/MoSJE--Handoff-?node-id=3453-9324</t>
        </is>
      </c>
      <c r="D64" s="28" t="inlineStr">
        <is>
          <t>Yes</t>
        </is>
      </c>
      <c r="E64" s="28" t="inlineStr">
        <is>
          <t>Yes</t>
        </is>
      </c>
      <c r="F64" s="28" t="inlineStr">
        <is>
          <t>Not captured</t>
        </is>
      </c>
      <c r="G64" s="28" t="n">
        <v>25</v>
      </c>
      <c r="H64" s="28" t="inlineStr">
        <is>
          <t>Organisation directory pages share the MoSJE Directory design</t>
        </is>
      </c>
    </row>
    <row r="65">
      <c r="A65" s="28" t="inlineStr">
        <is>
          <t>ncbc-directory</t>
        </is>
      </c>
      <c r="B65" s="28" t="inlineStr">
        <is>
          <t>Page</t>
        </is>
      </c>
      <c r="C65" s="28" t="inlineStr">
        <is>
          <t>https://www.figma.com/design/Ds5qx61QsI0ZkYSrLKxo0A/MoSJE--Handoff-?node-id=3453-9324</t>
        </is>
      </c>
      <c r="D65" s="28" t="inlineStr">
        <is>
          <t>Yes</t>
        </is>
      </c>
      <c r="E65" s="28" t="inlineStr">
        <is>
          <t>Yes</t>
        </is>
      </c>
      <c r="F65" s="28" t="inlineStr">
        <is>
          <t>Not captured</t>
        </is>
      </c>
      <c r="G65" s="28" t="n">
        <v>22</v>
      </c>
      <c r="H65" s="28" t="inlineStr">
        <is>
          <t>Organisation directory pages share the MoSJE Directory design</t>
        </is>
      </c>
    </row>
    <row r="66">
      <c r="A66" s="28" t="inlineStr">
        <is>
          <t>nbcfdc-directory</t>
        </is>
      </c>
      <c r="B66" s="28" t="inlineStr">
        <is>
          <t>Page</t>
        </is>
      </c>
      <c r="C66" s="28" t="inlineStr">
        <is>
          <t>https://www.figma.com/design/Ds5qx61QsI0ZkYSrLKxo0A/MoSJE--Handoff-?node-id=3453-9324</t>
        </is>
      </c>
      <c r="D66" s="28" t="inlineStr">
        <is>
          <t>Yes</t>
        </is>
      </c>
      <c r="E66" s="28" t="inlineStr">
        <is>
          <t>Yes</t>
        </is>
      </c>
      <c r="F66" s="28" t="inlineStr">
        <is>
          <t>Not captured</t>
        </is>
      </c>
      <c r="G66" s="28" t="n">
        <v>21</v>
      </c>
      <c r="H66" s="28" t="inlineStr">
        <is>
          <t>Organisation directory pages share the MoSJE Directory design</t>
        </is>
      </c>
    </row>
    <row r="67">
      <c r="A67" s="28" t="inlineStr">
        <is>
          <t>dwbdnc-directory</t>
        </is>
      </c>
      <c r="B67" s="28" t="inlineStr">
        <is>
          <t>Page</t>
        </is>
      </c>
      <c r="C67" s="28" t="inlineStr">
        <is>
          <t>https://www.figma.com/design/Ds5qx61QsI0ZkYSrLKxo0A/MoSJE--Handoff-?node-id=3453-9324</t>
        </is>
      </c>
      <c r="D67" s="28" t="inlineStr">
        <is>
          <t>Yes</t>
        </is>
      </c>
      <c r="E67" s="28" t="inlineStr">
        <is>
          <t>Yes</t>
        </is>
      </c>
      <c r="F67" s="28" t="inlineStr">
        <is>
          <t>Not captured</t>
        </is>
      </c>
      <c r="G67" s="28" t="n">
        <v>23</v>
      </c>
      <c r="H67" s="28" t="inlineStr">
        <is>
          <t>Organisation directory pages share the MoSJE Directory design</t>
        </is>
      </c>
    </row>
    <row r="68">
      <c r="A68" s="28" t="inlineStr">
        <is>
          <t>handbook-on-social-welfare-statistics</t>
        </is>
      </c>
      <c r="B68" s="28" t="inlineStr">
        <is>
          <t>Page</t>
        </is>
      </c>
      <c r="C68" s="28" t="inlineStr">
        <is>
          <t>https://www.figma.com/design/Ds5qx61QsI0ZkYSrLKxo0A/MoSJE--Handoff-?node-id=3453-12795</t>
        </is>
      </c>
      <c r="D68" s="28" t="inlineStr">
        <is>
          <t>Yes</t>
        </is>
      </c>
      <c r="E68" s="28" t="inlineStr">
        <is>
          <t>Yes</t>
        </is>
      </c>
      <c r="F68" s="28" t="inlineStr">
        <is>
          <t>Not captured</t>
        </is>
      </c>
      <c r="G68" s="28" t="n">
        <v>19</v>
      </c>
      <c r="H68" s="28" t="inlineStr">
        <is>
          <t>Document-listing page; the only drawn document list is Annual Reports</t>
        </is>
      </c>
    </row>
    <row r="69">
      <c r="A69" s="28" t="inlineStr">
        <is>
          <t>list-of-research-evaluation-studies</t>
        </is>
      </c>
      <c r="B69" s="28" t="inlineStr">
        <is>
          <t>Page</t>
        </is>
      </c>
      <c r="C69" s="28" t="inlineStr">
        <is>
          <t>https://www.figma.com/design/Ds5qx61QsI0ZkYSrLKxo0A/MoSJE--Handoff-?node-id=3453-12795</t>
        </is>
      </c>
      <c r="D69" s="28" t="inlineStr">
        <is>
          <t>Yes</t>
        </is>
      </c>
      <c r="E69" s="28" t="inlineStr">
        <is>
          <t>Yes</t>
        </is>
      </c>
      <c r="F69" s="28" t="inlineStr">
        <is>
          <t>Not captured</t>
        </is>
      </c>
      <c r="G69" s="28" t="n">
        <v>19</v>
      </c>
      <c r="H69" s="28" t="inlineStr">
        <is>
          <t>Document-listing page; the only drawn document list is Annual Reports</t>
        </is>
      </c>
    </row>
    <row r="70">
      <c r="A70" s="28" t="inlineStr">
        <is>
          <t>about-the-division-statistics-division</t>
        </is>
      </c>
      <c r="B70" s="28" t="inlineStr">
        <is>
          <t>Page</t>
        </is>
      </c>
      <c r="C70" s="28" t="n"/>
      <c r="D70" s="28" t="inlineStr">
        <is>
          <t>No</t>
        </is>
      </c>
      <c r="E70" s="28" t="inlineStr">
        <is>
          <t>Yes</t>
        </is>
      </c>
      <c r="F70" s="28" t="inlineStr">
        <is>
          <t>Not captured</t>
        </is>
      </c>
      <c r="G70" s="28" t="n">
        <v>16</v>
      </c>
      <c r="H70" s="28" t="inlineStr"/>
    </row>
    <row r="71">
      <c r="A71" s="28" t="inlineStr">
        <is>
          <t>about-the-division-2</t>
        </is>
      </c>
      <c r="B71" s="28" t="inlineStr">
        <is>
          <t>Page</t>
        </is>
      </c>
      <c r="C71" s="28" t="n"/>
      <c r="D71" s="28" t="inlineStr">
        <is>
          <t>No</t>
        </is>
      </c>
      <c r="E71" s="28" t="inlineStr">
        <is>
          <t>Yes</t>
        </is>
      </c>
      <c r="F71" s="28" t="inlineStr">
        <is>
          <t>Not captured</t>
        </is>
      </c>
      <c r="G71" s="28" t="n">
        <v>15</v>
      </c>
      <c r="H71" s="28" t="inlineStr"/>
    </row>
    <row r="72">
      <c r="A72" s="28" t="inlineStr">
        <is>
          <t>special-mention-matters-raised-under-377</t>
        </is>
      </c>
      <c r="B72" s="28" t="inlineStr">
        <is>
          <t>Page</t>
        </is>
      </c>
      <c r="C72" s="28" t="inlineStr">
        <is>
          <t>https://www.figma.com/design/Ds5qx61QsI0ZkYSrLKxo0A/MoSJE--Handoff-?node-id=3453-12795</t>
        </is>
      </c>
      <c r="D72" s="28" t="inlineStr">
        <is>
          <t>Yes</t>
        </is>
      </c>
      <c r="E72" s="28" t="inlineStr">
        <is>
          <t>Yes</t>
        </is>
      </c>
      <c r="F72" s="28" t="inlineStr">
        <is>
          <t>Not captured</t>
        </is>
      </c>
      <c r="G72" s="28" t="n">
        <v>19</v>
      </c>
      <c r="H72" s="28" t="inlineStr">
        <is>
          <t>Document-listing page; the only drawn document list is Annual Reports</t>
        </is>
      </c>
    </row>
    <row r="73">
      <c r="A73" s="28" t="inlineStr">
        <is>
          <t>assurances</t>
        </is>
      </c>
      <c r="B73" s="28" t="inlineStr">
        <is>
          <t>Page</t>
        </is>
      </c>
      <c r="C73" s="28" t="inlineStr">
        <is>
          <t>https://www.figma.com/design/Ds5qx61QsI0ZkYSrLKxo0A/MoSJE--Handoff-?node-id=3453-12795</t>
        </is>
      </c>
      <c r="D73" s="28" t="inlineStr">
        <is>
          <t>Yes</t>
        </is>
      </c>
      <c r="E73" s="28" t="inlineStr">
        <is>
          <t>Yes</t>
        </is>
      </c>
      <c r="F73" s="28" t="inlineStr">
        <is>
          <t>Not captured</t>
        </is>
      </c>
      <c r="G73" s="28" t="n">
        <v>19</v>
      </c>
      <c r="H73" s="28" t="inlineStr">
        <is>
          <t>Document-listing page; the only drawn document list is Annual Reports</t>
        </is>
      </c>
    </row>
    <row r="74">
      <c r="A74" s="28" t="inlineStr">
        <is>
          <t>grants-in-aid-to-ngos-faqs</t>
        </is>
      </c>
      <c r="B74" s="28" t="inlineStr">
        <is>
          <t>Page</t>
        </is>
      </c>
      <c r="C74" s="28" t="inlineStr">
        <is>
          <t>https://www.figma.com/design/Ds5qx61QsI0ZkYSrLKxo0A/MoSJE--Handoff-?node-id=4330-56208</t>
        </is>
      </c>
      <c r="D74" s="28" t="inlineStr">
        <is>
          <t>Yes</t>
        </is>
      </c>
      <c r="E74" s="28" t="inlineStr">
        <is>
          <t>Yes</t>
        </is>
      </c>
      <c r="F74" s="28" t="inlineStr">
        <is>
          <t>Not captured</t>
        </is>
      </c>
      <c r="G74" s="28" t="n">
        <v>17</v>
      </c>
      <c r="H74" s="28" t="inlineStr">
        <is>
          <t>Division FAQ page uses the Compliance › FAQs design</t>
        </is>
      </c>
    </row>
    <row r="75">
      <c r="A75" s="28" t="inlineStr">
        <is>
          <t>list-of-de-blacklisted-ngos</t>
        </is>
      </c>
      <c r="B75" s="28" t="inlineStr">
        <is>
          <t>Page</t>
        </is>
      </c>
      <c r="C75" s="28" t="inlineStr">
        <is>
          <t>https://www.figma.com/design/Ds5qx61QsI0ZkYSrLKxo0A/MoSJE--Handoff-?node-id=3453-12795</t>
        </is>
      </c>
      <c r="D75" s="28" t="inlineStr">
        <is>
          <t>Yes</t>
        </is>
      </c>
      <c r="E75" s="28" t="inlineStr">
        <is>
          <t>Yes</t>
        </is>
      </c>
      <c r="F75" s="28" t="inlineStr">
        <is>
          <t>Not captured</t>
        </is>
      </c>
      <c r="G75" s="28" t="n">
        <v>19</v>
      </c>
      <c r="H75" s="28" t="inlineStr">
        <is>
          <t>Document-listing page; the only drawn document list is Annual Reports</t>
        </is>
      </c>
    </row>
    <row r="76">
      <c r="A76" s="28" t="inlineStr">
        <is>
          <t>grants-suspended-list-blacklisted-ngos</t>
        </is>
      </c>
      <c r="B76" s="28" t="inlineStr">
        <is>
          <t>Page</t>
        </is>
      </c>
      <c r="C76" s="28" t="inlineStr">
        <is>
          <t>https://www.figma.com/design/Ds5qx61QsI0ZkYSrLKxo0A/MoSJE--Handoff-?node-id=3453-12795</t>
        </is>
      </c>
      <c r="D76" s="28" t="inlineStr">
        <is>
          <t>Yes</t>
        </is>
      </c>
      <c r="E76" s="28" t="inlineStr">
        <is>
          <t>Yes</t>
        </is>
      </c>
      <c r="F76" s="28" t="inlineStr">
        <is>
          <t>Not captured</t>
        </is>
      </c>
      <c r="G76" s="28" t="n">
        <v>19</v>
      </c>
      <c r="H76" s="28" t="inlineStr">
        <is>
          <t>Document-listing page; the only drawn document list is Annual Reports</t>
        </is>
      </c>
    </row>
    <row r="77">
      <c r="A77" s="28" t="inlineStr">
        <is>
          <t>minutes-of-screening-committees-2</t>
        </is>
      </c>
      <c r="B77" s="28" t="inlineStr">
        <is>
          <t>Page</t>
        </is>
      </c>
      <c r="C77" s="28" t="inlineStr">
        <is>
          <t>https://www.figma.com/design/Ds5qx61QsI0ZkYSrLKxo0A/MoSJE--Handoff-?node-id=3453-12795</t>
        </is>
      </c>
      <c r="D77" s="28" t="inlineStr">
        <is>
          <t>Yes</t>
        </is>
      </c>
      <c r="E77" s="28" t="inlineStr">
        <is>
          <t>Yes</t>
        </is>
      </c>
      <c r="F77" s="28" t="inlineStr">
        <is>
          <t>Not captured</t>
        </is>
      </c>
      <c r="G77" s="28" t="n">
        <v>19</v>
      </c>
      <c r="H77" s="28" t="inlineStr">
        <is>
          <t>Document-listing page; the only drawn document list is Annual Reports</t>
        </is>
      </c>
    </row>
    <row r="78">
      <c r="A78" s="28" t="inlineStr">
        <is>
          <t>activities-of-the-ministry-official-language</t>
        </is>
      </c>
      <c r="B78" s="28" t="inlineStr">
        <is>
          <t>Page</t>
        </is>
      </c>
      <c r="C78" s="28" t="n"/>
      <c r="D78" s="28" t="inlineStr">
        <is>
          <t>No</t>
        </is>
      </c>
      <c r="E78" s="28" t="inlineStr">
        <is>
          <t>Yes</t>
        </is>
      </c>
      <c r="F78" s="28" t="inlineStr">
        <is>
          <t>Not captured</t>
        </is>
      </c>
      <c r="G78" s="28" t="n">
        <v>15</v>
      </c>
      <c r="H78" s="28" t="inlineStr"/>
    </row>
    <row r="79">
      <c r="A79" s="28" t="inlineStr">
        <is>
          <t>official-language-background</t>
        </is>
      </c>
      <c r="B79" s="28" t="inlineStr">
        <is>
          <t>Page</t>
        </is>
      </c>
      <c r="C79" s="28" t="n"/>
      <c r="D79" s="28" t="inlineStr">
        <is>
          <t>No</t>
        </is>
      </c>
      <c r="E79" s="28" t="inlineStr">
        <is>
          <t>Yes</t>
        </is>
      </c>
      <c r="F79" s="28" t="inlineStr">
        <is>
          <t>Not captured</t>
        </is>
      </c>
      <c r="G79" s="28" t="n">
        <v>15</v>
      </c>
      <c r="H79" s="28" t="inlineStr"/>
    </row>
    <row r="80">
      <c r="A80" s="28" t="inlineStr">
        <is>
          <t>policies-acts-rules-codes-circular-social-defence</t>
        </is>
      </c>
      <c r="B80" s="28" t="inlineStr">
        <is>
          <t>Page</t>
        </is>
      </c>
      <c r="C80" s="28" t="inlineStr">
        <is>
          <t>https://www.figma.com/design/Ds5qx61QsI0ZkYSrLKxo0A/MoSJE--Handoff-?node-id=3453-12795</t>
        </is>
      </c>
      <c r="D80" s="28" t="inlineStr">
        <is>
          <t>Yes</t>
        </is>
      </c>
      <c r="E80" s="28" t="inlineStr">
        <is>
          <t>Yes</t>
        </is>
      </c>
      <c r="F80" s="28" t="inlineStr">
        <is>
          <t>Not captured</t>
        </is>
      </c>
      <c r="G80" s="28" t="n">
        <v>19</v>
      </c>
      <c r="H80" s="28" t="inlineStr">
        <is>
          <t>Document-listing page; the only drawn document list is Annual Reports</t>
        </is>
      </c>
    </row>
    <row r="81">
      <c r="A81" s="28" t="inlineStr">
        <is>
          <t>organisation-under-division-social-division</t>
        </is>
      </c>
      <c r="B81" s="28" t="inlineStr">
        <is>
          <t>Page</t>
        </is>
      </c>
      <c r="C81" s="28" t="n"/>
      <c r="D81" s="28" t="inlineStr">
        <is>
          <t>No</t>
        </is>
      </c>
      <c r="E81" s="28" t="inlineStr">
        <is>
          <t>Yes</t>
        </is>
      </c>
      <c r="F81" s="28" t="inlineStr">
        <is>
          <t>Not captured</t>
        </is>
      </c>
      <c r="G81" s="28" t="n">
        <v>15</v>
      </c>
      <c r="H81" s="28" t="inlineStr"/>
    </row>
    <row r="82">
      <c r="A82" s="28" t="inlineStr">
        <is>
          <t>drug-division</t>
        </is>
      </c>
      <c r="B82" s="28" t="inlineStr">
        <is>
          <t>Page</t>
        </is>
      </c>
      <c r="C82" s="28" t="n"/>
      <c r="D82" s="28" t="inlineStr">
        <is>
          <t>No</t>
        </is>
      </c>
      <c r="E82" s="28" t="inlineStr">
        <is>
          <t>Yes</t>
        </is>
      </c>
      <c r="F82" s="28" t="inlineStr">
        <is>
          <t>Not captured</t>
        </is>
      </c>
      <c r="G82" s="28" t="n">
        <v>17</v>
      </c>
      <c r="H82" s="28" t="inlineStr"/>
    </row>
    <row r="83">
      <c r="A83" s="28" t="inlineStr">
        <is>
          <t>welfare-of-the-other-backward-classes</t>
        </is>
      </c>
      <c r="B83" s="28" t="inlineStr">
        <is>
          <t>Page</t>
        </is>
      </c>
      <c r="C83" s="28" t="n"/>
      <c r="D83" s="28" t="inlineStr">
        <is>
          <t>No</t>
        </is>
      </c>
      <c r="E83" s="28" t="inlineStr">
        <is>
          <t>Yes</t>
        </is>
      </c>
      <c r="F83" s="28" t="inlineStr">
        <is>
          <t>Not captured</t>
        </is>
      </c>
      <c r="G83" s="28" t="n">
        <v>15</v>
      </c>
      <c r="H83" s="28" t="inlineStr"/>
    </row>
    <row r="84">
      <c r="A84" s="28" t="inlineStr">
        <is>
          <t>cessation-of-voluntary-organisation-activities</t>
        </is>
      </c>
      <c r="B84" s="28" t="inlineStr">
        <is>
          <t>Page</t>
        </is>
      </c>
      <c r="C84" s="28" t="n"/>
      <c r="D84" s="28" t="inlineStr">
        <is>
          <t>No</t>
        </is>
      </c>
      <c r="E84" s="28" t="inlineStr">
        <is>
          <t>Yes</t>
        </is>
      </c>
      <c r="F84" s="28" t="inlineStr">
        <is>
          <t>Not captured</t>
        </is>
      </c>
      <c r="G84" s="28" t="n">
        <v>15</v>
      </c>
      <c r="H84" s="28" t="inlineStr"/>
    </row>
    <row r="85">
      <c r="A85" s="28" t="inlineStr">
        <is>
          <t>penalties-in-case-of-misutilization-of-grands</t>
        </is>
      </c>
      <c r="B85" s="28" t="inlineStr">
        <is>
          <t>Page</t>
        </is>
      </c>
      <c r="C85" s="28" t="n"/>
      <c r="D85" s="28" t="inlineStr">
        <is>
          <t>No</t>
        </is>
      </c>
      <c r="E85" s="28" t="inlineStr">
        <is>
          <t>Yes</t>
        </is>
      </c>
      <c r="F85" s="28" t="inlineStr">
        <is>
          <t>Not captured</t>
        </is>
      </c>
      <c r="G85" s="28" t="n">
        <v>15</v>
      </c>
      <c r="H85" s="28" t="inlineStr"/>
    </row>
    <row r="86">
      <c r="A86" s="28" t="inlineStr">
        <is>
          <t>inspection-and-monitoring-procedure</t>
        </is>
      </c>
      <c r="B86" s="28" t="inlineStr">
        <is>
          <t>Page</t>
        </is>
      </c>
      <c r="C86" s="28" t="n"/>
      <c r="D86" s="28" t="inlineStr">
        <is>
          <t>No</t>
        </is>
      </c>
      <c r="E86" s="28" t="inlineStr">
        <is>
          <t>Yes</t>
        </is>
      </c>
      <c r="F86" s="28" t="inlineStr">
        <is>
          <t>Not captured</t>
        </is>
      </c>
      <c r="G86" s="28" t="n">
        <v>15</v>
      </c>
      <c r="H86" s="28" t="inlineStr"/>
    </row>
    <row r="87">
      <c r="A87" s="28" t="inlineStr">
        <is>
          <t>contact-person</t>
        </is>
      </c>
      <c r="B87" s="28" t="inlineStr">
        <is>
          <t>Page</t>
        </is>
      </c>
      <c r="C87" s="28" t="n"/>
      <c r="D87" s="28" t="inlineStr">
        <is>
          <t>No</t>
        </is>
      </c>
      <c r="E87" s="28" t="inlineStr">
        <is>
          <t>Yes</t>
        </is>
      </c>
      <c r="F87" s="28" t="inlineStr">
        <is>
          <t>Not captured</t>
        </is>
      </c>
      <c r="G87" s="28" t="n">
        <v>16</v>
      </c>
      <c r="H87" s="28" t="inlineStr"/>
    </row>
    <row r="88">
      <c r="A88" s="28" t="inlineStr">
        <is>
          <t>detailed-demand-for-grant</t>
        </is>
      </c>
      <c r="B88" s="28" t="inlineStr">
        <is>
          <t>Page</t>
        </is>
      </c>
      <c r="C88" s="28" t="inlineStr">
        <is>
          <t>https://www.figma.com/design/Ds5qx61QsI0ZkYSrLKxo0A/MoSJE--Handoff-?node-id=3453-12795</t>
        </is>
      </c>
      <c r="D88" s="28" t="inlineStr">
        <is>
          <t>Yes</t>
        </is>
      </c>
      <c r="E88" s="28" t="inlineStr">
        <is>
          <t>Yes</t>
        </is>
      </c>
      <c r="F88" s="28" t="inlineStr">
        <is>
          <t>Not captured</t>
        </is>
      </c>
      <c r="G88" s="28" t="n">
        <v>17</v>
      </c>
      <c r="H88" s="28" t="inlineStr">
        <is>
          <t>Document-listing page; the only drawn document list is Annual Reports</t>
        </is>
      </c>
    </row>
    <row r="89">
      <c r="A89" s="28" t="inlineStr">
        <is>
          <t>minutes-of-screening-committees</t>
        </is>
      </c>
      <c r="B89" s="28" t="inlineStr">
        <is>
          <t>Page</t>
        </is>
      </c>
      <c r="C89" s="28" t="inlineStr">
        <is>
          <t>https://www.figma.com/design/Ds5qx61QsI0ZkYSrLKxo0A/MoSJE--Handoff-?node-id=3453-12795</t>
        </is>
      </c>
      <c r="D89" s="28" t="inlineStr">
        <is>
          <t>Yes</t>
        </is>
      </c>
      <c r="E89" s="28" t="inlineStr">
        <is>
          <t>Yes</t>
        </is>
      </c>
      <c r="F89" s="28" t="inlineStr">
        <is>
          <t>Not captured</t>
        </is>
      </c>
      <c r="G89" s="28" t="n">
        <v>19</v>
      </c>
      <c r="H89" s="28" t="inlineStr">
        <is>
          <t>Document-listing page; the only drawn document list is Annual Reports</t>
        </is>
      </c>
    </row>
    <row r="90">
      <c r="A90" s="28" t="inlineStr">
        <is>
          <t>procedure-for-processing-grant-in-aid-cases-in-respect-of-voluntary-organisations</t>
        </is>
      </c>
      <c r="B90" s="28" t="inlineStr">
        <is>
          <t>Page</t>
        </is>
      </c>
      <c r="C90" s="28" t="n"/>
      <c r="D90" s="28" t="inlineStr">
        <is>
          <t>No</t>
        </is>
      </c>
      <c r="E90" s="28" t="inlineStr">
        <is>
          <t>Yes</t>
        </is>
      </c>
      <c r="F90" s="28" t="inlineStr">
        <is>
          <t>Not captured</t>
        </is>
      </c>
      <c r="G90" s="28" t="n">
        <v>15</v>
      </c>
      <c r="H90" s="28" t="inlineStr"/>
    </row>
    <row r="91">
      <c r="A91" s="28" t="inlineStr">
        <is>
          <t>prioritization-guidelines-for-funding-projects-by-vuluntary-organisations</t>
        </is>
      </c>
      <c r="B91" s="28" t="inlineStr">
        <is>
          <t>Page</t>
        </is>
      </c>
      <c r="C91" s="28" t="n"/>
      <c r="D91" s="28" t="inlineStr">
        <is>
          <t>No</t>
        </is>
      </c>
      <c r="E91" s="28" t="inlineStr">
        <is>
          <t>Yes</t>
        </is>
      </c>
      <c r="F91" s="28" t="inlineStr">
        <is>
          <t>Not captured</t>
        </is>
      </c>
      <c r="G91" s="28" t="n">
        <v>15</v>
      </c>
      <c r="H91" s="28" t="inlineStr"/>
    </row>
    <row r="92">
      <c r="A92" s="28" t="inlineStr">
        <is>
          <t>policies-acts-rules-codes-circular</t>
        </is>
      </c>
      <c r="B92" s="28" t="inlineStr">
        <is>
          <t>Page</t>
        </is>
      </c>
      <c r="C92" s="28" t="inlineStr">
        <is>
          <t>https://www.figma.com/design/Ds5qx61QsI0ZkYSrLKxo0A/MoSJE--Handoff-?node-id=3453-12795</t>
        </is>
      </c>
      <c r="D92" s="28" t="inlineStr">
        <is>
          <t>Yes</t>
        </is>
      </c>
      <c r="E92" s="28" t="inlineStr">
        <is>
          <t>Yes</t>
        </is>
      </c>
      <c r="F92" s="28" t="inlineStr">
        <is>
          <t>Not captured</t>
        </is>
      </c>
      <c r="G92" s="28" t="n">
        <v>20</v>
      </c>
      <c r="H92" s="28" t="inlineStr">
        <is>
          <t>Document-listing page; the only drawn document list is Annual Reports</t>
        </is>
      </c>
    </row>
    <row r="93">
      <c r="A93" s="28" t="inlineStr">
        <is>
          <t>about-the-division-welfare-of-the-other-backward-classes</t>
        </is>
      </c>
      <c r="B93" s="28" t="inlineStr">
        <is>
          <t>Page</t>
        </is>
      </c>
      <c r="C93" s="28" t="n"/>
      <c r="D93" s="28" t="inlineStr">
        <is>
          <t>No</t>
        </is>
      </c>
      <c r="E93" s="28" t="inlineStr">
        <is>
          <t>Yes</t>
        </is>
      </c>
      <c r="F93" s="28" t="inlineStr">
        <is>
          <t>Not captured</t>
        </is>
      </c>
      <c r="G93" s="28" t="n">
        <v>15</v>
      </c>
      <c r="H93" s="28" t="inlineStr"/>
    </row>
    <row r="94">
      <c r="A94" s="28" t="inlineStr">
        <is>
          <t>policies-acts-rules-circular</t>
        </is>
      </c>
      <c r="B94" s="28" t="inlineStr">
        <is>
          <t>Page</t>
        </is>
      </c>
      <c r="C94" s="28" t="inlineStr">
        <is>
          <t>https://www.figma.com/design/Ds5qx61QsI0ZkYSrLKxo0A/MoSJE--Handoff-?node-id=3453-12795</t>
        </is>
      </c>
      <c r="D94" s="28" t="inlineStr">
        <is>
          <t>Yes</t>
        </is>
      </c>
      <c r="E94" s="28" t="inlineStr">
        <is>
          <t>Yes</t>
        </is>
      </c>
      <c r="F94" s="28" t="inlineStr">
        <is>
          <t>Not captured</t>
        </is>
      </c>
      <c r="G94" s="28" t="n">
        <v>19</v>
      </c>
      <c r="H94" s="28" t="inlineStr">
        <is>
          <t>Document-listing page; the only drawn document list is Annual Reports</t>
        </is>
      </c>
    </row>
    <row r="95">
      <c r="A95" s="28" t="inlineStr">
        <is>
          <t>about-the-division</t>
        </is>
      </c>
      <c r="B95" s="28" t="inlineStr">
        <is>
          <t>Page</t>
        </is>
      </c>
      <c r="C95" s="28" t="n"/>
      <c r="D95" s="28" t="inlineStr">
        <is>
          <t>No</t>
        </is>
      </c>
      <c r="E95" s="28" t="inlineStr">
        <is>
          <t>Yes</t>
        </is>
      </c>
      <c r="F95" s="28" t="inlineStr">
        <is>
          <t>Not captured</t>
        </is>
      </c>
      <c r="G95" s="28" t="n">
        <v>15</v>
      </c>
      <c r="H95" s="28" t="inlineStr"/>
    </row>
    <row r="96">
      <c r="A96" s="28" t="inlineStr">
        <is>
          <t>booking--conference-3</t>
        </is>
      </c>
      <c r="B96" s="28" t="inlineStr">
        <is>
          <t>Record template</t>
        </is>
      </c>
      <c r="C96" s="28" t="inlineStr">
        <is>
          <t>https://www.figma.com/design/Ds5qx61QsI0ZkYSrLKxo0A/MoSJE--Handoff-?node-id=4743-129775</t>
        </is>
      </c>
      <c r="D96" s="28" t="inlineStr">
        <is>
          <t>Yes</t>
        </is>
      </c>
      <c r="E96" s="28" t="inlineStr">
        <is>
          <t>Yes</t>
        </is>
      </c>
      <c r="F96" s="28" t="inlineStr">
        <is>
          <t>Not captured</t>
        </is>
      </c>
      <c r="G96" s="28" t="n">
        <v>21</v>
      </c>
      <c r="H96" s="28" t="inlineStr">
        <is>
          <t>Booking detail view under Organisation Details › Booking</t>
        </is>
      </c>
    </row>
    <row r="97">
      <c r="A97" s="28" t="inlineStr">
        <is>
          <t>booking--vaishali</t>
        </is>
      </c>
      <c r="B97" s="28" t="inlineStr">
        <is>
          <t>Record template</t>
        </is>
      </c>
      <c r="C97" s="28" t="inlineStr">
        <is>
          <t>https://www.figma.com/design/Ds5qx61QsI0ZkYSrLKxo0A/MoSJE--Handoff-?node-id=4743-129775</t>
        </is>
      </c>
      <c r="D97" s="28" t="inlineStr">
        <is>
          <t>Yes</t>
        </is>
      </c>
      <c r="E97" s="28" t="inlineStr">
        <is>
          <t>Yes</t>
        </is>
      </c>
      <c r="F97" s="28" t="inlineStr">
        <is>
          <t>Not captured</t>
        </is>
      </c>
      <c r="G97" s="28" t="n">
        <v>21</v>
      </c>
      <c r="H97" s="28" t="inlineStr">
        <is>
          <t>Booking detail view under Organisation Details › Booking</t>
        </is>
      </c>
    </row>
    <row r="98">
      <c r="A98" s="28" t="inlineStr">
        <is>
          <t>cpio--shri-sumit-kumar</t>
        </is>
      </c>
      <c r="B98" s="28" t="inlineStr">
        <is>
          <t>Record template</t>
        </is>
      </c>
      <c r="C98" s="28" t="inlineStr">
        <is>
          <t>https://www.figma.com/design/Ds5qx61QsI0ZkYSrLKxo0A/MoSJE--Handoff-?node-id=3453-14262</t>
        </is>
      </c>
      <c r="D98" s="28" t="inlineStr">
        <is>
          <t>Yes</t>
        </is>
      </c>
      <c r="E98" s="28" t="inlineStr">
        <is>
          <t>Yes</t>
        </is>
      </c>
      <c r="F98" s="28" t="inlineStr">
        <is>
          <t>Not captured</t>
        </is>
      </c>
      <c r="G98" s="28" t="n">
        <v>21</v>
      </c>
      <c r="H98" s="28" t="inlineStr">
        <is>
          <t>CPIO person detail page is not drawn; only the CPIO list</t>
        </is>
      </c>
    </row>
    <row r="99">
      <c r="A99" s="28" t="inlineStr">
        <is>
          <t>cpio--shri-vinesh-pachnanda</t>
        </is>
      </c>
      <c r="B99" s="28" t="inlineStr">
        <is>
          <t>Record template</t>
        </is>
      </c>
      <c r="C99" s="28" t="inlineStr">
        <is>
          <t>https://www.figma.com/design/Ds5qx61QsI0ZkYSrLKxo0A/MoSJE--Handoff-?node-id=3453-14262</t>
        </is>
      </c>
      <c r="D99" s="28" t="inlineStr">
        <is>
          <t>Yes</t>
        </is>
      </c>
      <c r="E99" s="28" t="inlineStr">
        <is>
          <t>Yes</t>
        </is>
      </c>
      <c r="F99" s="28" t="inlineStr">
        <is>
          <t>Not captured</t>
        </is>
      </c>
      <c r="G99" s="28" t="n">
        <v>21</v>
      </c>
      <c r="H99" s="28" t="inlineStr">
        <is>
          <t>CPIO person detail page is not drawn; only the CPIO list</t>
        </is>
      </c>
    </row>
    <row r="100">
      <c r="A100" s="28" t="inlineStr">
        <is>
          <t>documents--corrigendum-to-pm-daksh-scheme-guideline</t>
        </is>
      </c>
      <c r="B100" s="28" t="inlineStr">
        <is>
          <t>Record template</t>
        </is>
      </c>
      <c r="C100" s="28" t="inlineStr">
        <is>
          <t>https://www.figma.com/design/Ds5qx61QsI0ZkYSrLKxo0A/MoSJE--Handoff-?node-id=3431-7459</t>
        </is>
      </c>
      <c r="D100" s="28" t="inlineStr">
        <is>
          <t>Yes</t>
        </is>
      </c>
      <c r="E100" s="28" t="inlineStr">
        <is>
          <t>Yes</t>
        </is>
      </c>
      <c r="F100" s="28" t="inlineStr">
        <is>
          <t>Not captured</t>
        </is>
      </c>
      <c r="G100" s="28" t="n">
        <v>22</v>
      </c>
      <c r="H100" s="28" t="inlineStr">
        <is>
          <t>Document detail: design uses Quick View side sheet (desktop) / Document View (mobile), not a detail page</t>
        </is>
      </c>
    </row>
    <row r="101">
      <c r="A101" s="28" t="inlineStr">
        <is>
          <t>documents--expression-of-interest-eoi-for-rate-of-i</t>
        </is>
      </c>
      <c r="B101" s="28" t="inlineStr">
        <is>
          <t>Record template</t>
        </is>
      </c>
      <c r="C101" s="28" t="inlineStr">
        <is>
          <t>https://www.figma.com/design/Ds5qx61QsI0ZkYSrLKxo0A/MoSJE--Handoff-?node-id=3431-7459</t>
        </is>
      </c>
      <c r="D101" s="28" t="inlineStr">
        <is>
          <t>Yes</t>
        </is>
      </c>
      <c r="E101" s="28" t="inlineStr">
        <is>
          <t>Yes</t>
        </is>
      </c>
      <c r="F101" s="28" t="inlineStr">
        <is>
          <t>Not captured</t>
        </is>
      </c>
      <c r="G101" s="28" t="n">
        <v>22</v>
      </c>
      <c r="H101" s="28" t="inlineStr">
        <is>
          <t>Document detail: design uses Quick View side sheet (desktop) / Document View (mobile), not a detail page</t>
        </is>
      </c>
    </row>
    <row r="102">
      <c r="A102" s="28" t="inlineStr">
        <is>
          <t>events--ek-ped-maa-ke-naam-7</t>
        </is>
      </c>
      <c r="B102" s="28" t="inlineStr">
        <is>
          <t>Record template</t>
        </is>
      </c>
      <c r="C102" s="28" t="inlineStr">
        <is>
          <t>https://www.figma.com/design/Ds5qx61QsI0ZkYSrLKxo0A/MoSJE--Handoff-?node-id=3453-14110</t>
        </is>
      </c>
      <c r="D102" s="28" t="inlineStr">
        <is>
          <t>Yes</t>
        </is>
      </c>
      <c r="E102" s="28" t="inlineStr">
        <is>
          <t>Yes</t>
        </is>
      </c>
      <c r="F102" s="28" t="inlineStr">
        <is>
          <t>Not captured</t>
        </is>
      </c>
      <c r="G102" s="28" t="n">
        <v>24</v>
      </c>
      <c r="H102" s="28" t="inlineStr">
        <is>
          <t>Event detail template</t>
        </is>
      </c>
    </row>
    <row r="103">
      <c r="A103" s="28" t="inlineStr">
        <is>
          <t>events--ek-ped-maa-ke-naam-6</t>
        </is>
      </c>
      <c r="B103" s="28" t="inlineStr">
        <is>
          <t>Record template</t>
        </is>
      </c>
      <c r="C103" s="28" t="inlineStr">
        <is>
          <t>https://www.figma.com/design/Ds5qx61QsI0ZkYSrLKxo0A/MoSJE--Handoff-?node-id=3453-14110</t>
        </is>
      </c>
      <c r="D103" s="28" t="inlineStr">
        <is>
          <t>Yes</t>
        </is>
      </c>
      <c r="E103" s="28" t="inlineStr">
        <is>
          <t>Yes</t>
        </is>
      </c>
      <c r="F103" s="28" t="inlineStr">
        <is>
          <t>Not captured</t>
        </is>
      </c>
      <c r="G103" s="28" t="n">
        <v>24</v>
      </c>
      <c r="H103" s="28" t="inlineStr">
        <is>
          <t>Event detail template</t>
        </is>
      </c>
    </row>
    <row r="104">
      <c r="A104" s="28" t="inlineStr">
        <is>
          <t>gallery--14446-national-de-addiction-and-telecoun</t>
        </is>
      </c>
      <c r="B104" s="28" t="inlineStr">
        <is>
          <t>Record template</t>
        </is>
      </c>
      <c r="C104" s="28" t="inlineStr">
        <is>
          <t>https://www.figma.com/design/Ds5qx61QsI0ZkYSrLKxo0A/MoSJE--Handoff-?node-id=3453-13524</t>
        </is>
      </c>
      <c r="D104" s="28" t="inlineStr">
        <is>
          <t>Yes</t>
        </is>
      </c>
      <c r="E104" s="28" t="inlineStr">
        <is>
          <t>Yes</t>
        </is>
      </c>
      <c r="F104" s="28" t="inlineStr">
        <is>
          <t>Not captured</t>
        </is>
      </c>
      <c r="G104" s="28" t="n">
        <v>21</v>
      </c>
      <c r="H104" s="28" t="inlineStr">
        <is>
          <t>Gallery item: design uses a Quick View modal, not a detail page</t>
        </is>
      </c>
    </row>
    <row r="105">
      <c r="A105" s="28" t="inlineStr">
        <is>
          <t>gallery--role-of-parents-teachers-in-early-identi</t>
        </is>
      </c>
      <c r="B105" s="28" t="inlineStr">
        <is>
          <t>Record template</t>
        </is>
      </c>
      <c r="C105" s="28" t="inlineStr">
        <is>
          <t>https://www.figma.com/design/Ds5qx61QsI0ZkYSrLKxo0A/MoSJE--Handoff-?node-id=3453-13524</t>
        </is>
      </c>
      <c r="D105" s="28" t="inlineStr">
        <is>
          <t>Yes</t>
        </is>
      </c>
      <c r="E105" s="28" t="inlineStr">
        <is>
          <t>Yes</t>
        </is>
      </c>
      <c r="F105" s="28" t="inlineStr">
        <is>
          <t>Not captured</t>
        </is>
      </c>
      <c r="G105" s="28" t="n">
        <v>21</v>
      </c>
      <c r="H105" s="28" t="inlineStr">
        <is>
          <t>Gallery item: design uses a Quick View modal, not a detail page</t>
        </is>
      </c>
    </row>
    <row r="106">
      <c r="A106" s="28" t="inlineStr">
        <is>
          <t>official--shri-shailendra-kumar</t>
        </is>
      </c>
      <c r="B106" s="28" t="inlineStr">
        <is>
          <t>Record template</t>
        </is>
      </c>
      <c r="C106" s="28" t="inlineStr">
        <is>
          <t>https://www.figma.com/design/Ds5qx61QsI0ZkYSrLKxo0A/MoSJE--Handoff-?node-id=3453-9455</t>
        </is>
      </c>
      <c r="D106" s="28" t="inlineStr">
        <is>
          <t>Yes</t>
        </is>
      </c>
      <c r="E106" s="28" t="inlineStr">
        <is>
          <t>Yes</t>
        </is>
      </c>
      <c r="F106" s="28" t="inlineStr">
        <is>
          <t>Not captured</t>
        </is>
      </c>
      <c r="G106" s="28" t="n">
        <v>21</v>
      </c>
      <c r="H106" s="28" t="inlineStr">
        <is>
          <t>Official profile drawn as the Directory → Joint Secretary detail state</t>
        </is>
      </c>
    </row>
    <row r="107">
      <c r="A107" s="28" t="inlineStr">
        <is>
          <t>official--dr-swati-s-mishra</t>
        </is>
      </c>
      <c r="B107" s="28" t="inlineStr">
        <is>
          <t>Record template</t>
        </is>
      </c>
      <c r="C107" s="28" t="inlineStr">
        <is>
          <t>https://www.figma.com/design/Ds5qx61QsI0ZkYSrLKxo0A/MoSJE--Handoff-?node-id=3453-9455</t>
        </is>
      </c>
      <c r="D107" s="28" t="inlineStr">
        <is>
          <t>Yes</t>
        </is>
      </c>
      <c r="E107" s="28" t="inlineStr">
        <is>
          <t>Yes</t>
        </is>
      </c>
      <c r="F107" s="28" t="inlineStr">
        <is>
          <t>Not captured</t>
        </is>
      </c>
      <c r="G107" s="28" t="n">
        <v>21</v>
      </c>
      <c r="H107" s="28" t="inlineStr">
        <is>
          <t>Official profile drawn as the Directory → Joint Secretary detail state</t>
        </is>
      </c>
    </row>
    <row r="108">
      <c r="A108" s="28" t="inlineStr">
        <is>
          <t>organisation--pearls-of-wisdom</t>
        </is>
      </c>
      <c r="B108" s="28" t="inlineStr">
        <is>
          <t>Record template</t>
        </is>
      </c>
      <c r="C108" s="28" t="inlineStr">
        <is>
          <t>https://www.figma.com/design/Ds5qx61QsI0ZkYSrLKxo0A/MoSJE--Handoff-?node-id=3453-11191</t>
        </is>
      </c>
      <c r="D108" s="28" t="inlineStr">
        <is>
          <t>Yes</t>
        </is>
      </c>
      <c r="E108" s="28" t="inlineStr">
        <is>
          <t>Yes</t>
        </is>
      </c>
      <c r="F108" s="28" t="inlineStr">
        <is>
          <t>Not captured</t>
        </is>
      </c>
      <c r="G108" s="28" t="n">
        <v>20</v>
      </c>
      <c r="H108" s="28" t="inlineStr">
        <is>
          <t>Organisation sub-page (e.g. Pearls of Wisdom) — only the Organisation Details shell is drawn, sub-page content is not</t>
        </is>
      </c>
    </row>
    <row r="109">
      <c r="A109" s="28" t="inlineStr">
        <is>
          <t>organisation--contact-us</t>
        </is>
      </c>
      <c r="B109" s="28" t="inlineStr">
        <is>
          <t>Record template</t>
        </is>
      </c>
      <c r="C109" s="28" t="inlineStr">
        <is>
          <t>https://www.figma.com/design/Ds5qx61QsI0ZkYSrLKxo0A/MoSJE--Handoff-?node-id=3453-14723</t>
        </is>
      </c>
      <c r="D109" s="28" t="inlineStr">
        <is>
          <t>Yes</t>
        </is>
      </c>
      <c r="E109" s="28" t="inlineStr">
        <is>
          <t>Yes</t>
        </is>
      </c>
      <c r="F109" s="28" t="inlineStr">
        <is>
          <t>Not captured</t>
        </is>
      </c>
      <c r="G109" s="28" t="n">
        <v>22</v>
      </c>
      <c r="H109" s="28" t="inlineStr">
        <is>
          <t>Organisation contact sub-page = Contact Us/NCSC</t>
        </is>
      </c>
    </row>
    <row r="110">
      <c r="A110" s="28" t="inlineStr">
        <is>
          <t>scheme-documents--merger-order</t>
        </is>
      </c>
      <c r="B110" s="28" t="inlineStr">
        <is>
          <t>Record template</t>
        </is>
      </c>
      <c r="C110" s="28" t="inlineStr">
        <is>
          <t>https://www.figma.com/design/Ds5qx61QsI0ZkYSrLKxo0A/MoSJE--Handoff-?node-id=3431-7459</t>
        </is>
      </c>
      <c r="D110" s="28" t="inlineStr">
        <is>
          <t>Yes</t>
        </is>
      </c>
      <c r="E110" s="28" t="inlineStr">
        <is>
          <t>Yes</t>
        </is>
      </c>
      <c r="F110" s="28" t="inlineStr">
        <is>
          <t>Not captured</t>
        </is>
      </c>
      <c r="G110" s="28" t="n">
        <v>23</v>
      </c>
      <c r="H110" s="28" t="inlineStr">
        <is>
          <t>Document detail: design uses Quick View side sheet (desktop) / Document View (mobile), not a detail page</t>
        </is>
      </c>
    </row>
    <row r="111">
      <c r="A111" s="28" t="inlineStr">
        <is>
          <t>scheme-documents--dr-ambedkar-national-merit-award-scheme-</t>
        </is>
      </c>
      <c r="B111" s="28" t="inlineStr">
        <is>
          <t>Record template</t>
        </is>
      </c>
      <c r="C111" s="28" t="inlineStr">
        <is>
          <t>https://www.figma.com/design/Ds5qx61QsI0ZkYSrLKxo0A/MoSJE--Handoff-?node-id=3431-7459</t>
        </is>
      </c>
      <c r="D111" s="28" t="inlineStr">
        <is>
          <t>Yes</t>
        </is>
      </c>
      <c r="E111" s="28" t="inlineStr">
        <is>
          <t>Yes</t>
        </is>
      </c>
      <c r="F111" s="28" t="inlineStr">
        <is>
          <t>Not captured</t>
        </is>
      </c>
      <c r="G111" s="28" t="n">
        <v>23</v>
      </c>
      <c r="H111" s="28" t="inlineStr">
        <is>
          <t>Document detail: design uses Quick View side sheet (desktop) / Document View (mobile), not a detail page</t>
        </is>
      </c>
    </row>
    <row r="112">
      <c r="A112" s="28" t="inlineStr">
        <is>
          <t>schemes-and-services--top-class-education-in-colllege-for-obc-</t>
        </is>
      </c>
      <c r="B112" s="28" t="inlineStr">
        <is>
          <t>Record template</t>
        </is>
      </c>
      <c r="C112" s="28" t="inlineStr">
        <is>
          <t>https://www.figma.com/design/Ds5qx61QsI0ZkYSrLKxo0A/MoSJE--Handoff-?node-id=3453-11885</t>
        </is>
      </c>
      <c r="D112" s="28" t="inlineStr">
        <is>
          <t>Yes</t>
        </is>
      </c>
      <c r="E112" s="28" t="inlineStr">
        <is>
          <t>Yes</t>
        </is>
      </c>
      <c r="F112" s="28" t="inlineStr">
        <is>
          <t>Not captured</t>
        </is>
      </c>
      <c r="G112" s="28" t="n">
        <v>24</v>
      </c>
      <c r="H112" s="28" t="inlineStr">
        <is>
          <t>Scheme Details template</t>
        </is>
      </c>
    </row>
    <row r="113">
      <c r="A113" s="28" t="inlineStr">
        <is>
          <t>schemes-and-services--geriatric-caregivers-training</t>
        </is>
      </c>
      <c r="B113" s="28" t="inlineStr">
        <is>
          <t>Record template</t>
        </is>
      </c>
      <c r="C113" s="28" t="inlineStr">
        <is>
          <t>https://www.figma.com/design/Ds5qx61QsI0ZkYSrLKxo0A/MoSJE--Handoff-?node-id=3453-11885</t>
        </is>
      </c>
      <c r="D113" s="28" t="inlineStr">
        <is>
          <t>Yes</t>
        </is>
      </c>
      <c r="E113" s="28" t="inlineStr">
        <is>
          <t>Yes</t>
        </is>
      </c>
      <c r="F113" s="28" t="inlineStr">
        <is>
          <t>Not captured</t>
        </is>
      </c>
      <c r="G113" s="28" t="n">
        <v>22</v>
      </c>
      <c r="H113" s="28" t="inlineStr">
        <is>
          <t>Scheme Details template</t>
        </is>
      </c>
    </row>
    <row r="114">
      <c r="A114" s="28" t="inlineStr">
        <is>
          <t>suo-moto-disclosure--list-of-schemes-projects-programme-under</t>
        </is>
      </c>
      <c r="B114" s="28" t="inlineStr">
        <is>
          <t>Record template</t>
        </is>
      </c>
      <c r="C114" s="28" t="inlineStr">
        <is>
          <t>https://www.figma.com/design/Ds5qx61QsI0ZkYSrLKxo0A/MoSJE--Handoff-?node-id=3453-14426</t>
        </is>
      </c>
      <c r="D114" s="28" t="inlineStr">
        <is>
          <t>Yes</t>
        </is>
      </c>
      <c r="E114" s="28" t="inlineStr">
        <is>
          <t>Yes</t>
        </is>
      </c>
      <c r="F114" s="28" t="inlineStr">
        <is>
          <t>Not captured</t>
        </is>
      </c>
      <c r="G114" s="28" t="n">
        <v>21</v>
      </c>
      <c r="H114" s="28" t="inlineStr">
        <is>
          <t>Disclosure item detail not drawn; only the list</t>
        </is>
      </c>
    </row>
    <row r="115">
      <c r="A115" s="28" t="inlineStr">
        <is>
          <t>suo-moto-disclosure--security-audit-certificate</t>
        </is>
      </c>
      <c r="B115" s="28" t="inlineStr">
        <is>
          <t>Record template</t>
        </is>
      </c>
      <c r="C115" s="28" t="inlineStr">
        <is>
          <t>https://www.figma.com/design/Ds5qx61QsI0ZkYSrLKxo0A/MoSJE--Handoff-?node-id=3453-14426</t>
        </is>
      </c>
      <c r="D115" s="28" t="inlineStr">
        <is>
          <t>Yes</t>
        </is>
      </c>
      <c r="E115" s="28" t="inlineStr">
        <is>
          <t>Yes</t>
        </is>
      </c>
      <c r="F115" s="28" t="inlineStr">
        <is>
          <t>Not captured</t>
        </is>
      </c>
      <c r="G115" s="28" t="n">
        <v>21</v>
      </c>
      <c r="H115" s="28" t="inlineStr">
        <is>
          <t>Disclosure item detail not drawn; only the list</t>
        </is>
      </c>
    </row>
    <row r="116">
      <c r="A116" s="28" t="inlineStr">
        <is>
          <t>tender--investment-of-an-amount-of-rs-10-00-cror</t>
        </is>
      </c>
      <c r="B116" s="28" t="inlineStr">
        <is>
          <t>Record template</t>
        </is>
      </c>
      <c r="C116" s="28" t="inlineStr">
        <is>
          <t>https://www.figma.com/design/Ds5qx61QsI0ZkYSrLKxo0A/MoSJE--Handoff-?node-id=3453-12568</t>
        </is>
      </c>
      <c r="D116" s="28" t="inlineStr">
        <is>
          <t>Yes</t>
        </is>
      </c>
      <c r="E116" s="28" t="inlineStr">
        <is>
          <t>Yes</t>
        </is>
      </c>
      <c r="F116" s="28" t="inlineStr">
        <is>
          <t>Not captured</t>
        </is>
      </c>
      <c r="G116" s="28" t="n">
        <v>21</v>
      </c>
      <c r="H116" s="28" t="inlineStr">
        <is>
          <t>Tender detail not drawn; only the Tenders list</t>
        </is>
      </c>
    </row>
    <row r="117">
      <c r="A117" s="28" t="inlineStr">
        <is>
          <t>tender--investment-of-an-amount-of-rs-174-00-cro</t>
        </is>
      </c>
      <c r="B117" s="28" t="inlineStr">
        <is>
          <t>Record template</t>
        </is>
      </c>
      <c r="C117" s="28" t="inlineStr">
        <is>
          <t>https://www.figma.com/design/Ds5qx61QsI0ZkYSrLKxo0A/MoSJE--Handoff-?node-id=3453-12568</t>
        </is>
      </c>
      <c r="D117" s="28" t="inlineStr">
        <is>
          <t>Yes</t>
        </is>
      </c>
      <c r="E117" s="28" t="inlineStr">
        <is>
          <t>Yes</t>
        </is>
      </c>
      <c r="F117" s="28" t="inlineStr">
        <is>
          <t>Not captured</t>
        </is>
      </c>
      <c r="G117" s="28" t="n">
        <v>21</v>
      </c>
      <c r="H117" s="28" t="inlineStr">
        <is>
          <t>Tender detail not drawn; only the Tenders list</t>
        </is>
      </c>
    </row>
    <row r="118">
      <c r="A118" s="28" t="inlineStr">
        <is>
          <t>updates--3rd-national-lok-adalat-awareness-materi</t>
        </is>
      </c>
      <c r="B118" s="28" t="inlineStr">
        <is>
          <t>Record template</t>
        </is>
      </c>
      <c r="C118" s="28" t="n"/>
      <c r="D118" s="28" t="inlineStr">
        <is>
          <t>No</t>
        </is>
      </c>
      <c r="E118" s="28" t="inlineStr">
        <is>
          <t>Yes</t>
        </is>
      </c>
      <c r="F118" s="28" t="inlineStr">
        <is>
          <t>Not captured</t>
        </is>
      </c>
      <c r="G118" s="28" t="n">
        <v>17</v>
      </c>
      <c r="H118" s="28" t="inlineStr"/>
    </row>
    <row r="119">
      <c r="A119" s="28" t="inlineStr">
        <is>
          <t>updates--pre-bid-meeting-tender-id-gem-2026-b-774</t>
        </is>
      </c>
      <c r="B119" s="28" t="inlineStr">
        <is>
          <t>Record template</t>
        </is>
      </c>
      <c r="C119" s="28" t="n"/>
      <c r="D119" s="28" t="inlineStr">
        <is>
          <t>No</t>
        </is>
      </c>
      <c r="E119" s="28" t="inlineStr">
        <is>
          <t>Yes</t>
        </is>
      </c>
      <c r="F119" s="28" t="inlineStr">
        <is>
          <t>Not captured</t>
        </is>
      </c>
      <c r="G119" s="28" t="n">
        <v>17</v>
      </c>
      <c r="H119" s="28" t="inlineStr"/>
    </row>
    <row r="120">
      <c r="A120" s="28" t="inlineStr">
        <is>
          <t>vacancies--short-term-internship-programme-at-daic-</t>
        </is>
      </c>
      <c r="B120" s="28" t="inlineStr">
        <is>
          <t>Record template</t>
        </is>
      </c>
      <c r="C120" s="28" t="inlineStr">
        <is>
          <t>https://www.figma.com/design/Ds5qx61QsI0ZkYSrLKxo0A/MoSJE--Handoff-?node-id=3453-12427</t>
        </is>
      </c>
      <c r="D120" s="28" t="inlineStr">
        <is>
          <t>Yes</t>
        </is>
      </c>
      <c r="E120" s="28" t="inlineStr">
        <is>
          <t>Yes</t>
        </is>
      </c>
      <c r="F120" s="28" t="inlineStr">
        <is>
          <t>Not captured</t>
        </is>
      </c>
      <c r="G120" s="28" t="n">
        <v>21</v>
      </c>
      <c r="H120" s="28" t="inlineStr">
        <is>
          <t>Vacancy detail not drawn; only the Vacancies list</t>
        </is>
      </c>
    </row>
    <row r="121">
      <c r="A121" s="28" t="inlineStr">
        <is>
          <t>vacancies--short-term-internship-programme-at-dr-am</t>
        </is>
      </c>
      <c r="B121" s="28" t="inlineStr">
        <is>
          <t>Record template</t>
        </is>
      </c>
      <c r="C121" s="28" t="inlineStr">
        <is>
          <t>https://www.figma.com/design/Ds5qx61QsI0ZkYSrLKxo0A/MoSJE--Handoff-?node-id=3453-12427</t>
        </is>
      </c>
      <c r="D121" s="28" t="inlineStr">
        <is>
          <t>Yes</t>
        </is>
      </c>
      <c r="E121" s="28" t="inlineStr">
        <is>
          <t>Yes</t>
        </is>
      </c>
      <c r="F121" s="28" t="inlineStr">
        <is>
          <t>Not captured</t>
        </is>
      </c>
      <c r="G121" s="28" t="n">
        <v>21</v>
      </c>
      <c r="H121" s="28" t="inlineStr">
        <is>
          <t>Vacancy detail not drawn; only the Vacancies list</t>
        </is>
      </c>
    </row>
  </sheetData>
  <autoFilter ref="A1:H1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2026-09-18T09:51:54Z</dcterms:modified>
</cp:coreProperties>
</file>