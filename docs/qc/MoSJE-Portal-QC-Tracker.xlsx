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llup" sheetId="2" state="visible" r:id="rId2"/>
    <sheet xmlns:r="http://schemas.openxmlformats.org/officeDocument/2006/relationships" name="eUtthan Admin" sheetId="3" state="visible" r:id="rId3"/>
    <sheet xmlns:r="http://schemas.openxmlformats.org/officeDocument/2006/relationships" name="SMILE Beggary" sheetId="4" state="visible" r:id="rId4"/>
    <sheet xmlns:r="http://schemas.openxmlformats.org/officeDocument/2006/relationships" name="Coverage – SMILE Beggary" sheetId="5" state="visible" r:id="rId5"/>
    <sheet xmlns:r="http://schemas.openxmlformats.org/officeDocument/2006/relationships" name="NMBA" sheetId="6" state="visible" r:id="rId6"/>
    <sheet xmlns:r="http://schemas.openxmlformats.org/officeDocument/2006/relationships" name="Coverage – NMBA" sheetId="7" state="visible" r:id="rId7"/>
    <sheet xmlns:r="http://schemas.openxmlformats.org/officeDocument/2006/relationships" name="NHAPOA" sheetId="8" state="visible" r:id="rId8"/>
    <sheet xmlns:r="http://schemas.openxmlformats.org/officeDocument/2006/relationships" name="Coverage – NHAPOA" sheetId="9" state="visible" r:id="rId9"/>
    <sheet xmlns:r="http://schemas.openxmlformats.org/officeDocument/2006/relationships" name="TG" sheetId="10" state="visible" r:id="rId10"/>
    <sheet xmlns:r="http://schemas.openxmlformats.org/officeDocument/2006/relationships" name="Coverage – TG" sheetId="11" state="visible" r:id="rId11"/>
    <sheet xmlns:r="http://schemas.openxmlformats.org/officeDocument/2006/relationships" name="Coverage – eUtthan" sheetId="12" state="visible" r:id="rId12"/>
  </sheets>
  <definedNames>
    <definedName name="_xlnm._FilterDatabase" localSheetId="2" hidden="1">'eUtthan Admin'!$A$1:$L$400</definedName>
    <definedName name="_xlnm._FilterDatabase" localSheetId="3" hidden="1">'SMILE Beggary'!$A$1:$M$61</definedName>
    <definedName name="_xlnm._FilterDatabase" localSheetId="4" hidden="1">'Coverage – SMILE Beggary'!$A$1:$H$74</definedName>
    <definedName name="_xlnm._FilterDatabase" localSheetId="5" hidden="1">'NMBA'!$A$1:$M$53</definedName>
    <definedName name="_xlnm._FilterDatabase" localSheetId="6" hidden="1">'Coverage – NMBA'!$A$1:$H$68</definedName>
    <definedName name="_xlnm._FilterDatabase" localSheetId="7" hidden="1">'NHAPOA'!$A$1:$M$152</definedName>
    <definedName name="_xlnm._FilterDatabase" localSheetId="8" hidden="1">'Coverage – NHAPOA'!$A$1:$H$81</definedName>
    <definedName name="_xlnm._FilterDatabase" localSheetId="9" hidden="1">'TG'!$A$1:$M$34</definedName>
    <definedName name="_xlnm._FilterDatabase" localSheetId="10" hidden="1">'Coverage – TG'!$A$1:$H$30</definedName>
    <definedName name="_xlnm._FilterDatabase" localSheetId="11" hidden="1">'Coverage – eUtthan'!$A$1:$H$1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Noto Sans"/>
      <b val="1"/>
      <color rgb="00003366"/>
      <sz val="20"/>
    </font>
    <font>
      <name val="Noto Sans"/>
      <color rgb="006B7280"/>
      <sz val="11"/>
    </font>
    <font>
      <name val="Noto Sans"/>
      <b val="1"/>
      <color rgb="00374151"/>
      <sz val="10"/>
    </font>
    <font>
      <name val="Noto Sans"/>
      <color rgb="00374151"/>
      <sz val="10"/>
    </font>
    <font>
      <name val="Noto Sans"/>
      <b val="1"/>
      <color rgb="00003366"/>
      <sz val="12"/>
    </font>
    <font>
      <name val="Noto Sans"/>
      <b val="1"/>
      <color rgb="00FFFFFF"/>
      <sz val="10"/>
    </font>
    <font>
      <name val="Noto Sans"/>
      <b val="1"/>
      <color rgb="00FFFFFF"/>
      <sz val="11"/>
    </font>
    <font>
      <name val="Noto Sans"/>
      <b val="1"/>
      <color rgb="00003366"/>
      <sz val="18"/>
    </font>
    <font>
      <name val="Noto Sans"/>
      <sz val="10"/>
    </font>
    <font>
      <name val="Noto Sans"/>
      <color rgb="001558B0"/>
      <sz val="10"/>
      <u val="single"/>
    </font>
    <font>
      <name val="Noto Sans"/>
      <sz val="11"/>
    </font>
    <font>
      <b val="1"/>
      <color rgb="FFFFFFFF"/>
      <sz val="10"/>
    </font>
    <font>
      <b val="1"/>
      <sz val="9"/>
    </font>
  </fonts>
  <fills count="10">
    <fill>
      <patternFill/>
    </fill>
    <fill>
      <patternFill patternType="gray125"/>
    </fill>
    <fill>
      <patternFill patternType="solid">
        <fgColor rgb="00DC2626"/>
      </patternFill>
    </fill>
    <fill>
      <patternFill patternType="solid">
        <fgColor rgb="00EA580C"/>
      </patternFill>
    </fill>
    <fill>
      <patternFill patternType="solid">
        <fgColor rgb="00CA8A04"/>
      </patternFill>
    </fill>
    <fill>
      <patternFill patternType="solid">
        <fgColor rgb="006B7280"/>
      </patternFill>
    </fill>
    <fill>
      <patternFill patternType="solid">
        <fgColor rgb="00003366"/>
      </patternFill>
    </fill>
    <fill>
      <patternFill patternType="solid">
        <fgColor rgb="00F4F7FB"/>
      </patternFill>
    </fill>
    <fill>
      <patternFill patternType="solid">
        <fgColor rgb="00FFFFFF"/>
      </patternFill>
    </fill>
    <fill>
      <patternFill patternType="solid">
        <fgColor rgb="FF003366"/>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horizontal="center"/>
    </xf>
    <xf numFmtId="0" fontId="6" fillId="3" borderId="0" applyAlignment="1" pivotButton="0" quotePrefix="0" xfId="0">
      <alignment horizontal="center"/>
    </xf>
    <xf numFmtId="0" fontId="6" fillId="4" borderId="0" applyAlignment="1" pivotButton="0" quotePrefix="0" xfId="0">
      <alignment horizontal="center"/>
    </xf>
    <xf numFmtId="0" fontId="6" fillId="5" borderId="0" applyAlignment="1" pivotButton="0" quotePrefix="0" xfId="0">
      <alignment horizontal="center"/>
    </xf>
    <xf numFmtId="0" fontId="8" fillId="0" borderId="0" pivotButton="0" quotePrefix="0" xfId="0"/>
    <xf numFmtId="0" fontId="7" fillId="6" borderId="1" applyAlignment="1" pivotButton="0" quotePrefix="0" xfId="0">
      <alignment horizontal="left" vertical="center" wrapText="1"/>
    </xf>
    <xf numFmtId="0" fontId="7" fillId="2" borderId="1" applyAlignment="1" pivotButton="0" quotePrefix="0" xfId="0">
      <alignment horizontal="left" vertical="center" wrapText="1"/>
    </xf>
    <xf numFmtId="0" fontId="7" fillId="3" borderId="1" applyAlignment="1" pivotButton="0" quotePrefix="0" xfId="0">
      <alignment horizontal="left"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4" fillId="0"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11" fillId="0" borderId="0" pivotButton="0" quotePrefix="0" xfId="0"/>
    <xf numFmtId="0" fontId="7" fillId="6" borderId="0" applyAlignment="1" pivotButton="0" quotePrefix="0" xfId="0">
      <alignment vertical="center"/>
    </xf>
    <xf numFmtId="0" fontId="9" fillId="7" borderId="0" applyAlignment="1" pivotButton="0" quotePrefix="0" xfId="0">
      <alignment vertical="top" wrapText="1"/>
    </xf>
    <xf numFmtId="0" fontId="10" fillId="7"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1" applyAlignment="1" pivotButton="0" quotePrefix="0" xfId="0">
      <alignment vertical="top" wrapText="1"/>
    </xf>
    <xf numFmtId="0" fontId="12" fillId="9" borderId="0" applyAlignment="1" pivotButton="0" quotePrefix="0" xfId="0">
      <alignment vertical="center"/>
    </xf>
    <xf numFmtId="0" fontId="13" fillId="0" borderId="0" applyAlignment="1" pivotButton="0" quotePrefix="0" xfId="0">
      <alignment vertical="top" wrapText="1"/>
    </xf>
    <xf numFmtId="0" fontId="0" fillId="0" borderId="0" applyAlignment="1" pivotButton="0" quotePrefix="0" xfId="0">
      <alignment vertical="top" wrapText="1"/>
    </xf>
    <xf numFmtId="0" fontId="12" fillId="9" borderId="0" pivotButton="0" quotePrefix="0" xfId="0"/>
  </cellXfs>
  <cellStyles count="1">
    <cellStyle name="Normal" xfId="0" builtinId="0" hidden="0"/>
  </cellStyles>
  <dxfs count="4">
    <dxf>
      <font>
        <name val="Noto Sans"/>
        <b val="1"/>
        <color rgb="00FFFFFF"/>
      </font>
      <fill>
        <patternFill patternType="solid">
          <fgColor rgb="00DC2626"/>
        </patternFill>
      </fill>
    </dxf>
    <dxf>
      <font>
        <name val="Noto Sans"/>
        <b val="1"/>
        <color rgb="00FFFFFF"/>
      </font>
      <fill>
        <patternFill patternType="solid">
          <fgColor rgb="00EA580C"/>
        </patternFill>
      </fill>
    </dxf>
    <dxf>
      <font>
        <name val="Noto Sans"/>
        <b val="1"/>
        <color rgb="00FFFFFF"/>
      </font>
      <fill>
        <patternFill patternType="solid">
          <fgColor rgb="00CA8A04"/>
        </patternFill>
      </fill>
    </dxf>
    <dxf>
      <font>
        <name val="Noto Sans"/>
        <b val="1"/>
        <color rgb="00FFFFFF"/>
      </font>
      <fill>
        <patternFill patternType="solid">
          <fgColor rgb="006B728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hyperlink" Target="https://www.figma.com/design/gH2vQ62cfg4677YKWuOpLc/MoSJE-Portal--Handoff-?node-id=5986-51876" TargetMode="External" Id="rId1"/><Relationship Type="http://schemas.openxmlformats.org/officeDocument/2006/relationships/hyperlink" Target="https://nhapoa-user-dev.mosje.in/" TargetMode="External" Id="rId2"/><Relationship Type="http://schemas.openxmlformats.org/officeDocument/2006/relationships/hyperlink" Target="https://www.figma.com/design/gH2vQ62cfg4677YKWuOpLc/MoSJE-Portal--Handoff-?node-id=5986-51876" TargetMode="External" Id="rId3"/><Relationship Type="http://schemas.openxmlformats.org/officeDocument/2006/relationships/hyperlink" Target="https://nhapoa-user-dev.mosje.in/" TargetMode="External" Id="rId4"/><Relationship Type="http://schemas.openxmlformats.org/officeDocument/2006/relationships/hyperlink" Target="https://www.figma.com/design/gH2vQ62cfg4677YKWuOpLc/MoSJE-Portal--Handoff-?node-id=5986-51876" TargetMode="External" Id="rId5"/><Relationship Type="http://schemas.openxmlformats.org/officeDocument/2006/relationships/hyperlink" Target="https://nhapoa-user-dev.mosje.in/" TargetMode="External" Id="rId6"/><Relationship Type="http://schemas.openxmlformats.org/officeDocument/2006/relationships/hyperlink" Target="https://www.figma.com/design/gH2vQ62cfg4677YKWuOpLc/MoSJE-Portal--Handoff-?node-id=5986-51876" TargetMode="External" Id="rId7"/><Relationship Type="http://schemas.openxmlformats.org/officeDocument/2006/relationships/hyperlink" Target="https://nhapoa-user-dev.mosje.in/" TargetMode="External" Id="rId8"/><Relationship Type="http://schemas.openxmlformats.org/officeDocument/2006/relationships/hyperlink" Target="https://www.figma.com/design/gH2vQ62cfg4677YKWuOpLc/MoSJE-Portal--Handoff-?node-id=5986-59234" TargetMode="External" Id="rId9"/><Relationship Type="http://schemas.openxmlformats.org/officeDocument/2006/relationships/hyperlink" Target="https://nhapoa-admin-dev.mosje.in/admin/dashboard" TargetMode="External" Id="rId10"/><Relationship Type="http://schemas.openxmlformats.org/officeDocument/2006/relationships/hyperlink" Target="https://www.figma.com/design/gH2vQ62cfg4677YKWuOpLc/MoSJE-Portal--Handoff-?node-id=5986-59234" TargetMode="External" Id="rId11"/><Relationship Type="http://schemas.openxmlformats.org/officeDocument/2006/relationships/hyperlink" Target="https://nhapoa-admin-dev.mosje.in/admin/dashboard" TargetMode="External" Id="rId12"/><Relationship Type="http://schemas.openxmlformats.org/officeDocument/2006/relationships/hyperlink" Target="https://www.figma.com/design/gH2vQ62cfg4677YKWuOpLc/MoSJE-Portal--Handoff-?node-id=5986-59234" TargetMode="External" Id="rId13"/><Relationship Type="http://schemas.openxmlformats.org/officeDocument/2006/relationships/hyperlink" Target="https://nhapoa-admin-dev.mosje.in/admin/dashboard" TargetMode="External" Id="rId14"/><Relationship Type="http://schemas.openxmlformats.org/officeDocument/2006/relationships/hyperlink" Target="https://www.figma.com/design/gH2vQ62cfg4677YKWuOpLc/MoSJE-Portal--Handoff-?node-id=5986-59234" TargetMode="External" Id="rId15"/><Relationship Type="http://schemas.openxmlformats.org/officeDocument/2006/relationships/hyperlink" Target="https://nhapoa-admin-dev.mosje.in/admin/dashboard" TargetMode="External" Id="rId16"/><Relationship Type="http://schemas.openxmlformats.org/officeDocument/2006/relationships/hyperlink" Target="https://www.figma.com/design/gH2vQ62cfg4677YKWuOpLc/MoSJE-Portal--Handoff-?node-id=5986-59480" TargetMode="External" Id="rId17"/><Relationship Type="http://schemas.openxmlformats.org/officeDocument/2006/relationships/hyperlink" Target="https://nhapoa-admin-dev.mosje.in/admin/grievances" TargetMode="External" Id="rId18"/><Relationship Type="http://schemas.openxmlformats.org/officeDocument/2006/relationships/hyperlink" Target="https://www.figma.com/design/gH2vQ62cfg4677YKWuOpLc/MoSJE-Portal--Handoff-?node-id=5986-59480" TargetMode="External" Id="rId19"/><Relationship Type="http://schemas.openxmlformats.org/officeDocument/2006/relationships/hyperlink" Target="https://nhapoa-admin-dev.mosje.in/admin/grievances" TargetMode="External" Id="rId20"/><Relationship Type="http://schemas.openxmlformats.org/officeDocument/2006/relationships/hyperlink" Target="https://www.figma.com/design/gH2vQ62cfg4677YKWuOpLc/MoSJE-Portal--Handoff-?node-id=5986-59480" TargetMode="External" Id="rId21"/><Relationship Type="http://schemas.openxmlformats.org/officeDocument/2006/relationships/hyperlink" Target="https://nhapoa-admin-dev.mosje.in/admin/grievances" TargetMode="External" Id="rId22"/><Relationship Type="http://schemas.openxmlformats.org/officeDocument/2006/relationships/hyperlink" Target="https://www.figma.com/design/gH2vQ62cfg4677YKWuOpLc/MoSJE-Portal--Handoff-?node-id=5986-59480" TargetMode="External" Id="rId23"/><Relationship Type="http://schemas.openxmlformats.org/officeDocument/2006/relationships/hyperlink" Target="https://nhapoa-admin-dev.mosje.in/admin/grievances" TargetMode="External" Id="rId24"/><Relationship Type="http://schemas.openxmlformats.org/officeDocument/2006/relationships/hyperlink" Target="https://www.figma.com/design/gH2vQ62cfg4677YKWuOpLc/MoSJE-Portal--Handoff-?node-id=5986-59480" TargetMode="External" Id="rId25"/><Relationship Type="http://schemas.openxmlformats.org/officeDocument/2006/relationships/hyperlink" Target="https://nhapoa-admin-dev.mosje.in/admin/grievances" TargetMode="External" Id="rId26"/><Relationship Type="http://schemas.openxmlformats.org/officeDocument/2006/relationships/hyperlink" Target="https://www.figma.com/design/gH2vQ62cfg4677YKWuOpLc/MoSJE-Portal--Handoff-?node-id=5986-61146" TargetMode="External" Id="rId27"/><Relationship Type="http://schemas.openxmlformats.org/officeDocument/2006/relationships/hyperlink" Target="https://nhapoa-admin-dev.mosje.in/admin/notifications" TargetMode="External" Id="rId28"/><Relationship Type="http://schemas.openxmlformats.org/officeDocument/2006/relationships/hyperlink" Target="https://www.figma.com/design/gH2vQ62cfg4677YKWuOpLc/MoSJE-Portal--Handoff-?node-id=5986-51876" TargetMode="External" Id="rId29"/><Relationship Type="http://schemas.openxmlformats.org/officeDocument/2006/relationships/hyperlink" Target="https://nhapoa-user-dev.mosje.in/" TargetMode="External" Id="rId30"/><Relationship Type="http://schemas.openxmlformats.org/officeDocument/2006/relationships/hyperlink" Target="https://www.figma.com/design/gH2vQ62cfg4677YKWuOpLc/MoSJE-Portal--Handoff-?node-id=5986-51876" TargetMode="External" Id="rId31"/><Relationship Type="http://schemas.openxmlformats.org/officeDocument/2006/relationships/hyperlink" Target="https://nhapoa-user-dev.mosje.in/" TargetMode="External" Id="rId32"/><Relationship Type="http://schemas.openxmlformats.org/officeDocument/2006/relationships/hyperlink" Target="https://www.figma.com/design/gH2vQ62cfg4677YKWuOpLc/MoSJE-Portal--Handoff-?node-id=5986-51876" TargetMode="External" Id="rId33"/><Relationship Type="http://schemas.openxmlformats.org/officeDocument/2006/relationships/hyperlink" Target="https://nhapoa-user-dev.mosje.in/" TargetMode="External" Id="rId34"/><Relationship Type="http://schemas.openxmlformats.org/officeDocument/2006/relationships/hyperlink" Target="https://www.figma.com/design/gH2vQ62cfg4677YKWuOpLc/MoSJE-Portal--Handoff-?node-id=5986-51876" TargetMode="External" Id="rId35"/><Relationship Type="http://schemas.openxmlformats.org/officeDocument/2006/relationships/hyperlink" Target="https://nhapoa-user-dev.mosje.in/" TargetMode="External" Id="rId36"/><Relationship Type="http://schemas.openxmlformats.org/officeDocument/2006/relationships/hyperlink" Target="https://www.figma.com/design/gH2vQ62cfg4677YKWuOpLc/MoSJE-Portal--Handoff-?node-id=5986-51876" TargetMode="External" Id="rId37"/><Relationship Type="http://schemas.openxmlformats.org/officeDocument/2006/relationships/hyperlink" Target="https://nhapoa-user-dev.mosje.in/" TargetMode="External" Id="rId38"/><Relationship Type="http://schemas.openxmlformats.org/officeDocument/2006/relationships/hyperlink" Target="https://www.figma.com/design/gH2vQ62cfg4677YKWuOpLc/MoSJE-Portal--Handoff-?node-id=5986-51959" TargetMode="External" Id="rId39"/><Relationship Type="http://schemas.openxmlformats.org/officeDocument/2006/relationships/hyperlink" Target="https://nhapoa-user-dev.mosje.in/register-grievance" TargetMode="External" Id="rId40"/><Relationship Type="http://schemas.openxmlformats.org/officeDocument/2006/relationships/hyperlink" Target="https://www.figma.com/design/gH2vQ62cfg4677YKWuOpLc/MoSJE-Portal--Handoff-?node-id=5986-51959" TargetMode="External" Id="rId41"/><Relationship Type="http://schemas.openxmlformats.org/officeDocument/2006/relationships/hyperlink" Target="https://nhapoa-user-dev.mosje.in/register-grievance" TargetMode="External" Id="rId42"/><Relationship Type="http://schemas.openxmlformats.org/officeDocument/2006/relationships/hyperlink" Target="https://www.figma.com/design/gH2vQ62cfg4677YKWuOpLc/MoSJE-Portal--Handoff-?node-id=5986-51959" TargetMode="External" Id="rId43"/><Relationship Type="http://schemas.openxmlformats.org/officeDocument/2006/relationships/hyperlink" Target="https://nhapoa-user-dev.mosje.in/register-grievance" TargetMode="External" Id="rId44"/><Relationship Type="http://schemas.openxmlformats.org/officeDocument/2006/relationships/hyperlink" Target="https://www.figma.com/design/gH2vQ62cfg4677YKWuOpLc/MoSJE-Portal--Handoff-?node-id=5986-51959" TargetMode="External" Id="rId45"/><Relationship Type="http://schemas.openxmlformats.org/officeDocument/2006/relationships/hyperlink" Target="https://nhapoa-user-dev.mosje.in/register-grievance" TargetMode="External" Id="rId46"/><Relationship Type="http://schemas.openxmlformats.org/officeDocument/2006/relationships/hyperlink" Target="https://www.figma.com/design/gH2vQ62cfg4677YKWuOpLc/MoSJE-Portal--Handoff-?node-id=5986-51959" TargetMode="External" Id="rId47"/><Relationship Type="http://schemas.openxmlformats.org/officeDocument/2006/relationships/hyperlink" Target="https://nhapoa-user-dev.mosje.in/register-grievance" TargetMode="External" Id="rId48"/><Relationship Type="http://schemas.openxmlformats.org/officeDocument/2006/relationships/hyperlink" Target="https://www.figma.com/design/gH2vQ62cfg4677YKWuOpLc/MoSJE-Portal--Handoff-?node-id=5986-51959" TargetMode="External" Id="rId49"/><Relationship Type="http://schemas.openxmlformats.org/officeDocument/2006/relationships/hyperlink" Target="https://nhapoa-user-dev.mosje.in/register-grievance" TargetMode="External" Id="rId50"/><Relationship Type="http://schemas.openxmlformats.org/officeDocument/2006/relationships/hyperlink" Target="https://www.figma.com/design/gH2vQ62cfg4677YKWuOpLc/MoSJE-Portal--Handoff-?node-id=5986-52133" TargetMode="External" Id="rId51"/><Relationship Type="http://schemas.openxmlformats.org/officeDocument/2006/relationships/hyperlink" Target="https://nhapoa-user-dev.mosje.in/register-grievance" TargetMode="External" Id="rId52"/><Relationship Type="http://schemas.openxmlformats.org/officeDocument/2006/relationships/hyperlink" Target="https://www.figma.com/design/gH2vQ62cfg4677YKWuOpLc/MoSJE-Portal--Handoff-?node-id=5986-52133" TargetMode="External" Id="rId53"/><Relationship Type="http://schemas.openxmlformats.org/officeDocument/2006/relationships/hyperlink" Target="https://nhapoa-user-dev.mosje.in/register-grievance" TargetMode="External" Id="rId54"/><Relationship Type="http://schemas.openxmlformats.org/officeDocument/2006/relationships/hyperlink" Target="https://www.figma.com/design/gH2vQ62cfg4677YKWuOpLc/MoSJE-Portal--Handoff-?node-id=5986-52133" TargetMode="External" Id="rId55"/><Relationship Type="http://schemas.openxmlformats.org/officeDocument/2006/relationships/hyperlink" Target="https://nhapoa-user-dev.mosje.in/register-grievance" TargetMode="External" Id="rId56"/><Relationship Type="http://schemas.openxmlformats.org/officeDocument/2006/relationships/hyperlink" Target="https://www.figma.com/design/gH2vQ62cfg4677YKWuOpLc/MoSJE-Portal--Handoff-?node-id=5986-52231" TargetMode="External" Id="rId57"/><Relationship Type="http://schemas.openxmlformats.org/officeDocument/2006/relationships/hyperlink" Target="https://nhapoa-user-dev.mosje.in/register-grievance" TargetMode="External" Id="rId58"/><Relationship Type="http://schemas.openxmlformats.org/officeDocument/2006/relationships/hyperlink" Target="https://www.figma.com/design/gH2vQ62cfg4677YKWuOpLc/MoSJE-Portal--Handoff-?node-id=5986-52231" TargetMode="External" Id="rId59"/><Relationship Type="http://schemas.openxmlformats.org/officeDocument/2006/relationships/hyperlink" Target="https://nhapoa-user-dev.mosje.in/register-grievance" TargetMode="External" Id="rId60"/><Relationship Type="http://schemas.openxmlformats.org/officeDocument/2006/relationships/hyperlink" Target="https://www.figma.com/design/gH2vQ62cfg4677YKWuOpLc/MoSJE-Portal--Handoff-?node-id=5986-52231" TargetMode="External" Id="rId61"/><Relationship Type="http://schemas.openxmlformats.org/officeDocument/2006/relationships/hyperlink" Target="https://nhapoa-user-dev.mosje.in/register-grievance" TargetMode="External" Id="rId62"/><Relationship Type="http://schemas.openxmlformats.org/officeDocument/2006/relationships/hyperlink" Target="https://www.figma.com/design/gH2vQ62cfg4677YKWuOpLc/MoSJE-Portal--Handoff-?node-id=5986-52298" TargetMode="External" Id="rId63"/><Relationship Type="http://schemas.openxmlformats.org/officeDocument/2006/relationships/hyperlink" Target="https://nhapoa-user-dev.mosje.in/register-grievance" TargetMode="External" Id="rId64"/><Relationship Type="http://schemas.openxmlformats.org/officeDocument/2006/relationships/hyperlink" Target="https://www.figma.com/design/gH2vQ62cfg4677YKWuOpLc/MoSJE-Portal--Handoff-?node-id=5986-52298" TargetMode="External" Id="rId65"/><Relationship Type="http://schemas.openxmlformats.org/officeDocument/2006/relationships/hyperlink" Target="https://nhapoa-user-dev.mosje.in/register-grievance" TargetMode="External" Id="rId66"/><Relationship Type="http://schemas.openxmlformats.org/officeDocument/2006/relationships/hyperlink" Target="https://www.figma.com/design/gH2vQ62cfg4677YKWuOpLc/MoSJE-Portal--Handoff-?node-id=5986-52298" TargetMode="External" Id="rId67"/><Relationship Type="http://schemas.openxmlformats.org/officeDocument/2006/relationships/hyperlink" Target="https://nhapoa-user-dev.mosje.in/register-grievance" TargetMode="External" Id="rId68"/><Relationship Type="http://schemas.openxmlformats.org/officeDocument/2006/relationships/hyperlink" Target="https://www.figma.com/design/gH2vQ62cfg4677YKWuOpLc/MoSJE-Portal--Handoff-?node-id=5986-52429" TargetMode="External" Id="rId69"/><Relationship Type="http://schemas.openxmlformats.org/officeDocument/2006/relationships/hyperlink" Target="https://nhapoa-user-dev.mosje.in/register-grievance" TargetMode="External" Id="rId70"/><Relationship Type="http://schemas.openxmlformats.org/officeDocument/2006/relationships/hyperlink" Target="https://www.figma.com/design/gH2vQ62cfg4677YKWuOpLc/MoSJE-Portal--Handoff-?node-id=5986-52429" TargetMode="External" Id="rId71"/><Relationship Type="http://schemas.openxmlformats.org/officeDocument/2006/relationships/hyperlink" Target="https://nhapoa-user-dev.mosje.in/register-grievance" TargetMode="External" Id="rId72"/><Relationship Type="http://schemas.openxmlformats.org/officeDocument/2006/relationships/hyperlink" Target="https://www.figma.com/design/gH2vQ62cfg4677YKWuOpLc/MoSJE-Portal--Handoff-?node-id=5986-52429" TargetMode="External" Id="rId73"/><Relationship Type="http://schemas.openxmlformats.org/officeDocument/2006/relationships/hyperlink" Target="https://nhapoa-user-dev.mosje.in/register-grievance" TargetMode="External" Id="rId74"/><Relationship Type="http://schemas.openxmlformats.org/officeDocument/2006/relationships/hyperlink" Target="https://www.figma.com/design/gH2vQ62cfg4677YKWuOpLc/MoSJE-Portal--Handoff-?node-id=5986-52830" TargetMode="External" Id="rId75"/><Relationship Type="http://schemas.openxmlformats.org/officeDocument/2006/relationships/hyperlink" Target="https://nhapoa-user-dev.mosje.in/register-grievance" TargetMode="External" Id="rId76"/><Relationship Type="http://schemas.openxmlformats.org/officeDocument/2006/relationships/hyperlink" Target="https://www.figma.com/design/gH2vQ62cfg4677YKWuOpLc/MoSJE-Portal--Handoff-?node-id=5986-52526" TargetMode="External" Id="rId77"/><Relationship Type="http://schemas.openxmlformats.org/officeDocument/2006/relationships/hyperlink" Target="https://nhapoa-user-dev.mosje.in/register-grievance" TargetMode="External" Id="rId78"/><Relationship Type="http://schemas.openxmlformats.org/officeDocument/2006/relationships/hyperlink" Target="https://nhapoa-user-dev.mosje.in/register-rescue" TargetMode="External" Id="rId79"/><Relationship Type="http://schemas.openxmlformats.org/officeDocument/2006/relationships/hyperlink" Target="https://nhapoa-user-dev.mosje.in/register-rescue" TargetMode="External" Id="rId80"/><Relationship Type="http://schemas.openxmlformats.org/officeDocument/2006/relationships/hyperlink" Target="https://nhapoa-user-dev.mosje.in/register-rescue" TargetMode="External" Id="rId81"/><Relationship Type="http://schemas.openxmlformats.org/officeDocument/2006/relationships/hyperlink" Target="https://nhapoa-user-dev.mosje.in/register-rescue" TargetMode="External" Id="rId82"/><Relationship Type="http://schemas.openxmlformats.org/officeDocument/2006/relationships/hyperlink" Target="https://www.figma.com/design/gH2vQ62cfg4677YKWuOpLc/MoSJE-Portal--Handoff-?node-id=5986-53203" TargetMode="External" Id="rId83"/><Relationship Type="http://schemas.openxmlformats.org/officeDocument/2006/relationships/hyperlink" Target="https://nhapoa-user-dev.mosje.in/track-status" TargetMode="External" Id="rId84"/><Relationship Type="http://schemas.openxmlformats.org/officeDocument/2006/relationships/hyperlink" Target="https://www.figma.com/design/gH2vQ62cfg4677YKWuOpLc/MoSJE-Portal--Handoff-?node-id=5986-53203" TargetMode="External" Id="rId85"/><Relationship Type="http://schemas.openxmlformats.org/officeDocument/2006/relationships/hyperlink" Target="https://nhapoa-user-dev.mosje.in/track-status" TargetMode="External" Id="rId86"/><Relationship Type="http://schemas.openxmlformats.org/officeDocument/2006/relationships/hyperlink" Target="https://www.figma.com/design/gH2vQ62cfg4677YKWuOpLc/MoSJE-Portal--Handoff-?node-id=5986-53203" TargetMode="External" Id="rId87"/><Relationship Type="http://schemas.openxmlformats.org/officeDocument/2006/relationships/hyperlink" Target="https://nhapoa-user-dev.mosje.in/track-status" TargetMode="External" Id="rId88"/><Relationship Type="http://schemas.openxmlformats.org/officeDocument/2006/relationships/hyperlink" Target="https://www.figma.com/design/gH2vQ62cfg4677YKWuOpLc/MoSJE-Portal--Handoff-?node-id=5986-53285" TargetMode="External" Id="rId89"/><Relationship Type="http://schemas.openxmlformats.org/officeDocument/2006/relationships/hyperlink" Target="https://nhapoa-user-dev.mosje.in/track-status" TargetMode="External" Id="rId90"/><Relationship Type="http://schemas.openxmlformats.org/officeDocument/2006/relationships/hyperlink" Target="https://www.figma.com/design/gH2vQ62cfg4677YKWuOpLc/MoSJE-Portal--Handoff-?node-id=5986-53285" TargetMode="External" Id="rId91"/><Relationship Type="http://schemas.openxmlformats.org/officeDocument/2006/relationships/hyperlink" Target="https://nhapoa-user-dev.mosje.in/track-status" TargetMode="External" Id="rId92"/><Relationship Type="http://schemas.openxmlformats.org/officeDocument/2006/relationships/hyperlink" Target="https://www.figma.com/design/gH2vQ62cfg4677YKWuOpLc/MoSJE-Portal--Handoff-?node-id=5986-53669" TargetMode="External" Id="rId93"/><Relationship Type="http://schemas.openxmlformats.org/officeDocument/2006/relationships/hyperlink" Target="https://nhapoa-user-dev.mosje.in/help-faqs" TargetMode="External" Id="rId94"/><Relationship Type="http://schemas.openxmlformats.org/officeDocument/2006/relationships/hyperlink" Target="https://www.figma.com/design/gH2vQ62cfg4677YKWuOpLc/MoSJE-Portal--Handoff-?node-id=5986-53669" TargetMode="External" Id="rId95"/><Relationship Type="http://schemas.openxmlformats.org/officeDocument/2006/relationships/hyperlink" Target="https://nhapoa-user-dev.mosje.in/help-faqs" TargetMode="External" Id="rId96"/><Relationship Type="http://schemas.openxmlformats.org/officeDocument/2006/relationships/hyperlink" Target="https://nhapoa-user-dev.mosje.in/register-rescue" TargetMode="External" Id="rId97"/><Relationship Type="http://schemas.openxmlformats.org/officeDocument/2006/relationships/hyperlink" Target="https://nhapoa-user-dev.mosje.in/register-rescue" TargetMode="External" Id="rId98"/><Relationship Type="http://schemas.openxmlformats.org/officeDocument/2006/relationships/hyperlink" Target="https://nhapoa-user-dev.mosje.in/register-rescue" TargetMode="External" Id="rId99"/><Relationship Type="http://schemas.openxmlformats.org/officeDocument/2006/relationships/hyperlink" Target="https://nhapoa-user-dev.mosje.in/register-rescue" TargetMode="External" Id="rId100"/><Relationship Type="http://schemas.openxmlformats.org/officeDocument/2006/relationships/hyperlink" Target="https://nhapoa-user-dev.mosje.in/track-status" TargetMode="External" Id="rId101"/><Relationship Type="http://schemas.openxmlformats.org/officeDocument/2006/relationships/hyperlink" Target="https://nhapoa-user-dev.mosje.in/track-status" TargetMode="External" Id="rId102"/><Relationship Type="http://schemas.openxmlformats.org/officeDocument/2006/relationships/hyperlink" Target="https://nhapoa-user-dev.mosje.in/track-status" TargetMode="External" Id="rId103"/><Relationship Type="http://schemas.openxmlformats.org/officeDocument/2006/relationships/hyperlink" Target="https://www.figma.com/design/gH2vQ62cfg4677YKWuOpLc/MoSJE-Portal--Handoff-?node-id=10434-159436" TargetMode="External" Id="rId104"/><Relationship Type="http://schemas.openxmlformats.org/officeDocument/2006/relationships/hyperlink" Target="https://nhapoa-admin-dev.mosje.in/login" TargetMode="External" Id="rId105"/><Relationship Type="http://schemas.openxmlformats.org/officeDocument/2006/relationships/hyperlink" Target="https://www.figma.com/design/gH2vQ62cfg4677YKWuOpLc/MoSJE-Portal--Handoff-?node-id=10434-159436" TargetMode="External" Id="rId106"/><Relationship Type="http://schemas.openxmlformats.org/officeDocument/2006/relationships/hyperlink" Target="https://nhapoa-admin-dev.mosje.in/login" TargetMode="External" Id="rId107"/><Relationship Type="http://schemas.openxmlformats.org/officeDocument/2006/relationships/hyperlink" Target="https://www.figma.com/design/gH2vQ62cfg4677YKWuOpLc/MoSJE-Portal--Handoff-?node-id=10434-159436" TargetMode="External" Id="rId108"/><Relationship Type="http://schemas.openxmlformats.org/officeDocument/2006/relationships/hyperlink" Target="https://nhapoa-admin-dev.mosje.in/login" TargetMode="External" Id="rId109"/><Relationship Type="http://schemas.openxmlformats.org/officeDocument/2006/relationships/hyperlink" Target="https://www.figma.com/design/gH2vQ62cfg4677YKWuOpLc/MoSJE-Portal--Handoff-?node-id=10434-159436" TargetMode="External" Id="rId110"/><Relationship Type="http://schemas.openxmlformats.org/officeDocument/2006/relationships/hyperlink" Target="https://nhapoa-admin-dev.mosje.in/login" TargetMode="External" Id="rId111"/><Relationship Type="http://schemas.openxmlformats.org/officeDocument/2006/relationships/hyperlink" Target="https://www.figma.com/design/gH2vQ62cfg4677YKWuOpLc/MoSJE-Portal--Handoff-?node-id=10434-159436" TargetMode="External" Id="rId112"/><Relationship Type="http://schemas.openxmlformats.org/officeDocument/2006/relationships/hyperlink" Target="https://nhapoa-admin-dev.mosje.in/login" TargetMode="External" Id="rId113"/><Relationship Type="http://schemas.openxmlformats.org/officeDocument/2006/relationships/hyperlink" Target="https://www.figma.com/design/gH2vQ62cfg4677YKWuOpLc/MoSJE-Portal--Handoff-?node-id=10434-159436" TargetMode="External" Id="rId114"/><Relationship Type="http://schemas.openxmlformats.org/officeDocument/2006/relationships/hyperlink" Target="https://nhapoa-admin-dev.mosje.in/login" TargetMode="External" Id="rId115"/><Relationship Type="http://schemas.openxmlformats.org/officeDocument/2006/relationships/hyperlink" Target="https://www.figma.com/design/gH2vQ62cfg4677YKWuOpLc/MoSJE-Portal--Handoff-?node-id=10434-159687" TargetMode="External" Id="rId116"/><Relationship Type="http://schemas.openxmlformats.org/officeDocument/2006/relationships/hyperlink" Target="https://nhapoa-admin-dev.mosje.in/login" TargetMode="External" Id="rId117"/><Relationship Type="http://schemas.openxmlformats.org/officeDocument/2006/relationships/hyperlink" Target="https://www.figma.com/design/gH2vQ62cfg4677YKWuOpLc/MoSJE-Portal--Handoff-?node-id=10434-159687" TargetMode="External" Id="rId118"/><Relationship Type="http://schemas.openxmlformats.org/officeDocument/2006/relationships/hyperlink" Target="https://nhapoa-admin-dev.mosje.in/login" TargetMode="External" Id="rId119"/><Relationship Type="http://schemas.openxmlformats.org/officeDocument/2006/relationships/hyperlink" Target="https://www.figma.com/design/gH2vQ62cfg4677YKWuOpLc/MoSJE-Portal--Handoff-?node-id=5986-59480" TargetMode="External" Id="rId120"/><Relationship Type="http://schemas.openxmlformats.org/officeDocument/2006/relationships/hyperlink" Target="https://nhapoa-admin-dev.mosje.in/admin/grievances" TargetMode="External" Id="rId121"/><Relationship Type="http://schemas.openxmlformats.org/officeDocument/2006/relationships/hyperlink" Target="https://www.figma.com/design/gH2vQ62cfg4677YKWuOpLc/MoSJE-Portal--Handoff-?node-id=5986-59480" TargetMode="External" Id="rId122"/><Relationship Type="http://schemas.openxmlformats.org/officeDocument/2006/relationships/hyperlink" Target="https://nhapoa-admin-dev.mosje.in/admin/grievances" TargetMode="External" Id="rId123"/><Relationship Type="http://schemas.openxmlformats.org/officeDocument/2006/relationships/hyperlink" Target="https://www.figma.com/design/gH2vQ62cfg4677YKWuOpLc/MoSJE-Portal--Handoff-?node-id=5986-61256" TargetMode="External" Id="rId124"/><Relationship Type="http://schemas.openxmlformats.org/officeDocument/2006/relationships/hyperlink" Target="https://nhapoa-admin-dev.mosje.in/admin/users" TargetMode="External" Id="rId125"/><Relationship Type="http://schemas.openxmlformats.org/officeDocument/2006/relationships/hyperlink" Target="https://www.figma.com/design/gH2vQ62cfg4677YKWuOpLc/MoSJE-Portal--Handoff-?node-id=5986-61256" TargetMode="External" Id="rId126"/><Relationship Type="http://schemas.openxmlformats.org/officeDocument/2006/relationships/hyperlink" Target="https://nhapoa-admin-dev.mosje.in/admin/users" TargetMode="External" Id="rId127"/><Relationship Type="http://schemas.openxmlformats.org/officeDocument/2006/relationships/hyperlink" Target="https://www.figma.com/design/gH2vQ62cfg4677YKWuOpLc/MoSJE-Portal--Handoff-?node-id=5986-60823" TargetMode="External" Id="rId128"/><Relationship Type="http://schemas.openxmlformats.org/officeDocument/2006/relationships/hyperlink" Target="https://nhapoa-admin-dev.mosje.in/admin/roles" TargetMode="External" Id="rId129"/><Relationship Type="http://schemas.openxmlformats.org/officeDocument/2006/relationships/hyperlink" Target="https://www.figma.com/design/gH2vQ62cfg4677YKWuOpLc/MoSJE-Portal--Handoff-?node-id=5986-60823" TargetMode="External" Id="rId130"/><Relationship Type="http://schemas.openxmlformats.org/officeDocument/2006/relationships/hyperlink" Target="https://nhapoa-admin-dev.mosje.in/admin/roles" TargetMode="External" Id="rId131"/><Relationship Type="http://schemas.openxmlformats.org/officeDocument/2006/relationships/hyperlink" Target="https://www.figma.com/design/gH2vQ62cfg4677YKWuOpLc/MoSJE-Portal--Handoff-?node-id=5986-60823" TargetMode="External" Id="rId132"/><Relationship Type="http://schemas.openxmlformats.org/officeDocument/2006/relationships/hyperlink" Target="https://nhapoa-admin-dev.mosje.in/admin/roles" TargetMode="External" Id="rId133"/><Relationship Type="http://schemas.openxmlformats.org/officeDocument/2006/relationships/hyperlink" Target="https://www.figma.com/design/gH2vQ62cfg4677YKWuOpLc/MoSJE-Portal--Handoff-?node-id=5986-60823" TargetMode="External" Id="rId134"/><Relationship Type="http://schemas.openxmlformats.org/officeDocument/2006/relationships/hyperlink" Target="https://nhapoa-admin-dev.mosje.in/admin/roles" TargetMode="External" Id="rId135"/><Relationship Type="http://schemas.openxmlformats.org/officeDocument/2006/relationships/hyperlink" Target="https://www.figma.com/design/gH2vQ62cfg4677YKWuOpLc/MoSJE-Portal--Handoff-?node-id=5986-60711" TargetMode="External" Id="rId136"/><Relationship Type="http://schemas.openxmlformats.org/officeDocument/2006/relationships/hyperlink" Target="https://nhapoa-admin-dev.mosje.in/admin/reports" TargetMode="External" Id="rId137"/><Relationship Type="http://schemas.openxmlformats.org/officeDocument/2006/relationships/hyperlink" Target="https://www.figma.com/design/gH2vQ62cfg4677YKWuOpLc/MoSJE-Portal--Handoff-?node-id=5986-60711" TargetMode="External" Id="rId138"/><Relationship Type="http://schemas.openxmlformats.org/officeDocument/2006/relationships/hyperlink" Target="https://nhapoa-admin-dev.mosje.in/admin/reports" TargetMode="External" Id="rId139"/><Relationship Type="http://schemas.openxmlformats.org/officeDocument/2006/relationships/hyperlink" Target="https://www.figma.com/design/gH2vQ62cfg4677YKWuOpLc/MoSJE-Portal--Handoff-?node-id=5986-60711" TargetMode="External" Id="rId140"/><Relationship Type="http://schemas.openxmlformats.org/officeDocument/2006/relationships/hyperlink" Target="https://nhapoa-admin-dev.mosje.in/admin/reports" TargetMode="External" Id="rId141"/><Relationship Type="http://schemas.openxmlformats.org/officeDocument/2006/relationships/hyperlink" Target="https://www.figma.com/design/gH2vQ62cfg4677YKWuOpLc/MoSJE-Portal--Handoff-?node-id=5986-60711" TargetMode="External" Id="rId142"/><Relationship Type="http://schemas.openxmlformats.org/officeDocument/2006/relationships/hyperlink" Target="https://nhapoa-admin-dev.mosje.in/admin/reports" TargetMode="External" Id="rId143"/><Relationship Type="http://schemas.openxmlformats.org/officeDocument/2006/relationships/hyperlink" Target="https://www.figma.com/design/gH2vQ62cfg4677YKWuOpLc/MoSJE-Portal--Handoff-?node-id=5986-61146" TargetMode="External" Id="rId144"/><Relationship Type="http://schemas.openxmlformats.org/officeDocument/2006/relationships/hyperlink" Target="https://nhapoa-admin-dev.mosje.in/admin/notifications" TargetMode="External" Id="rId145"/><Relationship Type="http://schemas.openxmlformats.org/officeDocument/2006/relationships/hyperlink" Target="https://www.figma.com/design/gH2vQ62cfg4677YKWuOpLc/MoSJE-Portal--Handoff-?node-id=5986-59234" TargetMode="External" Id="rId146"/><Relationship Type="http://schemas.openxmlformats.org/officeDocument/2006/relationships/hyperlink" Target="https://nhapoa-admin-dev.mosje.in/admin/dashboard" TargetMode="External" Id="rId147"/><Relationship Type="http://schemas.openxmlformats.org/officeDocument/2006/relationships/hyperlink" Target="https://www.figma.com/design/gH2vQ62cfg4677YKWuOpLc/MoSJE-Portal--Handoff-?node-id=5986-59234" TargetMode="External" Id="rId148"/><Relationship Type="http://schemas.openxmlformats.org/officeDocument/2006/relationships/hyperlink" Target="https://nhapoa-admin-dev.mosje.in/admin/dashboard" TargetMode="External" Id="rId149"/><Relationship Type="http://schemas.openxmlformats.org/officeDocument/2006/relationships/hyperlink" Target="https://www.figma.com/design/gH2vQ62cfg4677YKWuOpLc/MoSJE-Portal--Handoff-?node-id=5986-59234" TargetMode="External" Id="rId150"/><Relationship Type="http://schemas.openxmlformats.org/officeDocument/2006/relationships/hyperlink" Target="https://nhapoa-admin-dev.mosje.in/admin/dashboard" TargetMode="External" Id="rId151"/><Relationship Type="http://schemas.openxmlformats.org/officeDocument/2006/relationships/hyperlink" Target="https://www.figma.com/design/gH2vQ62cfg4677YKWuOpLc/MoSJE-Portal--Handoff-?node-id=5986-59234" TargetMode="External" Id="rId152"/><Relationship Type="http://schemas.openxmlformats.org/officeDocument/2006/relationships/hyperlink" Target="https://nhapoa-admin-dev.mosje.in/admin/dashboard" TargetMode="External" Id="rId153"/><Relationship Type="http://schemas.openxmlformats.org/officeDocument/2006/relationships/hyperlink" Target="https://www.figma.com/design/gH2vQ62cfg4677YKWuOpLc/MoSJE-Portal--Handoff-?node-id=5986-59234" TargetMode="External" Id="rId154"/><Relationship Type="http://schemas.openxmlformats.org/officeDocument/2006/relationships/hyperlink" Target="https://nhapoa-admin-dev.mosje.in/admin/dashboard" TargetMode="External" Id="rId155"/><Relationship Type="http://schemas.openxmlformats.org/officeDocument/2006/relationships/hyperlink" Target="https://www.figma.com/design/gH2vQ62cfg4677YKWuOpLc/MoSJE-Portal--Handoff-?node-id=5986-59234" TargetMode="External" Id="rId156"/><Relationship Type="http://schemas.openxmlformats.org/officeDocument/2006/relationships/hyperlink" Target="https://nhapoa-admin-dev.mosje.in/admin/dashboard" TargetMode="External" Id="rId157"/><Relationship Type="http://schemas.openxmlformats.org/officeDocument/2006/relationships/hyperlink" Target="https://www.figma.com/design/gH2vQ62cfg4677YKWuOpLc/MoSJE-Portal--Handoff-?node-id=5986-59234" TargetMode="External" Id="rId158"/><Relationship Type="http://schemas.openxmlformats.org/officeDocument/2006/relationships/hyperlink" Target="https://nhapoa-admin-dev.mosje.in/admin/dashboard" TargetMode="External" Id="rId159"/><Relationship Type="http://schemas.openxmlformats.org/officeDocument/2006/relationships/hyperlink" Target="https://www.figma.com/design/gH2vQ62cfg4677YKWuOpLc/MoSJE-Portal--Handoff-?node-id=5986-59826" TargetMode="External" Id="rId160"/><Relationship Type="http://schemas.openxmlformats.org/officeDocument/2006/relationships/hyperlink" Target="https://nhapoa-admin-dev.mosje.in/admin/sla-monitor" TargetMode="External" Id="rId161"/><Relationship Type="http://schemas.openxmlformats.org/officeDocument/2006/relationships/hyperlink" Target="https://www.figma.com/design/gH2vQ62cfg4677YKWuOpLc/MoSJE-Portal--Handoff-?node-id=5986-59826" TargetMode="External" Id="rId162"/><Relationship Type="http://schemas.openxmlformats.org/officeDocument/2006/relationships/hyperlink" Target="https://nhapoa-admin-dev.mosje.in/admin/sla-monitor" TargetMode="External" Id="rId163"/><Relationship Type="http://schemas.openxmlformats.org/officeDocument/2006/relationships/hyperlink" Target="https://www.figma.com/design/gH2vQ62cfg4677YKWuOpLc/MoSJE-Portal--Handoff-?node-id=5986-59826" TargetMode="External" Id="rId164"/><Relationship Type="http://schemas.openxmlformats.org/officeDocument/2006/relationships/hyperlink" Target="https://nhapoa-admin-dev.mosje.in/admin/sla-monitor" TargetMode="External" Id="rId165"/><Relationship Type="http://schemas.openxmlformats.org/officeDocument/2006/relationships/hyperlink" Target="https://www.figma.com/design/gH2vQ62cfg4677YKWuOpLc/MoSJE-Portal--Handoff-?node-id=5986-59826" TargetMode="External" Id="rId166"/><Relationship Type="http://schemas.openxmlformats.org/officeDocument/2006/relationships/hyperlink" Target="https://nhapoa-admin-dev.mosje.in/admin/sla-monitor" TargetMode="External" Id="rId167"/><Relationship Type="http://schemas.openxmlformats.org/officeDocument/2006/relationships/hyperlink" Target="https://www.figma.com/design/gH2vQ62cfg4677YKWuOpLc/MoSJE-Portal--Handoff-?node-id=5986-59826" TargetMode="External" Id="rId168"/><Relationship Type="http://schemas.openxmlformats.org/officeDocument/2006/relationships/hyperlink" Target="https://nhapoa-admin-dev.mosje.in/admin/sla-monitor" TargetMode="External" Id="rId169"/><Relationship Type="http://schemas.openxmlformats.org/officeDocument/2006/relationships/hyperlink" Target="https://www.figma.com/design/gH2vQ62cfg4677YKWuOpLc/MoSJE-Portal--Handoff-?node-id=5986-59826" TargetMode="External" Id="rId170"/><Relationship Type="http://schemas.openxmlformats.org/officeDocument/2006/relationships/hyperlink" Target="https://nhapoa-admin-dev.mosje.in/admin/sla-monitor" TargetMode="External" Id="rId171"/><Relationship Type="http://schemas.openxmlformats.org/officeDocument/2006/relationships/hyperlink" Target="https://www.figma.com/design/gH2vQ62cfg4677YKWuOpLc/MoSJE-Portal--Handoff-?node-id=5986-60012" TargetMode="External" Id="rId172"/><Relationship Type="http://schemas.openxmlformats.org/officeDocument/2006/relationships/hyperlink" Target="https://nhapoa-admin-dev.mosje.in/admin/officer-performance" TargetMode="External" Id="rId173"/><Relationship Type="http://schemas.openxmlformats.org/officeDocument/2006/relationships/hyperlink" Target="https://www.figma.com/design/gH2vQ62cfg4677YKWuOpLc/MoSJE-Portal--Handoff-?node-id=5986-60012" TargetMode="External" Id="rId174"/><Relationship Type="http://schemas.openxmlformats.org/officeDocument/2006/relationships/hyperlink" Target="https://nhapoa-admin-dev.mosje.in/admin/officer-performance" TargetMode="External" Id="rId175"/><Relationship Type="http://schemas.openxmlformats.org/officeDocument/2006/relationships/hyperlink" Target="https://www.figma.com/design/gH2vQ62cfg4677YKWuOpLc/MoSJE-Portal--Handoff-?node-id=5986-60319" TargetMode="External" Id="rId176"/><Relationship Type="http://schemas.openxmlformats.org/officeDocument/2006/relationships/hyperlink" Target="https://nhapoa-admin-dev.mosje.in/admin/analytics" TargetMode="External" Id="rId177"/><Relationship Type="http://schemas.openxmlformats.org/officeDocument/2006/relationships/hyperlink" Target="https://www.figma.com/design/gH2vQ62cfg4677YKWuOpLc/MoSJE-Portal--Handoff-?node-id=5986-60319" TargetMode="External" Id="rId178"/><Relationship Type="http://schemas.openxmlformats.org/officeDocument/2006/relationships/hyperlink" Target="https://nhapoa-admin-dev.mosje.in/admin/analytics" TargetMode="External" Id="rId179"/><Relationship Type="http://schemas.openxmlformats.org/officeDocument/2006/relationships/hyperlink" Target="https://www.figma.com/design/gH2vQ62cfg4677YKWuOpLc/MoSJE-Portal--Handoff-?node-id=5986-60490" TargetMode="External" Id="rId180"/><Relationship Type="http://schemas.openxmlformats.org/officeDocument/2006/relationships/hyperlink" Target="https://nhapoa-admin-dev.mosje.in/admin/geographic" TargetMode="External" Id="rId181"/><Relationship Type="http://schemas.openxmlformats.org/officeDocument/2006/relationships/hyperlink" Target="https://www.figma.com/design/gH2vQ62cfg4677YKWuOpLc/MoSJE-Portal--Handoff-?node-id=5986-60490" TargetMode="External" Id="rId182"/><Relationship Type="http://schemas.openxmlformats.org/officeDocument/2006/relationships/hyperlink" Target="https://nhapoa-admin-dev.mosje.in/admin/geographic" TargetMode="External" Id="rId183"/><Relationship Type="http://schemas.openxmlformats.org/officeDocument/2006/relationships/hyperlink" Target="https://nhapoa-admin-dev.mosje.in/admin/categories" TargetMode="External" Id="rId184"/><Relationship Type="http://schemas.openxmlformats.org/officeDocument/2006/relationships/hyperlink" Target="https://nhapoa-admin-dev.mosje.in/admin/feedbacks" TargetMode="External" Id="rId185"/><Relationship Type="http://schemas.openxmlformats.org/officeDocument/2006/relationships/hyperlink" Target="https://nhapoa-admin-dev.mosje.in/admin/feedbacks" TargetMode="External" Id="rId186"/><Relationship Type="http://schemas.openxmlformats.org/officeDocument/2006/relationships/hyperlink" Target="https://www.figma.com/design/gH2vQ62cfg4677YKWuOpLc/MoSJE-Portal--Handoff-?node-id=5986-53726" TargetMode="External" Id="rId187"/><Relationship Type="http://schemas.openxmlformats.org/officeDocument/2006/relationships/hyperlink" Target="https://nhapoa-admin-dev.mosje.in/district-officer/dashboard" TargetMode="External" Id="rId188"/><Relationship Type="http://schemas.openxmlformats.org/officeDocument/2006/relationships/hyperlink" Target="https://www.figma.com/design/gH2vQ62cfg4677YKWuOpLc/MoSJE-Portal--Handoff-?node-id=5986-53726" TargetMode="External" Id="rId189"/><Relationship Type="http://schemas.openxmlformats.org/officeDocument/2006/relationships/hyperlink" Target="https://nhapoa-admin-dev.mosje.in/district-officer/dashboard" TargetMode="External" Id="rId190"/><Relationship Type="http://schemas.openxmlformats.org/officeDocument/2006/relationships/hyperlink" Target="https://www.figma.com/design/gH2vQ62cfg4677YKWuOpLc/MoSJE-Portal--Handoff-?node-id=5986-53726" TargetMode="External" Id="rId191"/><Relationship Type="http://schemas.openxmlformats.org/officeDocument/2006/relationships/hyperlink" Target="https://nhapoa-admin-dev.mosje.in/district-officer/dashboard" TargetMode="External" Id="rId192"/><Relationship Type="http://schemas.openxmlformats.org/officeDocument/2006/relationships/hyperlink" Target="https://www.figma.com/design/gH2vQ62cfg4677YKWuOpLc/MoSJE-Portal--Handoff-?node-id=5986-53726" TargetMode="External" Id="rId193"/><Relationship Type="http://schemas.openxmlformats.org/officeDocument/2006/relationships/hyperlink" Target="https://nhapoa-admin-dev.mosje.in/district-officer/dashboard" TargetMode="External" Id="rId194"/><Relationship Type="http://schemas.openxmlformats.org/officeDocument/2006/relationships/hyperlink" Target="https://www.figma.com/design/gH2vQ62cfg4677YKWuOpLc/MoSJE-Portal--Handoff-?node-id=5986-53857" TargetMode="External" Id="rId195"/><Relationship Type="http://schemas.openxmlformats.org/officeDocument/2006/relationships/hyperlink" Target="https://nhapoa-admin-dev.mosje.in/district-officer/cases" TargetMode="External" Id="rId196"/><Relationship Type="http://schemas.openxmlformats.org/officeDocument/2006/relationships/hyperlink" Target="https://www.figma.com/design/gH2vQ62cfg4677YKWuOpLc/MoSJE-Portal--Handoff-?node-id=5986-53857" TargetMode="External" Id="rId197"/><Relationship Type="http://schemas.openxmlformats.org/officeDocument/2006/relationships/hyperlink" Target="https://nhapoa-admin-dev.mosje.in/district-officer/cases" TargetMode="External" Id="rId198"/><Relationship Type="http://schemas.openxmlformats.org/officeDocument/2006/relationships/hyperlink" Target="https://www.figma.com/design/gH2vQ62cfg4677YKWuOpLc/MoSJE-Portal--Handoff-?node-id=5986-53857" TargetMode="External" Id="rId199"/><Relationship Type="http://schemas.openxmlformats.org/officeDocument/2006/relationships/hyperlink" Target="https://nhapoa-admin-dev.mosje.in/district-officer/cases" TargetMode="External" Id="rId200"/><Relationship Type="http://schemas.openxmlformats.org/officeDocument/2006/relationships/hyperlink" Target="https://www.figma.com/design/gH2vQ62cfg4677YKWuOpLc/MoSJE-Portal--Handoff-?node-id=5986-53857" TargetMode="External" Id="rId201"/><Relationship Type="http://schemas.openxmlformats.org/officeDocument/2006/relationships/hyperlink" Target="https://nhapoa-admin-dev.mosje.in/district-officer/cases" TargetMode="External" Id="rId202"/><Relationship Type="http://schemas.openxmlformats.org/officeDocument/2006/relationships/hyperlink" Target="https://www.figma.com/design/gH2vQ62cfg4677YKWuOpLc/MoSJE-Portal--Handoff-?node-id=5986-55831" TargetMode="External" Id="rId203"/><Relationship Type="http://schemas.openxmlformats.org/officeDocument/2006/relationships/hyperlink" Target="https://nhapoa-admin-dev.mosje.in/district-officer/investigation" TargetMode="External" Id="rId204"/><Relationship Type="http://schemas.openxmlformats.org/officeDocument/2006/relationships/hyperlink" Target="https://www.figma.com/design/gH2vQ62cfg4677YKWuOpLc/MoSJE-Portal--Handoff-?node-id=5986-55911" TargetMode="External" Id="rId205"/><Relationship Type="http://schemas.openxmlformats.org/officeDocument/2006/relationships/hyperlink" Target="https://nhapoa-admin-dev.mosje.in/district-officer/reports" TargetMode="External" Id="rId206"/><Relationship Type="http://schemas.openxmlformats.org/officeDocument/2006/relationships/hyperlink" Target="https://www.figma.com/design/gH2vQ62cfg4677YKWuOpLc/MoSJE-Portal--Handoff-?node-id=5986-56262" TargetMode="External" Id="rId207"/><Relationship Type="http://schemas.openxmlformats.org/officeDocument/2006/relationships/hyperlink" Target="https://nhapoa-admin-dev.mosje.in/state-authority/dashboard" TargetMode="External" Id="rId208"/><Relationship Type="http://schemas.openxmlformats.org/officeDocument/2006/relationships/hyperlink" Target="https://www.figma.com/design/gH2vQ62cfg4677YKWuOpLc/MoSJE-Portal--Handoff-?node-id=5986-56262" TargetMode="External" Id="rId209"/><Relationship Type="http://schemas.openxmlformats.org/officeDocument/2006/relationships/hyperlink" Target="https://nhapoa-admin-dev.mosje.in/state-authority/dashboard" TargetMode="External" Id="rId210"/><Relationship Type="http://schemas.openxmlformats.org/officeDocument/2006/relationships/hyperlink" Target="https://www.figma.com/design/gH2vQ62cfg4677YKWuOpLc/MoSJE-Portal--Handoff-?node-id=5986-56262" TargetMode="External" Id="rId211"/><Relationship Type="http://schemas.openxmlformats.org/officeDocument/2006/relationships/hyperlink" Target="https://nhapoa-admin-dev.mosje.in/state-authority/dashboard" TargetMode="External" Id="rId212"/><Relationship Type="http://schemas.openxmlformats.org/officeDocument/2006/relationships/hyperlink" Target="https://www.figma.com/design/gH2vQ62cfg4677YKWuOpLc/MoSJE-Portal--Handoff-?node-id=5986-56392" TargetMode="External" Id="rId213"/><Relationship Type="http://schemas.openxmlformats.org/officeDocument/2006/relationships/hyperlink" Target="https://nhapoa-admin-dev.mosje.in/state-authority/pending-approvals" TargetMode="External" Id="rId214"/><Relationship Type="http://schemas.openxmlformats.org/officeDocument/2006/relationships/hyperlink" Target="https://www.figma.com/design/gH2vQ62cfg4677YKWuOpLc/MoSJE-Portal--Handoff-?node-id=5986-56392" TargetMode="External" Id="rId215"/><Relationship Type="http://schemas.openxmlformats.org/officeDocument/2006/relationships/hyperlink" Target="https://nhapoa-admin-dev.mosje.in/state-authority/pending-approvals" TargetMode="External" Id="rId216"/><Relationship Type="http://schemas.openxmlformats.org/officeDocument/2006/relationships/hyperlink" Target="https://www.figma.com/design/gH2vQ62cfg4677YKWuOpLc/MoSJE-Portal--Handoff-?node-id=5986-56392" TargetMode="External" Id="rId217"/><Relationship Type="http://schemas.openxmlformats.org/officeDocument/2006/relationships/hyperlink" Target="https://nhapoa-admin-dev.mosje.in/state-authority/pending-approvals" TargetMode="External" Id="rId218"/><Relationship Type="http://schemas.openxmlformats.org/officeDocument/2006/relationships/hyperlink" Target="https://www.figma.com/design/gH2vQ62cfg4677YKWuOpLc/MoSJE-Portal--Handoff-?node-id=5986-57102" TargetMode="External" Id="rId219"/><Relationship Type="http://schemas.openxmlformats.org/officeDocument/2006/relationships/hyperlink" Target="https://nhapoa-admin-dev.mosje.in/state-authority/approved-cases" TargetMode="External" Id="rId220"/><Relationship Type="http://schemas.openxmlformats.org/officeDocument/2006/relationships/hyperlink" Target="https://www.figma.com/design/gH2vQ62cfg4677YKWuOpLc/MoSJE-Portal--Handoff-?node-id=5986-57396" TargetMode="External" Id="rId221"/><Relationship Type="http://schemas.openxmlformats.org/officeDocument/2006/relationships/hyperlink" Target="https://nhapoa-admin-dev.mosje.in/state-authority/sent-back" TargetMode="External" Id="rId222"/><Relationship Type="http://schemas.openxmlformats.org/officeDocument/2006/relationships/hyperlink" Target="https://www.figma.com/design/gH2vQ62cfg4677YKWuOpLc/MoSJE-Portal--Handoff-?node-id=5986-57731" TargetMode="External" Id="rId223"/><Relationship Type="http://schemas.openxmlformats.org/officeDocument/2006/relationships/hyperlink" Target="https://nhapoa-admin-dev.mosje.in/state-authority/reports" TargetMode="External" Id="rId224"/><Relationship Type="http://schemas.openxmlformats.org/officeDocument/2006/relationships/hyperlink" Target="https://www.figma.com/design/gH2vQ62cfg4677YKWuOpLc/MoSJE-Portal--Handoff-?node-id=5986-58064" TargetMode="External" Id="rId225"/><Relationship Type="http://schemas.openxmlformats.org/officeDocument/2006/relationships/hyperlink" Target="https://nhapoa-admin-dev.mosje.in/finance-officer/dashboard" TargetMode="External" Id="rId226"/><Relationship Type="http://schemas.openxmlformats.org/officeDocument/2006/relationships/hyperlink" Target="https://www.figma.com/design/gH2vQ62cfg4677YKWuOpLc/MoSJE-Portal--Handoff-?node-id=5986-58064" TargetMode="External" Id="rId227"/><Relationship Type="http://schemas.openxmlformats.org/officeDocument/2006/relationships/hyperlink" Target="https://nhapoa-admin-dev.mosje.in/finance-officer/dashboard" TargetMode="External" Id="rId228"/><Relationship Type="http://schemas.openxmlformats.org/officeDocument/2006/relationships/hyperlink" Target="https://www.figma.com/design/gH2vQ62cfg4677YKWuOpLc/MoSJE-Portal--Handoff-?node-id=5986-58179" TargetMode="External" Id="rId229"/><Relationship Type="http://schemas.openxmlformats.org/officeDocument/2006/relationships/hyperlink" Target="https://nhapoa-admin-dev.mosje.in/finance-officer/queue" TargetMode="External" Id="rId230"/><Relationship Type="http://schemas.openxmlformats.org/officeDocument/2006/relationships/hyperlink" Target="https://www.figma.com/design/gH2vQ62cfg4677YKWuOpLc/MoSJE-Portal--Handoff-?node-id=5986-58179" TargetMode="External" Id="rId231"/><Relationship Type="http://schemas.openxmlformats.org/officeDocument/2006/relationships/hyperlink" Target="https://nhapoa-admin-dev.mosje.in/finance-officer/queue" TargetMode="External" Id="rId232"/><Relationship Type="http://schemas.openxmlformats.org/officeDocument/2006/relationships/hyperlink" Target="https://www.figma.com/design/gH2vQ62cfg4677YKWuOpLc/MoSJE-Portal--Handoff-?node-id=5986-58179" TargetMode="External" Id="rId233"/><Relationship Type="http://schemas.openxmlformats.org/officeDocument/2006/relationships/hyperlink" Target="https://nhapoa-admin-dev.mosje.in/finance-officer/queue" TargetMode="External" Id="rId234"/><Relationship Type="http://schemas.openxmlformats.org/officeDocument/2006/relationships/hyperlink" Target="https://www.figma.com/design/gH2vQ62cfg4677YKWuOpLc/MoSJE-Portal--Handoff-?node-id=5986-58179" TargetMode="External" Id="rId235"/><Relationship Type="http://schemas.openxmlformats.org/officeDocument/2006/relationships/hyperlink" Target="https://nhapoa-admin-dev.mosje.in/finance-officer/queue" TargetMode="External" Id="rId236"/><Relationship Type="http://schemas.openxmlformats.org/officeDocument/2006/relationships/hyperlink" Target="https://www.figma.com/design/gH2vQ62cfg4677YKWuOpLc/MoSJE-Portal--Handoff-?node-id=5986-58801" TargetMode="External" Id="rId237"/><Relationship Type="http://schemas.openxmlformats.org/officeDocument/2006/relationships/hyperlink" Target="https://nhapoa-admin-dev.mosje.in/finance-officer/transactions" TargetMode="External" Id="rId238"/><Relationship Type="http://schemas.openxmlformats.org/officeDocument/2006/relationships/hyperlink" Target="https://www.figma.com/design/gH2vQ62cfg4677YKWuOpLc/MoSJE-Portal--Handoff-?node-id=5986-58996" TargetMode="External" Id="rId239"/><Relationship Type="http://schemas.openxmlformats.org/officeDocument/2006/relationships/hyperlink" Target="https://nhapoa-admin-dev.mosje.in/finance-officer/utilisation" TargetMode="External" Id="rId240"/><Relationship Type="http://schemas.openxmlformats.org/officeDocument/2006/relationships/hyperlink" Target="https://www.figma.com/design/gH2vQ62cfg4677YKWuOpLc/MoSJE-Portal--Handoff-?node-id=5986-62103" TargetMode="External" Id="rId241"/><Relationship Type="http://schemas.openxmlformats.org/officeDocument/2006/relationships/hyperlink" Target="https://nhapoa-admin-dev.mosje.in/central-authority/dashboard" TargetMode="External" Id="rId242"/><Relationship Type="http://schemas.openxmlformats.org/officeDocument/2006/relationships/hyperlink" Target="https://www.figma.com/design/gH2vQ62cfg4677YKWuOpLc/MoSJE-Portal--Handoff-?node-id=5986-62103" TargetMode="External" Id="rId243"/><Relationship Type="http://schemas.openxmlformats.org/officeDocument/2006/relationships/hyperlink" Target="https://nhapoa-admin-dev.mosje.in/central-authority/dashboard" TargetMode="External" Id="rId244"/><Relationship Type="http://schemas.openxmlformats.org/officeDocument/2006/relationships/hyperlink" Target="https://www.figma.com/design/gH2vQ62cfg4677YKWuOpLc/MoSJE-Portal--Handoff-?node-id=5986-62832" TargetMode="External" Id="rId245"/><Relationship Type="http://schemas.openxmlformats.org/officeDocument/2006/relationships/hyperlink" Target="https://nhapoa-admin-dev.mosje.in/central-authority/fund-allocation" TargetMode="External" Id="rId246"/><Relationship Type="http://schemas.openxmlformats.org/officeDocument/2006/relationships/hyperlink" Target="https://www.figma.com/design/gH2vQ62cfg4677YKWuOpLc/MoSJE-Portal--Handoff-?node-id=5986-62275" TargetMode="External" Id="rId247"/><Relationship Type="http://schemas.openxmlformats.org/officeDocument/2006/relationships/hyperlink" Target="https://nhapoa-admin-dev.mosje.in/central-authority/state-comparison" TargetMode="External" Id="rId248"/><Relationship Type="http://schemas.openxmlformats.org/officeDocument/2006/relationships/hyperlink" Target="https://www.figma.com/design/gH2vQ62cfg4677YKWuOpLc/MoSJE-Portal--Handoff-?node-id=5986-62639" TargetMode="External" Id="rId249"/><Relationship Type="http://schemas.openxmlformats.org/officeDocument/2006/relationships/hyperlink" Target="https://nhapoa-admin-dev.mosje.in/central-authority/scheme-performance" TargetMode="External" Id="rId250"/><Relationship Type="http://schemas.openxmlformats.org/officeDocument/2006/relationships/hyperlink" Target="https://www.figma.com/design/gH2vQ62cfg4677YKWuOpLc/MoSJE-Portal--Handoff-?node-id=5986-53857" TargetMode="External" Id="rId251"/><Relationship Type="http://schemas.openxmlformats.org/officeDocument/2006/relationships/hyperlink" Target="https://nhapoa-admin-dev.mosje.in/central-authority/grievances" TargetMode="External" Id="rId252"/><Relationship Type="http://schemas.openxmlformats.org/officeDocument/2006/relationships/hyperlink" Target="https://www.figma.com/design/gH2vQ62cfg4677YKWuOpLc/MoSJE-Portal--Handoff-?node-id=5986-63083" TargetMode="External" Id="rId253"/><Relationship Type="http://schemas.openxmlformats.org/officeDocument/2006/relationships/hyperlink" Target="https://nhapoa-admin-dev.mosje.in/central-authority/reports" TargetMode="External" Id="rId254"/><Relationship Type="http://schemas.openxmlformats.org/officeDocument/2006/relationships/hyperlink" Target="https://www.figma.com/design/gH2vQ62cfg4677YKWuOpLc/MoSJE-Portal--Handoff-?node-id=5986-53726" TargetMode="External" Id="rId255"/><Relationship Type="http://schemas.openxmlformats.org/officeDocument/2006/relationships/hyperlink" Target="https://nhapoa-admin-dev.mosje.in/district-officer/dashboard" TargetMode="External" Id="rId256"/><Relationship Type="http://schemas.openxmlformats.org/officeDocument/2006/relationships/hyperlink" Target="https://www.figma.com/design/gH2vQ62cfg4677YKWuOpLc/MoSJE-Portal--Handoff-?node-id=5986-53857" TargetMode="External" Id="rId257"/><Relationship Type="http://schemas.openxmlformats.org/officeDocument/2006/relationships/hyperlink" Target="https://nhapoa-admin-dev.mosje.in/district-officer/cases" TargetMode="External" Id="rId258"/><Relationship Type="http://schemas.openxmlformats.org/officeDocument/2006/relationships/hyperlink" Target="https://www.figma.com/design/gH2vQ62cfg4677YKWuOpLc/MoSJE-Portal--Handoff-?node-id=5986-51876" TargetMode="External" Id="rId259"/><Relationship Type="http://schemas.openxmlformats.org/officeDocument/2006/relationships/hyperlink" Target="https://nhapoa-admin-dev.mosje.in/call-center/dashboard" TargetMode="External" Id="rId260"/><Relationship Type="http://schemas.openxmlformats.org/officeDocument/2006/relationships/hyperlink" Target="https://www.figma.com/design/gH2vQ62cfg4677YKWuOpLc/MoSJE-Portal--Handoff-?node-id=5986-53203" TargetMode="External" Id="rId261"/><Relationship Type="http://schemas.openxmlformats.org/officeDocument/2006/relationships/hyperlink" Target="https://nhapoa-admin-dev.mosje.in/call-center/caller" TargetMode="External" Id="rId262"/><Relationship Type="http://schemas.openxmlformats.org/officeDocument/2006/relationships/hyperlink" Target="https://www.figma.com/design/gH2vQ62cfg4677YKWuOpLc/MoSJE-Portal--Handoff-?node-id=5986-51959" TargetMode="External" Id="rId263"/><Relationship Type="http://schemas.openxmlformats.org/officeDocument/2006/relationships/hyperlink" Target="https://nhapoa-admin-dev.mosje.in/call-center/register-grievance" TargetMode="External" Id="rId264"/><Relationship Type="http://schemas.openxmlformats.org/officeDocument/2006/relationships/hyperlink" Target="https://nhapoa-admin-dev.mosje.in/call-center/query" TargetMode="External" Id="rId265"/><Relationship Type="http://schemas.openxmlformats.org/officeDocument/2006/relationships/hyperlink" Target="https://nhapoa-admin-dev.mosje.in/call-center/queries" TargetMode="External" Id="rId266"/><Relationship Type="http://schemas.openxmlformats.org/officeDocument/2006/relationships/hyperlink" Target="https://nhapoa-admin-dev.mosje.in/call-center/directory" TargetMode="External" Id="rId267"/><Relationship Type="http://schemas.openxmlformats.org/officeDocument/2006/relationships/hyperlink" Target="https://nhapoa-admin-dev.mosje.in/call-center/track" TargetMode="External" Id="rId268"/><Relationship Type="http://schemas.openxmlformats.org/officeDocument/2006/relationships/hyperlink" Target="https://www.figma.com/design/gH2vQ62cfg4677YKWuOpLc/MoSJE-Portal--Handoff-?node-id=5986-53669" TargetMode="External" Id="rId269"/><Relationship Type="http://schemas.openxmlformats.org/officeDocument/2006/relationships/hyperlink" Target="https://nhapoa-admin-dev.mosje.in/call-center/faq" TargetMode="External" Id="rId270"/><Relationship Type="http://schemas.openxmlformats.org/officeDocument/2006/relationships/hyperlink" Target="https://www.figma.com/design/gH2vQ62cfg4677YKWuOpLc/MoSJE-Portal--Handoff-?node-id=5986-54121" TargetMode="External" Id="rId271"/><Relationship Type="http://schemas.openxmlformats.org/officeDocument/2006/relationships/hyperlink" Target="https://nhapoa-admin-dev.mosje.in/district-officer/cases" TargetMode="External" Id="rId272"/><Relationship Type="http://schemas.openxmlformats.org/officeDocument/2006/relationships/hyperlink" Target="https://www.figma.com/design/gH2vQ62cfg4677YKWuOpLc/MoSJE-Portal--Handoff-?node-id=5986-54232" TargetMode="External" Id="rId273"/><Relationship Type="http://schemas.openxmlformats.org/officeDocument/2006/relationships/hyperlink" Target="https://nhapoa-admin-dev.mosje.in/district-officer/cases" TargetMode="External" Id="rId274"/><Relationship Type="http://schemas.openxmlformats.org/officeDocument/2006/relationships/hyperlink" Target="https://www.figma.com/design/gH2vQ62cfg4677YKWuOpLc/MoSJE-Portal--Handoff-?node-id=5986-54340" TargetMode="External" Id="rId275"/><Relationship Type="http://schemas.openxmlformats.org/officeDocument/2006/relationships/hyperlink" Target="https://nhapoa-admin-dev.mosje.in/district-officer/cases" TargetMode="External" Id="rId276"/><Relationship Type="http://schemas.openxmlformats.org/officeDocument/2006/relationships/hyperlink" Target="https://www.figma.com/design/gH2vQ62cfg4677YKWuOpLc/MoSJE-Portal--Handoff-?node-id=5986-54704" TargetMode="External" Id="rId277"/><Relationship Type="http://schemas.openxmlformats.org/officeDocument/2006/relationships/hyperlink" Target="https://nhapoa-admin-dev.mosje.in/district-officer/cases" TargetMode="External" Id="rId278"/><Relationship Type="http://schemas.openxmlformats.org/officeDocument/2006/relationships/hyperlink" Target="https://www.figma.com/design/gH2vQ62cfg4677YKWuOpLc/MoSJE-Portal--Handoff-?node-id=5986-54812" TargetMode="External" Id="rId279"/><Relationship Type="http://schemas.openxmlformats.org/officeDocument/2006/relationships/hyperlink" Target="https://nhapoa-admin-dev.mosje.in/district-officer/cases" TargetMode="External" Id="rId280"/><Relationship Type="http://schemas.openxmlformats.org/officeDocument/2006/relationships/hyperlink" Target="https://www.figma.com/design/gH2vQ62cfg4677YKWuOpLc/MoSJE-Portal--Handoff-?node-id=5986-58351" TargetMode="External" Id="rId281"/><Relationship Type="http://schemas.openxmlformats.org/officeDocument/2006/relationships/hyperlink" Target="https://nhapoa-admin-dev.mosje.in/finance-officer/queue" TargetMode="External" Id="rId282"/><Relationship Type="http://schemas.openxmlformats.org/officeDocument/2006/relationships/hyperlink" Target="https://www.figma.com/design/gH2vQ62cfg4677YKWuOpLc/MoSJE-Portal--Handoff-?node-id=5986-61792" TargetMode="External" Id="rId283"/><Relationship Type="http://schemas.openxmlformats.org/officeDocument/2006/relationships/hyperlink" Target="https://nhapoa-admin-dev.mosje.in/admin/users" TargetMode="External" Id="rId284"/></Relationships>
</file>

<file path=xl/worksheets/_rels/sheet10.xml.rels><Relationships xmlns="http://schemas.openxmlformats.org/package/2006/relationships"><Relationship Type="http://schemas.openxmlformats.org/officeDocument/2006/relationships/hyperlink" Target="https://www.figma.com/design/gH2vQ62cfg4677YKWuOpLc/MoSJE-Portal--Handoff-?node-id=2494-38830" TargetMode="External" Id="rId1"/><Relationship Type="http://schemas.openxmlformats.org/officeDocument/2006/relationships/hyperlink" Target="https://tg-admin-dev.mosje.in/dashboard" TargetMode="External" Id="rId2"/><Relationship Type="http://schemas.openxmlformats.org/officeDocument/2006/relationships/hyperlink" Target="https://www.figma.com/design/gH2vQ62cfg4677YKWuOpLc/MoSJE-Portal--Handoff-?node-id=2494-38830" TargetMode="External" Id="rId3"/><Relationship Type="http://schemas.openxmlformats.org/officeDocument/2006/relationships/hyperlink" Target="https://tg-admin-dev.mosje.in/dashboard" TargetMode="External" Id="rId4"/><Relationship Type="http://schemas.openxmlformats.org/officeDocument/2006/relationships/hyperlink" Target="https://www.figma.com/design/gH2vQ62cfg4677YKWuOpLc/MoSJE-Portal--Handoff-?node-id=2494-38830" TargetMode="External" Id="rId5"/><Relationship Type="http://schemas.openxmlformats.org/officeDocument/2006/relationships/hyperlink" Target="https://tg-admin-dev.mosje.in/dashboard" TargetMode="External" Id="rId6"/><Relationship Type="http://schemas.openxmlformats.org/officeDocument/2006/relationships/hyperlink" Target="https://www.figma.com/design/gH2vQ62cfg4677YKWuOpLc/MoSJE-Portal--Handoff-?node-id=2494-38830" TargetMode="External" Id="rId7"/><Relationship Type="http://schemas.openxmlformats.org/officeDocument/2006/relationships/hyperlink" Target="https://tg-admin-dev.mosje.in/dashboard" TargetMode="External" Id="rId8"/><Relationship Type="http://schemas.openxmlformats.org/officeDocument/2006/relationships/hyperlink" Target="https://www.figma.com/design/gH2vQ62cfg4677YKWuOpLc/MoSJE-Portal--Handoff-?node-id=2494-38830" TargetMode="External" Id="rId9"/><Relationship Type="http://schemas.openxmlformats.org/officeDocument/2006/relationships/hyperlink" Target="https://tg-admin-dev.mosje.in/dashboard" TargetMode="External" Id="rId10"/><Relationship Type="http://schemas.openxmlformats.org/officeDocument/2006/relationships/hyperlink" Target="https://www.figma.com/design/gH2vQ62cfg4677YKWuOpLc/MoSJE-Portal--Handoff-?node-id=2494-39123" TargetMode="External" Id="rId11"/><Relationship Type="http://schemas.openxmlformats.org/officeDocument/2006/relationships/hyperlink" Target="https://tg-admin-dev.mosje.in/applications" TargetMode="External" Id="rId12"/><Relationship Type="http://schemas.openxmlformats.org/officeDocument/2006/relationships/hyperlink" Target="https://www.figma.com/design/gH2vQ62cfg4677YKWuOpLc/MoSJE-Portal--Handoff-?node-id=2494-39123" TargetMode="External" Id="rId13"/><Relationship Type="http://schemas.openxmlformats.org/officeDocument/2006/relationships/hyperlink" Target="https://tg-admin-dev.mosje.in/applications" TargetMode="External" Id="rId14"/><Relationship Type="http://schemas.openxmlformats.org/officeDocument/2006/relationships/hyperlink" Target="https://www.figma.com/design/gH2vQ62cfg4677YKWuOpLc/MoSJE-Portal--Handoff-?node-id=2494-39123" TargetMode="External" Id="rId15"/><Relationship Type="http://schemas.openxmlformats.org/officeDocument/2006/relationships/hyperlink" Target="https://tg-admin-dev.mosje.in/applications" TargetMode="External" Id="rId16"/><Relationship Type="http://schemas.openxmlformats.org/officeDocument/2006/relationships/hyperlink" Target="https://www.figma.com/design/gH2vQ62cfg4677YKWuOpLc/MoSJE-Portal--Handoff-?node-id=9379-115794" TargetMode="External" Id="rId17"/><Relationship Type="http://schemas.openxmlformats.org/officeDocument/2006/relationships/hyperlink" Target="https://tg-user-dev.mosje.in/auth/sign-in" TargetMode="External" Id="rId18"/><Relationship Type="http://schemas.openxmlformats.org/officeDocument/2006/relationships/hyperlink" Target="https://www.figma.com/design/gH2vQ62cfg4677YKWuOpLc/MoSJE-Portal--Handoff-?node-id=9379-115794" TargetMode="External" Id="rId19"/><Relationship Type="http://schemas.openxmlformats.org/officeDocument/2006/relationships/hyperlink" Target="https://tg-user-dev.mosje.in/auth/sign-in" TargetMode="External" Id="rId20"/><Relationship Type="http://schemas.openxmlformats.org/officeDocument/2006/relationships/hyperlink" Target="https://www.figma.com/design/gH2vQ62cfg4677YKWuOpLc/MoSJE-Portal--Handoff-?node-id=9379-115794" TargetMode="External" Id="rId21"/><Relationship Type="http://schemas.openxmlformats.org/officeDocument/2006/relationships/hyperlink" Target="https://tg-user-dev.mosje.in/auth/sign-in" TargetMode="External" Id="rId22"/><Relationship Type="http://schemas.openxmlformats.org/officeDocument/2006/relationships/hyperlink" Target="https://www.figma.com/design/gH2vQ62cfg4677YKWuOpLc/MoSJE-Portal--Handoff-?node-id=9387-138143" TargetMode="External" Id="rId23"/><Relationship Type="http://schemas.openxmlformats.org/officeDocument/2006/relationships/hyperlink" Target="https://tg-admin-dev.mosje.in/login" TargetMode="External" Id="rId24"/><Relationship Type="http://schemas.openxmlformats.org/officeDocument/2006/relationships/hyperlink" Target="https://www.figma.com/design/gH2vQ62cfg4677YKWuOpLc/MoSJE-Portal--Handoff-?node-id=9387-138143" TargetMode="External" Id="rId25"/><Relationship Type="http://schemas.openxmlformats.org/officeDocument/2006/relationships/hyperlink" Target="https://tg-admin-dev.mosje.in/login" TargetMode="External" Id="rId26"/><Relationship Type="http://schemas.openxmlformats.org/officeDocument/2006/relationships/hyperlink" Target="https://www.figma.com/design/gH2vQ62cfg4677YKWuOpLc/MoSJE-Portal--Handoff-?node-id=3531-35553" TargetMode="External" Id="rId27"/><Relationship Type="http://schemas.openxmlformats.org/officeDocument/2006/relationships/hyperlink" Target="https://tg-user-dev.mosje.in/apply" TargetMode="External" Id="rId28"/><Relationship Type="http://schemas.openxmlformats.org/officeDocument/2006/relationships/hyperlink" Target="https://www.figma.com/design/gH2vQ62cfg4677YKWuOpLc/MoSJE-Portal--Handoff-?node-id=3531-35553" TargetMode="External" Id="rId29"/><Relationship Type="http://schemas.openxmlformats.org/officeDocument/2006/relationships/hyperlink" Target="https://tg-user-dev.mosje.in/apply" TargetMode="External" Id="rId30"/><Relationship Type="http://schemas.openxmlformats.org/officeDocument/2006/relationships/hyperlink" Target="https://www.figma.com/design/gH2vQ62cfg4677YKWuOpLc/MoSJE-Portal--Handoff-?node-id=3531-35553" TargetMode="External" Id="rId31"/><Relationship Type="http://schemas.openxmlformats.org/officeDocument/2006/relationships/hyperlink" Target="https://tg-user-dev.mosje.in/apply" TargetMode="External" Id="rId32"/><Relationship Type="http://schemas.openxmlformats.org/officeDocument/2006/relationships/hyperlink" Target="https://www.figma.com/design/gH2vQ62cfg4677YKWuOpLc/MoSJE-Portal--Handoff-?node-id=3531-35553" TargetMode="External" Id="rId33"/><Relationship Type="http://schemas.openxmlformats.org/officeDocument/2006/relationships/hyperlink" Target="https://tg-user-dev.mosje.in/apply" TargetMode="External" Id="rId34"/><Relationship Type="http://schemas.openxmlformats.org/officeDocument/2006/relationships/hyperlink" Target="https://www.figma.com/design/gH2vQ62cfg4677YKWuOpLc/MoSJE-Portal--Handoff-?node-id=3531-36919" TargetMode="External" Id="rId35"/><Relationship Type="http://schemas.openxmlformats.org/officeDocument/2006/relationships/hyperlink" Target="https://tg-user-dev.mosje.in/dashboard" TargetMode="External" Id="rId36"/><Relationship Type="http://schemas.openxmlformats.org/officeDocument/2006/relationships/hyperlink" Target="https://www.figma.com/design/gH2vQ62cfg4677YKWuOpLc/MoSJE-Portal--Handoff-?node-id=3531-36919" TargetMode="External" Id="rId37"/><Relationship Type="http://schemas.openxmlformats.org/officeDocument/2006/relationships/hyperlink" Target="https://tg-user-dev.mosje.in/dashboard" TargetMode="External" Id="rId38"/><Relationship Type="http://schemas.openxmlformats.org/officeDocument/2006/relationships/hyperlink" Target="https://www.figma.com/design/gH2vQ62cfg4677YKWuOpLc/MoSJE-Portal--Handoff-?node-id=3531-36666" TargetMode="External" Id="rId39"/><Relationship Type="http://schemas.openxmlformats.org/officeDocument/2006/relationships/hyperlink" Target="https://tg-user-dev.mosje.in/certificate" TargetMode="External" Id="rId40"/><Relationship Type="http://schemas.openxmlformats.org/officeDocument/2006/relationships/hyperlink" Target="https://www.figma.com/design/gH2vQ62cfg4677YKWuOpLc/MoSJE-Portal--Handoff-?node-id=3531-36666" TargetMode="External" Id="rId41"/><Relationship Type="http://schemas.openxmlformats.org/officeDocument/2006/relationships/hyperlink" Target="https://tg-user-dev.mosje.in/certificate" TargetMode="External" Id="rId42"/><Relationship Type="http://schemas.openxmlformats.org/officeDocument/2006/relationships/hyperlink" Target="https://www.figma.com/design/gH2vQ62cfg4677YKWuOpLc/MoSJE-Portal--Handoff-?node-id=3531-36666" TargetMode="External" Id="rId43"/><Relationship Type="http://schemas.openxmlformats.org/officeDocument/2006/relationships/hyperlink" Target="https://tg-user-dev.mosje.in/certificate" TargetMode="External" Id="rId44"/><Relationship Type="http://schemas.openxmlformats.org/officeDocument/2006/relationships/hyperlink" Target="https://www.figma.com/design/gH2vQ62cfg4677YKWuOpLc/MoSJE-Portal--Handoff-?node-id=3531-36747" TargetMode="External" Id="rId45"/><Relationship Type="http://schemas.openxmlformats.org/officeDocument/2006/relationships/hyperlink" Target="https://tg-user-dev.mosje.in/track-status" TargetMode="External" Id="rId46"/><Relationship Type="http://schemas.openxmlformats.org/officeDocument/2006/relationships/hyperlink" Target="https://www.figma.com/design/gH2vQ62cfg4677YKWuOpLc/MoSJE-Portal--Handoff-?node-id=2494-41744" TargetMode="External" Id="rId47"/><Relationship Type="http://schemas.openxmlformats.org/officeDocument/2006/relationships/hyperlink" Target="https://tg-admin-dev.mosje.in/dashboard" TargetMode="External" Id="rId48"/><Relationship Type="http://schemas.openxmlformats.org/officeDocument/2006/relationships/hyperlink" Target="https://www.figma.com/design/gH2vQ62cfg4677YKWuOpLc/MoSJE-Portal--Handoff-?node-id=2494-41744" TargetMode="External" Id="rId49"/><Relationship Type="http://schemas.openxmlformats.org/officeDocument/2006/relationships/hyperlink" Target="https://tg-admin-dev.mosje.in/dashboard" TargetMode="External" Id="rId50"/><Relationship Type="http://schemas.openxmlformats.org/officeDocument/2006/relationships/hyperlink" Target="https://www.figma.com/design/gH2vQ62cfg4677YKWuOpLc/MoSJE-Portal--Handoff-?node-id=2494-42053" TargetMode="External" Id="rId51"/><Relationship Type="http://schemas.openxmlformats.org/officeDocument/2006/relationships/hyperlink" Target="https://tg-admin-dev.mosje.in/dashboard" TargetMode="External" Id="rId52"/><Relationship Type="http://schemas.openxmlformats.org/officeDocument/2006/relationships/hyperlink" Target="https://www.figma.com/design/gH2vQ62cfg4677YKWuOpLc/MoSJE-Portal--Handoff-?node-id=2494-39988" TargetMode="External" Id="rId53"/><Relationship Type="http://schemas.openxmlformats.org/officeDocument/2006/relationships/hyperlink" Target="https://tg-admin-dev.mosje.in/applications" TargetMode="External" Id="rId54"/><Relationship Type="http://schemas.openxmlformats.org/officeDocument/2006/relationships/hyperlink" Target="https://www.figma.com/design/gH2vQ62cfg4677YKWuOpLc/MoSJE-Portal--Handoff-?node-id=2494-39988" TargetMode="External" Id="rId55"/><Relationship Type="http://schemas.openxmlformats.org/officeDocument/2006/relationships/hyperlink" Target="https://tg-admin-dev.mosje.in/applications" TargetMode="External" Id="rId56"/><Relationship Type="http://schemas.openxmlformats.org/officeDocument/2006/relationships/hyperlink" Target="https://www.figma.com/design/gH2vQ62cfg4677YKWuOpLc/MoSJE-Portal--Handoff-?node-id=2494-39988" TargetMode="External" Id="rId57"/><Relationship Type="http://schemas.openxmlformats.org/officeDocument/2006/relationships/hyperlink" Target="https://tg-admin-dev.mosje.in/applications" TargetMode="External" Id="rId58"/><Relationship Type="http://schemas.openxmlformats.org/officeDocument/2006/relationships/hyperlink" Target="https://www.figma.com/design/gH2vQ62cfg4677YKWuOpLc/MoSJE-Portal--Handoff-?node-id=2494-38830" TargetMode="External" Id="rId59"/><Relationship Type="http://schemas.openxmlformats.org/officeDocument/2006/relationships/hyperlink" Target="https://tg-admin-dev.mosje.in/dashboard" TargetMode="External" Id="rId60"/><Relationship Type="http://schemas.openxmlformats.org/officeDocument/2006/relationships/hyperlink" Target="https://www.figma.com/design/gH2vQ62cfg4677YKWuOpLc/MoSJE-Portal--Handoff-?node-id=2494-38830" TargetMode="External" Id="rId61"/><Relationship Type="http://schemas.openxmlformats.org/officeDocument/2006/relationships/hyperlink" Target="https://tg-admin-dev.mosje.in/dashboard" TargetMode="External" Id="rId62"/><Relationship Type="http://schemas.openxmlformats.org/officeDocument/2006/relationships/hyperlink" Target="https://www.figma.com/design/gH2vQ62cfg4677YKWuOpLc/MoSJE-Portal--Handoff-?node-id=2494-38975" TargetMode="External" Id="rId63"/><Relationship Type="http://schemas.openxmlformats.org/officeDocument/2006/relationships/hyperlink" Target="https://tg-admin-dev.mosje.in/applications" TargetMode="External" Id="rId64"/><Relationship Type="http://schemas.openxmlformats.org/officeDocument/2006/relationships/hyperlink" Target="https://www.figma.com/design/gH2vQ62cfg4677YKWuOpLc/MoSJE-Portal--Handoff-?node-id=2494-38975" TargetMode="External" Id="rId65"/><Relationship Type="http://schemas.openxmlformats.org/officeDocument/2006/relationships/hyperlink" Target="https://tg-admin-dev.mosje.in/applications" TargetMode="External" Id="rId66"/></Relationships>
</file>

<file path=xl/worksheets/sheet1.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0" customWidth="1" min="1" max="1"/>
    <col width="115" customWidth="1" min="2" max="2"/>
  </cols>
  <sheetData>
    <row r="1">
      <c r="A1" s="1" t="inlineStr">
        <is>
          <t>MoSJE Portal — Design QC Tracker</t>
        </is>
      </c>
    </row>
    <row r="2">
      <c r="A2" s="2" t="inlineStr">
        <is>
          <t>Status tracker for design-fidelity defects (dev-facing). Visual evidence lives in the annotated PDF report; design-improvement ideas live in the separate Design Suggestions doc.</t>
        </is>
      </c>
    </row>
    <row r="4">
      <c r="A4" s="3" t="inlineStr"/>
      <c r="B4" s="4" t="inlineStr"/>
    </row>
    <row r="5">
      <c r="A5" s="5" t="inlineStr">
        <is>
          <t>HOW TO USE</t>
        </is>
      </c>
      <c r="B5" s="4" t="inlineStr"/>
    </row>
    <row r="6">
      <c r="A6" s="3" t="inlineStr">
        <is>
          <t>1.</t>
        </is>
      </c>
      <c r="B6" s="4" t="inlineStr">
        <is>
          <t>Each fidelity defect = one row in its portal's findings sheet. The annotated PDF shows the same ID on the image.</t>
        </is>
      </c>
    </row>
    <row r="7">
      <c r="A7" s="3" t="inlineStr">
        <is>
          <t>2.</t>
        </is>
      </c>
      <c r="B7" s="4" t="inlineStr">
        <is>
          <t>Severity / Category / Status are dropdowns; Severity auto-colours; Rollup aggregates automatically.</t>
        </is>
      </c>
    </row>
    <row r="8">
      <c r="A8" s="3" t="inlineStr">
        <is>
          <t>3.</t>
        </is>
      </c>
      <c r="B8" s="4" t="inlineStr">
        <is>
          <t>Figma URL and Live URL are full clickable links. Coverage tracks every screen's QC state.</t>
        </is>
      </c>
    </row>
    <row r="9">
      <c r="A9" s="3" t="inlineStr">
        <is>
          <t>4.</t>
        </is>
      </c>
      <c r="B9" s="4" t="inlineStr">
        <is>
          <t>Dev: filter Status = Open, fix, set Fixed. QC verifies -&gt; Verified.</t>
        </is>
      </c>
    </row>
    <row r="10">
      <c r="A10" s="3" t="inlineStr">
        <is>
          <t>5.</t>
        </is>
      </c>
      <c r="B10" s="4" t="inlineStr">
        <is>
          <t>Design-side issues (design-bugs, redesigns, no-design screens) are NOT here — see Design Suggestions doc.</t>
        </is>
      </c>
    </row>
    <row r="11">
      <c r="A11" s="3" t="inlineStr"/>
      <c r="B11" s="4" t="inlineStr"/>
    </row>
    <row r="12">
      <c r="A12" s="5" t="inlineStr">
        <is>
          <t>SEVERITY</t>
        </is>
      </c>
      <c r="B12" s="4" t="inlineStr">
        <is>
          <t>Impact, not effort</t>
        </is>
      </c>
    </row>
    <row r="13">
      <c r="A13" s="6" t="inlineStr">
        <is>
          <t>Blocker</t>
        </is>
      </c>
      <c r="B13" s="4" t="inlineStr">
        <is>
          <t>Breaks experience / brand / compliance. Cannot ship.</t>
        </is>
      </c>
    </row>
    <row r="14">
      <c r="A14" s="7" t="inlineStr">
        <is>
          <t>Major</t>
        </is>
      </c>
      <c r="B14" s="4" t="inlineStr">
        <is>
          <t>Clearly wrong vs design; users notice.</t>
        </is>
      </c>
    </row>
    <row r="15">
      <c r="A15" s="8" t="inlineStr">
        <is>
          <t>Minor</t>
        </is>
      </c>
      <c r="B15" s="4" t="inlineStr">
        <is>
          <t>Visible to a trained eye (2-7px, token drift).</t>
        </is>
      </c>
    </row>
    <row r="16">
      <c r="A16" s="9" t="inlineStr">
        <is>
          <t>Nit</t>
        </is>
      </c>
      <c r="B16" s="4" t="inlineStr">
        <is>
          <t>Polish / sub-pixel.</t>
        </is>
      </c>
    </row>
    <row r="17">
      <c r="A17" s="3" t="inlineStr"/>
      <c r="B17" s="4" t="inlineStr"/>
    </row>
    <row r="18">
      <c r="A18" s="5" t="inlineStr">
        <is>
          <t>CATEGORIES</t>
        </is>
      </c>
      <c r="B18" s="4" t="inlineStr">
        <is>
          <t>Layout &amp; Spacing · Color &amp; Token · Typography · Components &amp; States · Content &amp; Iconography · Responsive &amp; A11y</t>
        </is>
      </c>
    </row>
    <row r="19">
      <c r="A19" s="5" t="inlineStr">
        <is>
          <t>DESIGN TRUTH</t>
        </is>
      </c>
      <c r="B19" s="4" t="inlineStr">
        <is>
          <t>Audited against DS Figma token values (see design-truth-tokens.md). DS brand primary = #003366.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showGridLines="0" workbookViewId="0">
      <selection activeCell="A1" sqref="A1"/>
    </sheetView>
  </sheetViews>
  <sheetFormatPr baseColWidth="8" defaultRowHeight="15"/>
  <cols>
    <col width="20" customWidth="1" min="1" max="1"/>
    <col width="8" customWidth="1" min="2" max="2"/>
    <col width="10" customWidth="1" min="3" max="3"/>
    <col width="8" customWidth="1" min="4" max="4"/>
    <col width="8" customWidth="1" min="5" max="5"/>
    <col width="8" customWidth="1" min="6" max="6"/>
    <col width="8" customWidth="1" min="7" max="7"/>
    <col width="8" customWidth="1" min="8" max="8"/>
    <col width="9" customWidth="1" min="9" max="9"/>
  </cols>
  <sheetData>
    <row r="1">
      <c r="A1" s="10" t="inlineStr">
        <is>
          <t>Portal QC — Rollup</t>
        </is>
      </c>
    </row>
    <row r="2"/>
    <row r="3"/>
    <row r="4" ht="26" customHeight="1">
      <c r="A4" s="11" t="inlineStr">
        <is>
          <t>Portal</t>
        </is>
      </c>
      <c r="B4" s="11" t="inlineStr">
        <is>
          <t>Total</t>
        </is>
      </c>
      <c r="C4" s="12" t="inlineStr">
        <is>
          <t>Blocker</t>
        </is>
      </c>
      <c r="D4" s="13" t="inlineStr">
        <is>
          <t>Major</t>
        </is>
      </c>
      <c r="E4" s="14" t="inlineStr">
        <is>
          <t>Minor</t>
        </is>
      </c>
      <c r="F4" s="15" t="inlineStr">
        <is>
          <t>Nit</t>
        </is>
      </c>
      <c r="G4" s="11" t="inlineStr">
        <is>
          <t>Open</t>
        </is>
      </c>
      <c r="H4" s="11" t="inlineStr">
        <is>
          <t>Fixed</t>
        </is>
      </c>
      <c r="I4" s="11" t="inlineStr">
        <is>
          <t>Verified</t>
        </is>
      </c>
    </row>
    <row r="5">
      <c r="A5" s="25" t="inlineStr">
        <is>
          <t>eUtthan Admin</t>
        </is>
      </c>
      <c r="B5" s="25">
        <f>COUNTA('eUtthan Admin'!$A$2:$A$400)</f>
        <v/>
      </c>
      <c r="C5" s="25">
        <f>COUNTIF('eUtthan Admin'!$D:$D,"Blocker")</f>
        <v/>
      </c>
      <c r="D5" s="25">
        <f>COUNTIF('eUtthan Admin'!$D:$D,"Major")</f>
        <v/>
      </c>
      <c r="E5" s="25">
        <f>COUNTIF('eUtthan Admin'!$D:$D,"Minor")</f>
        <v/>
      </c>
      <c r="F5" s="25">
        <f>COUNTIF('eUtthan Admin'!$D:$D,"Nit")</f>
        <v/>
      </c>
      <c r="G5" s="25">
        <f>COUNTIF('eUtthan Admin'!$I:$I,"Open")</f>
        <v/>
      </c>
      <c r="H5" s="25">
        <f>COUNTIF('eUtthan Admin'!$I:$I,"Fixed")</f>
        <v/>
      </c>
      <c r="I5" s="25">
        <f>COUNTIF('eUtthan Admin'!$I:$I,"Verified")</f>
        <v/>
      </c>
    </row>
    <row r="6">
      <c r="A6" s="19" t="inlineStr">
        <is>
          <t>NHAPOA</t>
        </is>
      </c>
      <c r="B6" s="19">
        <f>COUNTA('NHAPOA'!$A$2:$A$400)</f>
        <v/>
      </c>
      <c r="C6" s="19">
        <f>COUNTIF('NHAPOA'!$D:$D,"Blocker")</f>
        <v/>
      </c>
      <c r="D6" s="19">
        <f>COUNTIF('NHAPOA'!$D:$D,"Major")</f>
        <v/>
      </c>
      <c r="E6" s="19">
        <f>COUNTIF('NHAPOA'!$D:$D,"Minor")</f>
        <v/>
      </c>
      <c r="F6" s="19">
        <f>COUNTIF('NHAPOA'!$D:$D,"Nit")</f>
        <v/>
      </c>
      <c r="G6" s="19">
        <f>COUNTIF('NHAPOA'!$I:$I,"Open")</f>
        <v/>
      </c>
      <c r="H6" s="19">
        <f>COUNTIF('NHAPOA'!$I:$I,"Fixed")</f>
        <v/>
      </c>
      <c r="I6" s="19">
        <f>COUNTIF('NHAPOA'!$I:$I,"Verified")</f>
        <v/>
      </c>
    </row>
    <row r="7">
      <c r="A7" s="19" t="inlineStr">
        <is>
          <t>TG</t>
        </is>
      </c>
      <c r="B7" s="19">
        <f>COUNTA('TG'!$A$2:$A$400)</f>
        <v/>
      </c>
      <c r="C7" s="19">
        <f>COUNTIF('TG'!$D:$D,"Blocker")</f>
        <v/>
      </c>
      <c r="D7" s="19">
        <f>COUNTIF('TG'!$D:$D,"Major")</f>
        <v/>
      </c>
      <c r="E7" s="19">
        <f>COUNTIF('TG'!$D:$D,"Minor")</f>
        <v/>
      </c>
      <c r="F7" s="19">
        <f>COUNTIF('TG'!$D:$D,"Nit")</f>
        <v/>
      </c>
      <c r="G7" s="19">
        <f>COUNTIF('TG'!$I:$I,"Open")</f>
        <v/>
      </c>
      <c r="H7" s="19">
        <f>COUNTIF('TG'!$I:$I,"Fixed")</f>
        <v/>
      </c>
      <c r="I7" s="19">
        <f>COUNTIF('TG'!$I:$I,"Verified")</f>
        <v/>
      </c>
    </row>
    <row r="8">
      <c r="A8" t="inlineStr">
        <is>
          <t>SMILE Beggary</t>
        </is>
      </c>
      <c r="B8">
        <f>COUNTA('SMILE Beggary'!$A$2:$A$999)</f>
        <v/>
      </c>
      <c r="C8">
        <f>COUNTIF('SMILE Beggary'!$D:$D,"Blocker")</f>
        <v/>
      </c>
      <c r="D8">
        <f>COUNTIF('SMILE Beggary'!$D:$D,"Major")</f>
        <v/>
      </c>
      <c r="E8">
        <f>COUNTIF('SMILE Beggary'!$D:$D,"Minor")</f>
        <v/>
      </c>
      <c r="F8">
        <f>COUNTIF('SMILE Beggary'!$D:$D,"Nit")</f>
        <v/>
      </c>
      <c r="G8">
        <f>COUNTIF('SMILE Beggary'!$I:$I,"Open")</f>
        <v/>
      </c>
      <c r="H8">
        <f>COUNTIF('SMILE Beggary'!$I:$I,"Fixed")</f>
        <v/>
      </c>
      <c r="I8">
        <f>COUNTIF('SMILE Beggary'!$I:$I,"Verified")</f>
        <v/>
      </c>
    </row>
    <row r="9">
      <c r="A9" t="inlineStr">
        <is>
          <t>NMBA</t>
        </is>
      </c>
      <c r="B9">
        <f>COUNTA('NMBA'!$A$2:$A$999)</f>
        <v/>
      </c>
      <c r="C9">
        <f>COUNTIF('NMBA'!$D:$D,"Blocker")</f>
        <v/>
      </c>
      <c r="D9">
        <f>COUNTIF('NMBA'!$D:$D,"Major")</f>
        <v/>
      </c>
      <c r="E9">
        <f>COUNTIF('NMBA'!$D:$D,"Minor")</f>
        <v/>
      </c>
      <c r="F9">
        <f>COUNTIF('NMBA'!$D:$D,"Nit")</f>
        <v/>
      </c>
      <c r="G9">
        <f>COUNTIF('NMBA'!$I:$I,"Open")</f>
        <v/>
      </c>
      <c r="H9">
        <f>COUNTIF('NMBA'!$I:$I,"Fixed")</f>
        <v/>
      </c>
      <c r="I9">
        <f>COUNTIF('NMBA'!$I:$I,"Verified")</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00"/>
  <sheetViews>
    <sheetView showGridLines="0" workbookViewId="0">
      <pane ySplit="1" topLeftCell="A2" activePane="bottomLeft" state="frozen"/>
      <selection pane="bottomLeft" activeCell="A1" sqref="A1"/>
    </sheetView>
  </sheetViews>
  <sheetFormatPr baseColWidth="8" defaultRowHeight="15"/>
  <cols>
    <col width="16" customWidth="1" min="1" max="1"/>
    <col width="26" customWidth="1" min="2" max="2"/>
    <col width="20" customWidth="1" min="3" max="3"/>
    <col width="11" customWidth="1" min="4" max="4"/>
    <col width="46" customWidth="1" min="5" max="5"/>
    <col width="42" customWidth="1" min="6" max="6"/>
    <col width="30" customWidth="1" min="7" max="7"/>
    <col width="30" customWidth="1" min="8" max="8"/>
    <col width="12" customWidth="1" min="9" max="9"/>
    <col width="13" customWidth="1" min="10" max="10"/>
    <col width="12" customWidth="1" min="11" max="11"/>
    <col width="30" customWidth="1" min="12" max="12"/>
    <col width="30" customWidth="1" min="13" max="13"/>
  </cols>
  <sheetData>
    <row r="1" ht="26" customHeight="1">
      <c r="A1" s="11" t="inlineStr">
        <is>
          <t>ID</t>
        </is>
      </c>
      <c r="B1" s="11" t="inlineStr">
        <is>
          <t>Screen</t>
        </is>
      </c>
      <c r="C1" s="11" t="inlineStr">
        <is>
          <t>Category</t>
        </is>
      </c>
      <c r="D1" s="11" t="inlineStr">
        <is>
          <t>Severity</t>
        </is>
      </c>
      <c r="E1" s="11" t="inlineStr">
        <is>
          <t>Issue (Design → Built)</t>
        </is>
      </c>
      <c r="F1" s="11" t="inlineStr">
        <is>
          <t>Recommended Fix (Dev)</t>
        </is>
      </c>
      <c r="G1" s="11" t="inlineStr">
        <is>
          <t>Figma URL</t>
        </is>
      </c>
      <c r="H1" s="11" t="inlineStr">
        <is>
          <t>Live URL</t>
        </is>
      </c>
      <c r="I1" s="11" t="inlineStr">
        <is>
          <t>Status</t>
        </is>
      </c>
      <c r="J1" s="11" t="inlineStr">
        <is>
          <t>Assignee</t>
        </is>
      </c>
      <c r="K1" s="11" t="inlineStr">
        <is>
          <t>Date</t>
        </is>
      </c>
      <c r="L1" s="11" t="inlineStr">
        <is>
          <t>Notes</t>
        </is>
      </c>
    </row>
    <row r="2">
      <c r="A2" s="17" t="inlineStr">
        <is>
          <t>UTH-GLOBAL-001</t>
        </is>
      </c>
      <c r="B2" s="17" t="inlineStr">
        <is>
          <t>Global — Common Elements</t>
        </is>
      </c>
      <c r="C2" s="17" t="inlineStr">
        <is>
          <t>Layout &amp; Spacing</t>
        </is>
      </c>
      <c r="D2" s="17" t="inlineStr">
        <is>
          <t>Minor</t>
        </is>
      </c>
      <c r="E2" s="17" t="inlineStr">
        <is>
          <t>Figma: Height 40px, navy #003366 background.  →  Live: Height 38px (colour is correct).</t>
        </is>
      </c>
      <c r="F2" s="17" t="inlineStr">
        <is>
          <t>Increase the accessibility bar height from 38px to 40px.</t>
        </is>
      </c>
      <c r="G2" s="17" t="inlineStr">
        <is>
          <t>https://www.figma.com/design/gH2vQ62cfg4677YKWuOpLc/MoSJE-Portal--Handoff-?node-id=4226-39685</t>
        </is>
      </c>
      <c r="H2" s="17" t="n"/>
      <c r="I2" s="17" t="inlineStr">
        <is>
          <t>Open</t>
        </is>
      </c>
      <c r="J2" s="17" t="n"/>
      <c r="K2" s="17" t="n"/>
      <c r="L2" s="17" t="n"/>
    </row>
    <row r="3">
      <c r="A3" s="18" t="inlineStr">
        <is>
          <t>UTH-GLOBAL-002</t>
        </is>
      </c>
      <c r="B3" s="18" t="inlineStr">
        <is>
          <t>Global — Common Elements</t>
        </is>
      </c>
      <c r="C3" s="18" t="inlineStr">
        <is>
          <t>Content &amp; Iconography</t>
        </is>
      </c>
      <c r="D3" s="18" t="inlineStr">
        <is>
          <t>Major</t>
        </is>
      </c>
      <c r="E3" s="18" t="inlineStr">
        <is>
          <t>Figma: Two lines: 'Ministry of SJE' (14px/500/#1f2937) above the bold 'Department of SJE' headline (20px/700/#374151).  →  Live: Single line 'Ministry of SJE' at 20px/700/#374151 — the Department headline is absent.</t>
        </is>
      </c>
      <c r="F3" s="18" t="inlineStr">
        <is>
          <t>Add 'Department of Social Justice &amp; Empowerment' (20px/700/#374151) as the main masthead headline; show the Ministry line above it at 14px/500/#1f2937.</t>
        </is>
      </c>
      <c r="G3" s="18" t="inlineStr">
        <is>
          <t>https://www.figma.com/design/gH2vQ62cfg4677YKWuOpLc/MoSJE-Portal--Handoff-?node-id=4226-39685</t>
        </is>
      </c>
      <c r="H3" s="18" t="n"/>
      <c r="I3" s="18" t="inlineStr">
        <is>
          <t>Open</t>
        </is>
      </c>
      <c r="J3" s="18" t="n"/>
      <c r="K3" s="18" t="n"/>
      <c r="L3" s="18" t="n"/>
    </row>
    <row r="4">
      <c r="A4" s="17" t="inlineStr">
        <is>
          <t>UTH-GLOBAL-003</t>
        </is>
      </c>
      <c r="B4" s="17" t="inlineStr">
        <is>
          <t>Global — Common Elements</t>
        </is>
      </c>
      <c r="C4" s="17" t="inlineStr">
        <is>
          <t>Content &amp; Iconography</t>
        </is>
      </c>
      <c r="D4" s="17" t="inlineStr">
        <is>
          <t>Major</t>
        </is>
      </c>
      <c r="E4" s="17" t="inlineStr">
        <is>
          <t>Figma: Centre-right of the masthead: Digital India logo + SAMAVESH lockup, with a 24px gap between them.  →  Live: No co-branding — the centre of the header is empty.</t>
        </is>
      </c>
      <c r="F4" s="17" t="inlineStr">
        <is>
          <t>Add the Digital India logo and the SAMAVESH lockup to the header centre, before the user profile.</t>
        </is>
      </c>
      <c r="G4" s="17" t="inlineStr">
        <is>
          <t>https://www.figma.com/design/gH2vQ62cfg4677YKWuOpLc/MoSJE-Portal--Handoff-?node-id=4226-39685</t>
        </is>
      </c>
      <c r="H4" s="17" t="n"/>
      <c r="I4" s="17" t="inlineStr">
        <is>
          <t>Open</t>
        </is>
      </c>
      <c r="J4" s="17" t="n"/>
      <c r="K4" s="17" t="n"/>
      <c r="L4" s="17" t="n"/>
    </row>
    <row r="5">
      <c r="A5" s="18" t="inlineStr">
        <is>
          <t>UTH-GLOBAL-004</t>
        </is>
      </c>
      <c r="B5" s="18" t="inlineStr">
        <is>
          <t>Global — Common Elements</t>
        </is>
      </c>
      <c r="C5" s="18" t="inlineStr">
        <is>
          <t>Components &amp; States</t>
        </is>
      </c>
      <c r="D5" s="18" t="inlineStr">
        <is>
          <t>Minor</t>
        </is>
      </c>
      <c r="E5" s="18" t="inlineStr">
        <is>
          <t>Figma: A hamburger/collapse control sits at the top-left of the header.  →  Live: No collapse control is shown in the header.</t>
        </is>
      </c>
      <c r="F5" s="18" t="inlineStr">
        <is>
          <t>Add the sidebar collapse (hamburger) control at the header's left edge.</t>
        </is>
      </c>
      <c r="G5" s="18" t="inlineStr">
        <is>
          <t>https://www.figma.com/design/gH2vQ62cfg4677YKWuOpLc/MoSJE-Portal--Handoff-?node-id=4226-39685</t>
        </is>
      </c>
      <c r="H5" s="18" t="n"/>
      <c r="I5" s="18" t="inlineStr">
        <is>
          <t>Open</t>
        </is>
      </c>
      <c r="J5" s="18" t="n"/>
      <c r="K5" s="18" t="n"/>
      <c r="L5" s="18" t="n"/>
    </row>
    <row r="6">
      <c r="A6" s="17" t="inlineStr">
        <is>
          <t>UTH-GLOBAL-005</t>
        </is>
      </c>
      <c r="B6" s="17" t="inlineStr">
        <is>
          <t>Global — Common Elements</t>
        </is>
      </c>
      <c r="C6" s="17" t="inlineStr">
        <is>
          <t>Color &amp; Token</t>
        </is>
      </c>
      <c r="D6" s="17" t="inlineStr">
        <is>
          <t>Major</t>
        </is>
      </c>
      <c r="E6" s="17" t="inlineStr">
        <is>
          <t>Figma: Active item: text #003366 · weight 400 · corner radius 16px · background #e5eff9.  →  Live: Active item: text #374151 · weight 700 · radius 8px (background correct; three properties deviate).</t>
        </is>
      </c>
      <c r="F6" s="17" t="inlineStr">
        <is>
          <t>Active sidebar item: text colour → #003366 · weight → 400 · corner radius → 16px.</t>
        </is>
      </c>
      <c r="G6" s="17" t="inlineStr">
        <is>
          <t>https://www.figma.com/design/gH2vQ62cfg4677YKWuOpLc/MoSJE-Portal--Handoff-?node-id=4226-39685</t>
        </is>
      </c>
      <c r="H6" s="17" t="n"/>
      <c r="I6" s="17" t="inlineStr">
        <is>
          <t>Open</t>
        </is>
      </c>
      <c r="J6" s="17" t="n"/>
      <c r="K6" s="17" t="n"/>
      <c r="L6" s="17" t="n"/>
    </row>
    <row r="7">
      <c r="A7" s="18" t="inlineStr">
        <is>
          <t>UTH-GLOBAL-006</t>
        </is>
      </c>
      <c r="B7" s="18" t="inlineStr">
        <is>
          <t>Global — Common Elements</t>
        </is>
      </c>
      <c r="C7" s="18" t="inlineStr">
        <is>
          <t>Content &amp; Iconography</t>
        </is>
      </c>
      <c r="D7" s="18" t="inlineStr">
        <is>
          <t>Minor</t>
        </is>
      </c>
      <c r="E7" s="18" t="inlineStr">
        <is>
          <t>Figma: Name with the role below it as plain text ('Admin', no punctuation); the avatar sits AFTER the text, at the far right.  →  Live: Avatar comes first, then the name; the role is wrapped in parentheses — '(Super Admin)'.</t>
        </is>
      </c>
      <c r="F7" s="18" t="inlineStr">
        <is>
          <t>Put the name and role first with the avatar to their right, and show the role as plain text without parentheses.</t>
        </is>
      </c>
      <c r="G7" s="18" t="inlineStr">
        <is>
          <t>https://www.figma.com/design/gH2vQ62cfg4677YKWuOpLc/MoSJE-Portal--Handoff-?node-id=4226-39685</t>
        </is>
      </c>
      <c r="H7" s="18" t="n"/>
      <c r="I7" s="18" t="inlineStr">
        <is>
          <t>Open</t>
        </is>
      </c>
      <c r="J7" s="18" t="n"/>
      <c r="K7" s="18" t="n"/>
      <c r="L7" s="18" t="n"/>
    </row>
    <row r="8">
      <c r="A8" s="17" t="inlineStr">
        <is>
          <t>UTH-GLOBAL-007</t>
        </is>
      </c>
      <c r="B8" s="17" t="inlineStr">
        <is>
          <t>Global — Common Elements</t>
        </is>
      </c>
      <c r="C8" s="17" t="inlineStr">
        <is>
          <t>Typography</t>
        </is>
      </c>
      <c r="D8" s="17" t="inlineStr">
        <is>
          <t>Major</t>
        </is>
      </c>
      <c r="E8" s="17" t="inlineStr">
        <is>
          <t>Figma: All inputs and search fields use Noto Sans, like the rest of the portal.  →  Live: Search and text inputs render in Poppins on Login and across the Admin and Ministry screens.</t>
        </is>
      </c>
      <c r="F8" s="17" t="inlineStr">
        <is>
          <t>Set every input, select and search field to Noto Sans.</t>
        </is>
      </c>
      <c r="G8" s="17" t="inlineStr">
        <is>
          <t>https://www.figma.com/design/gH2vQ62cfg4677YKWuOpLc/MoSJE-Portal--Handoff-?node-id=4226-39685</t>
        </is>
      </c>
      <c r="H8" s="17" t="n"/>
      <c r="I8" s="17" t="inlineStr">
        <is>
          <t>Open</t>
        </is>
      </c>
      <c r="J8" s="17" t="n"/>
      <c r="K8" s="17" t="n"/>
      <c r="L8" s="17" t="n"/>
    </row>
    <row r="9">
      <c r="A9" s="18" t="inlineStr">
        <is>
          <t>UTH-GLOBAL-008</t>
        </is>
      </c>
      <c r="B9" s="18" t="inlineStr">
        <is>
          <t>Global — Common Elements</t>
        </is>
      </c>
      <c r="C9" s="18" t="inlineStr">
        <is>
          <t>Components &amp; States</t>
        </is>
      </c>
      <c r="D9" s="18" t="inlineStr">
        <is>
          <t>Minor</t>
        </is>
      </c>
      <c r="E9" s="18" t="inlineStr">
        <is>
          <t>Figma: Plus icon to the LEFT of the label; label 14px / 500 / line-height 20; padding 24-left / 16-right / 8 top &amp; bottom; the plus is a separate 16×16 icon.  →  Live: Plus icon to the RIGHT; label 14px / 600 with a tight line-height; padding 18 / 12 / 0; the '+' is baked into the label text.</t>
        </is>
      </c>
      <c r="F9" s="18" t="inlineStr">
        <is>
          <t>On every Add button: plus icon on the left, label weight 500 / line-height 20, padding 24/16/8, and a real plus-icon element.</t>
        </is>
      </c>
      <c r="G9" s="18" t="inlineStr">
        <is>
          <t>https://www.figma.com/design/gH2vQ62cfg4677YKWuOpLc/MoSJE-Portal--Handoff-?node-id=4226-39685</t>
        </is>
      </c>
      <c r="H9" s="18" t="n"/>
      <c r="I9" s="18" t="inlineStr">
        <is>
          <t>Open</t>
        </is>
      </c>
      <c r="J9" s="18" t="n"/>
      <c r="K9" s="18" t="n"/>
      <c r="L9" s="18" t="n"/>
    </row>
    <row r="10">
      <c r="A10" s="17" t="inlineStr">
        <is>
          <t>UTH-GLOBAL-009</t>
        </is>
      </c>
      <c r="B10" s="17" t="inlineStr">
        <is>
          <t>Global — Common Elements</t>
        </is>
      </c>
      <c r="C10" s="17" t="inlineStr">
        <is>
          <t>Typography</t>
        </is>
      </c>
      <c r="D10" s="17" t="inlineStr">
        <is>
          <t>Major</t>
        </is>
      </c>
      <c r="E10" s="17" t="inlineStr">
        <is>
          <t>Figma: 14px / 600 / colour #6b7280; cell padding 24px on the sides · 16px top &amp; bottom; header sits on a #f9fafb band.  →  Live: Header text renders in #4b5563 with only 14px top/bottom padding (colour and vertical padding deviate; font-size 14px is correct).</t>
        </is>
      </c>
      <c r="F10" s="17" t="inlineStr">
        <is>
          <t>On every table header: text colour → #6b7280; cell padding 24px sides · 16px top/bottom.</t>
        </is>
      </c>
      <c r="G10" s="17" t="inlineStr">
        <is>
          <t>https://www.figma.com/design/gH2vQ62cfg4677YKWuOpLc/MoSJE-Portal--Handoff-?node-id=4226-39685</t>
        </is>
      </c>
      <c r="H10" s="17" t="n"/>
      <c r="I10" s="17" t="inlineStr">
        <is>
          <t>Open</t>
        </is>
      </c>
      <c r="J10" s="17" t="n"/>
      <c r="K10" s="17" t="n"/>
      <c r="L10" s="17" t="n"/>
    </row>
    <row r="11">
      <c r="A11" s="18" t="inlineStr">
        <is>
          <t>UTH-GLOBAL-010</t>
        </is>
      </c>
      <c r="B11" s="18" t="inlineStr">
        <is>
          <t>Global — Common Elements</t>
        </is>
      </c>
      <c r="C11" s="18" t="inlineStr">
        <is>
          <t>Color &amp; Token</t>
        </is>
      </c>
      <c r="D11" s="18" t="inlineStr">
        <is>
          <t>Major</t>
        </is>
      </c>
      <c r="E11" s="18" t="inlineStr">
        <is>
          <t>Figma: 14px / 400 / colour #374151; cell padding 24px on the sides · 16px top &amp; bottom.  →  Live: Body cells render with a different colour (#4b5563, or pure #000 on some screens) and less top/bottom padding (16–20px).</t>
        </is>
      </c>
      <c r="F11" s="18" t="inlineStr">
        <is>
          <t>On every table body cell: text colour → #374151; cell padding 24px sides · 16px top/bottom.</t>
        </is>
      </c>
      <c r="G11" s="18" t="inlineStr">
        <is>
          <t>https://www.figma.com/design/gH2vQ62cfg4677YKWuOpLc/MoSJE-Portal--Handoff-?node-id=4226-39685</t>
        </is>
      </c>
      <c r="H11" s="18" t="n"/>
      <c r="I11" s="18" t="inlineStr">
        <is>
          <t>Open</t>
        </is>
      </c>
      <c r="J11" s="18" t="n"/>
      <c r="K11" s="18" t="n"/>
      <c r="L11" s="18" t="n"/>
    </row>
    <row r="12">
      <c r="A12" s="17" t="inlineStr">
        <is>
          <t>UTH-GLOBAL-011</t>
        </is>
      </c>
      <c r="B12" s="17" t="inlineStr">
        <is>
          <t>Global — Common Elements</t>
        </is>
      </c>
      <c r="C12" s="17" t="inlineStr">
        <is>
          <t>Color &amp; Token</t>
        </is>
      </c>
      <c r="D12" s="17" t="inlineStr">
        <is>
          <t>Minor</t>
        </is>
      </c>
      <c r="E12" s="17" t="inlineStr">
        <is>
          <t>Figma: The search bar and table sit directly on the page with a soft shadow — there is NO bordered card around them.  →  Live: The search and table are wrapped in a 1px hairline-bordered card.</t>
        </is>
      </c>
      <c r="F12" s="17" t="inlineStr">
        <is>
          <t>Remove the hairline card border around the search + table; use the soft shadow from the design.</t>
        </is>
      </c>
      <c r="G12" s="17" t="inlineStr">
        <is>
          <t>https://www.figma.com/design/gH2vQ62cfg4677YKWuOpLc/MoSJE-Portal--Handoff-?node-id=4226-39685</t>
        </is>
      </c>
      <c r="H12" s="17" t="n"/>
      <c r="I12" s="17" t="inlineStr">
        <is>
          <t>Open</t>
        </is>
      </c>
      <c r="J12" s="17" t="n"/>
      <c r="K12" s="17" t="n"/>
      <c r="L12" s="17" t="n"/>
    </row>
    <row r="13">
      <c r="A13" s="18" t="inlineStr">
        <is>
          <t>UTH-LOGIN-001</t>
        </is>
      </c>
      <c r="B13" s="18" t="inlineStr">
        <is>
          <t>Login</t>
        </is>
      </c>
      <c r="C13" s="18" t="inlineStr">
        <is>
          <t>Components &amp; States</t>
        </is>
      </c>
      <c r="D13" s="18" t="inlineStr">
        <is>
          <t>Blocker</t>
        </is>
      </c>
      <c r="E13" s="18" t="inlineStr">
        <is>
          <t>Figma: Navy government bar at the very top — flag + 'Government of India', 'Skip to Main Content', A−/A/A+ text resize, contrast toggle and language selector.  →  Live: The login page has no government bar at all (the signed-in pages do have it).</t>
        </is>
      </c>
      <c r="F13" s="18" t="inlineStr">
        <is>
          <t>Add the same government accessibility bar to the top of the login page.</t>
        </is>
      </c>
      <c r="G13" s="18" t="inlineStr">
        <is>
          <t>https://www.figma.com/design/gH2vQ62cfg4677YKWuOpLc/MoSJE-Portal--Handoff-?node-id=9018-36746</t>
        </is>
      </c>
      <c r="H13" s="18" t="inlineStr">
        <is>
          <t>https://eutthan-admin-uat.mosje.in/login</t>
        </is>
      </c>
      <c r="I13" s="18" t="inlineStr">
        <is>
          <t>Open</t>
        </is>
      </c>
      <c r="J13" s="18" t="n"/>
      <c r="K13" s="18" t="n"/>
      <c r="L13" s="18" t="n"/>
    </row>
    <row r="14">
      <c r="A14" s="17" t="inlineStr">
        <is>
          <t>UTH-LOGIN-002</t>
        </is>
      </c>
      <c r="B14" s="17" t="inlineStr">
        <is>
          <t>Login</t>
        </is>
      </c>
      <c r="C14" s="17" t="inlineStr">
        <is>
          <t>Content &amp; Iconography</t>
        </is>
      </c>
      <c r="D14" s="17" t="inlineStr">
        <is>
          <t>Major</t>
        </is>
      </c>
      <c r="E14" s="17" t="inlineStr">
        <is>
          <t>Figma: Emblem + BETA tag + the full three-line lockup ending in the bold 'Department of Social Justice &amp; Empowerment', plus the Digital India and SAMAVESH logos.  →  Live: Only the emblem with two lines; the BETA tag, Department line and both partner logos are missing.</t>
        </is>
      </c>
      <c r="F14" s="17" t="inlineStr">
        <is>
          <t>Show the complete masthead: BETA tag, full department lockup, and the Digital India + SAMAVESH logos.</t>
        </is>
      </c>
      <c r="G14" s="17" t="inlineStr">
        <is>
          <t>https://www.figma.com/design/gH2vQ62cfg4677YKWuOpLc/MoSJE-Portal--Handoff-?node-id=9018-36746</t>
        </is>
      </c>
      <c r="H14" s="17" t="inlineStr">
        <is>
          <t>https://eutthan-admin-uat.mosje.in/login</t>
        </is>
      </c>
      <c r="I14" s="17" t="inlineStr">
        <is>
          <t>Open</t>
        </is>
      </c>
      <c r="J14" s="17" t="n"/>
      <c r="K14" s="17" t="n"/>
      <c r="L14" s="17" t="n"/>
    </row>
    <row r="15">
      <c r="A15" s="18" t="inlineStr">
        <is>
          <t>UTH-LOGIN-003</t>
        </is>
      </c>
      <c r="B15" s="18" t="inlineStr">
        <is>
          <t>Login</t>
        </is>
      </c>
      <c r="C15" s="18" t="inlineStr">
        <is>
          <t>Color &amp; Token</t>
        </is>
      </c>
      <c r="D15" s="18" t="inlineStr">
        <is>
          <t>Blocker</t>
        </is>
      </c>
      <c r="E15" s="18" t="inlineStr">
        <is>
          <t>Figma: A solid navy #003366 brand panel (~60% of the page): SAMAVESH logo + समावेश wordmark, orange divider, 'Justice. Equality. Dignity.' headline, a short description, and a bottom 'SIGNING INTO E-Utthaan' strip with a Change button.  →  Live: A pale-blue illustration fills the left side (~44%) — no navy panel, no SAMAVESH branding, no tagline and no 'SIGNING INTO' strip.</t>
        </is>
      </c>
      <c r="F15" s="18" t="inlineStr">
        <is>
          <t>Replace the illustration with the navy SAMAVESH brand panel, restore the ~60/40 split and the 'SIGNING INTO E-Utthaan' strip.</t>
        </is>
      </c>
      <c r="G15" s="18" t="inlineStr">
        <is>
          <t>https://www.figma.com/design/gH2vQ62cfg4677YKWuOpLc/MoSJE-Portal--Handoff-?node-id=9018-36746</t>
        </is>
      </c>
      <c r="H15" s="18" t="inlineStr">
        <is>
          <t>https://eutthan-admin-uat.mosje.in/login</t>
        </is>
      </c>
      <c r="I15" s="18" t="inlineStr">
        <is>
          <t>Open</t>
        </is>
      </c>
      <c r="J15" s="18" t="n"/>
      <c r="K15" s="18" t="n"/>
      <c r="L15" s="18" t="n"/>
    </row>
    <row r="16">
      <c r="A16" s="17" t="inlineStr">
        <is>
          <t>UTH-LOGIN-004</t>
        </is>
      </c>
      <c r="B16" s="17" t="inlineStr">
        <is>
          <t>Login</t>
        </is>
      </c>
      <c r="C16" s="17" t="inlineStr">
        <is>
          <t>Content &amp; Iconography</t>
        </is>
      </c>
      <c r="D16" s="17" t="inlineStr">
        <is>
          <t>Major</t>
        </is>
      </c>
      <c r="E16" s="17" t="inlineStr">
        <is>
          <t>Figma: 'Log in to your account' — left-aligned at the top of the form.  →  Live: 'Log In' — centred, with the national emblem repeated above it.</t>
        </is>
      </c>
      <c r="F16" s="17" t="inlineStr">
        <is>
          <t>Use the heading 'Log in to your account', left-aligned, and remove the duplicate emblem above the form.</t>
        </is>
      </c>
      <c r="G16" s="17" t="inlineStr">
        <is>
          <t>https://www.figma.com/design/gH2vQ62cfg4677YKWuOpLc/MoSJE-Portal--Handoff-?node-id=9018-36746</t>
        </is>
      </c>
      <c r="H16" s="17" t="inlineStr">
        <is>
          <t>https://eutthan-admin-uat.mosje.in/login</t>
        </is>
      </c>
      <c r="I16" s="17" t="inlineStr">
        <is>
          <t>Open</t>
        </is>
      </c>
      <c r="J16" s="17" t="n"/>
      <c r="K16" s="17" t="n"/>
      <c r="L16" s="17" t="n"/>
    </row>
    <row r="17">
      <c r="A17" s="18" t="inlineStr">
        <is>
          <t>UTH-LOGIN-005</t>
        </is>
      </c>
      <c r="B17" s="18" t="inlineStr">
        <is>
          <t>Login</t>
        </is>
      </c>
      <c r="C17" s="18" t="inlineStr">
        <is>
          <t>Components &amp; States</t>
        </is>
      </c>
      <c r="D17" s="18" t="inlineStr">
        <is>
          <t>Major</t>
        </is>
      </c>
      <c r="E17" s="18" t="inlineStr">
        <is>
          <t>Figma: 'User ID or Email' and 'Password' labels sit above their fields; inputs are 48px tall with a navy #003366 focus outline.  →  Live: No labels — only placeholder text inside the fields; inputs are 46px tall with no visible focus style.</t>
        </is>
      </c>
      <c r="F17" s="18" t="inlineStr">
        <is>
          <t>Add the two field labels above the inputs; input height 48px with a 2px navy #003366 focus outline.</t>
        </is>
      </c>
      <c r="G17" s="18" t="inlineStr">
        <is>
          <t>https://www.figma.com/design/gH2vQ62cfg4677YKWuOpLc/MoSJE-Portal--Handoff-?node-id=9018-36746</t>
        </is>
      </c>
      <c r="H17" s="18" t="inlineStr">
        <is>
          <t>https://eutthan-admin-uat.mosje.in/login</t>
        </is>
      </c>
      <c r="I17" s="18" t="inlineStr">
        <is>
          <t>Open</t>
        </is>
      </c>
      <c r="J17" s="18" t="n"/>
      <c r="K17" s="18" t="n"/>
      <c r="L17" s="18" t="n"/>
    </row>
    <row r="18">
      <c r="A18" s="17" t="inlineStr">
        <is>
          <t>UTH-LOGIN-006</t>
        </is>
      </c>
      <c r="B18" s="17" t="inlineStr">
        <is>
          <t>Login</t>
        </is>
      </c>
      <c r="C18" s="17" t="inlineStr">
        <is>
          <t>Components &amp; States</t>
        </is>
      </c>
      <c r="D18" s="17" t="inlineStr">
        <is>
          <t>Minor</t>
        </is>
      </c>
      <c r="E18" s="17" t="inlineStr">
        <is>
          <t>Figma: Eye icon inside the password field — 24×24, grey #6b7280.  →  Live: The eye icon is smaller (~16px) and tight against the field edge with a small tap area.</t>
        </is>
      </c>
      <c r="F18" s="17" t="inlineStr">
        <is>
          <t>Use the 24px eye icon in grey #6b7280 with a comfortable tap area.</t>
        </is>
      </c>
      <c r="G18" s="17" t="inlineStr">
        <is>
          <t>https://www.figma.com/design/gH2vQ62cfg4677YKWuOpLc/MoSJE-Portal--Handoff-?node-id=9018-36746</t>
        </is>
      </c>
      <c r="H18" s="17" t="inlineStr">
        <is>
          <t>https://eutthan-admin-uat.mosje.in/login</t>
        </is>
      </c>
      <c r="I18" s="17" t="inlineStr">
        <is>
          <t>Open</t>
        </is>
      </c>
      <c r="J18" s="17" t="n"/>
      <c r="K18" s="17" t="n"/>
      <c r="L18" s="17" t="n"/>
    </row>
    <row r="19">
      <c r="A19" s="18" t="inlineStr">
        <is>
          <t>UTH-LOGIN-007</t>
        </is>
      </c>
      <c r="B19" s="18" t="inlineStr">
        <is>
          <t>Login</t>
        </is>
      </c>
      <c r="C19" s="18" t="inlineStr">
        <is>
          <t>Color &amp; Token</t>
        </is>
      </c>
      <c r="D19" s="18" t="inlineStr">
        <is>
          <t>Minor</t>
        </is>
      </c>
      <c r="E19" s="18" t="inlineStr">
        <is>
          <t>Figma: Label 'Log In' · 48px tall · 8px corner radius · full form width.  →  Live: Label 'Sign In' · ~41px tall · ~6px radius.</t>
        </is>
      </c>
      <c r="F19" s="18" t="inlineStr">
        <is>
          <t>Change the label to 'Log In'; set height 48px and corner radius 8px.</t>
        </is>
      </c>
      <c r="G19" s="18" t="inlineStr">
        <is>
          <t>https://www.figma.com/design/gH2vQ62cfg4677YKWuOpLc/MoSJE-Portal--Handoff-?node-id=9018-36746</t>
        </is>
      </c>
      <c r="H19" s="18" t="inlineStr">
        <is>
          <t>https://eutthan-admin-uat.mosje.in/login</t>
        </is>
      </c>
      <c r="I19" s="18" t="inlineStr">
        <is>
          <t>Open</t>
        </is>
      </c>
      <c r="J19" s="18" t="n"/>
      <c r="K19" s="18" t="n"/>
      <c r="L19" s="18" t="n"/>
    </row>
    <row r="20">
      <c r="A20" s="17" t="inlineStr">
        <is>
          <t>UTH-LOGIN-008</t>
        </is>
      </c>
      <c r="B20" s="17" t="inlineStr">
        <is>
          <t>Login</t>
        </is>
      </c>
      <c r="C20" s="17" t="inlineStr">
        <is>
          <t>Content &amp; Iconography</t>
        </is>
      </c>
      <c r="D20" s="17" t="inlineStr">
        <is>
          <t>Nit</t>
        </is>
      </c>
      <c r="E20" s="17" t="inlineStr">
        <is>
          <t>Figma: 'Forgot Password?' — with the question mark — right-aligned on the Password label row, in navy.  →  Live: 'Forgot Password' without the question mark.</t>
        </is>
      </c>
      <c r="F20" s="17" t="inlineStr">
        <is>
          <t>Add the question mark: 'Forgot Password?'.</t>
        </is>
      </c>
      <c r="G20" s="17" t="inlineStr">
        <is>
          <t>https://www.figma.com/design/gH2vQ62cfg4677YKWuOpLc/MoSJE-Portal--Handoff-?node-id=9018-36746</t>
        </is>
      </c>
      <c r="H20" s="17" t="inlineStr">
        <is>
          <t>https://eutthan-admin-uat.mosje.in/login</t>
        </is>
      </c>
      <c r="I20" s="17" t="inlineStr">
        <is>
          <t>Open</t>
        </is>
      </c>
      <c r="J20" s="17" t="n"/>
      <c r="K20" s="17" t="n"/>
      <c r="L20" s="17" t="n"/>
    </row>
    <row r="21">
      <c r="A21" s="18" t="inlineStr">
        <is>
          <t>UTH-DASHBOARD-001</t>
        </is>
      </c>
      <c r="B21" s="18" t="inlineStr">
        <is>
          <t>Admin / Dashboard</t>
        </is>
      </c>
      <c r="C21" s="18" t="inlineStr">
        <is>
          <t>Typography</t>
        </is>
      </c>
      <c r="D21" s="18" t="inlineStr">
        <is>
          <t>Minor</t>
        </is>
      </c>
      <c r="E21" s="18" t="inlineStr">
        <is>
          <t>Figma: Noto Sans 28px / 500 / line-height 36 / letter-spacing −0.28 / colour #374151.  →  Live: 30px / 600 / colour #1E3A5F (larger, bolder and a different colour).</t>
        </is>
      </c>
      <c r="F21" s="18" t="inlineStr">
        <is>
          <t>Set the page heading to 28px / 500 / #374151 / letter-spacing −0.28.</t>
        </is>
      </c>
      <c r="G21" s="18" t="inlineStr">
        <is>
          <t>https://www.figma.com/design/gH2vQ62cfg4677YKWuOpLc/MoSJE-Portal--Handoff-?node-id=4226-39685</t>
        </is>
      </c>
      <c r="H21" s="18" t="inlineStr">
        <is>
          <t>https://eutthan-admin-uat.mosje.in/dashboard</t>
        </is>
      </c>
      <c r="I21" s="18" t="inlineStr">
        <is>
          <t>Open</t>
        </is>
      </c>
      <c r="J21" s="18" t="n"/>
      <c r="K21" s="18" t="n"/>
      <c r="L21" s="18" t="n"/>
    </row>
    <row r="22">
      <c r="A22" s="17" t="inlineStr">
        <is>
          <t>UTH-DASHBOARD-002</t>
        </is>
      </c>
      <c r="B22" s="17" t="inlineStr">
        <is>
          <t>Admin / Dashboard</t>
        </is>
      </c>
      <c r="C22" s="17" t="inlineStr">
        <is>
          <t>Layout &amp; Spacing</t>
        </is>
      </c>
      <c r="D22" s="17" t="inlineStr">
        <is>
          <t>Major</t>
        </is>
      </c>
      <c r="E22" s="17" t="inlineStr">
        <is>
          <t>Figma: The State and Financial-Year filters sit at the top of the page, next to the 'Dashboard' heading — they control everything below.  →  Live: The Financial-Year filter sits inside the 'Progress Report' panel header, although changing it also updates the four KPI cards above it.</t>
        </is>
      </c>
      <c r="F22" s="17" t="inlineStr">
        <is>
          <t>Move the Financial-Year filter to the top of the page next to the heading, as it affects the whole page. Applies to the Ministry dashboard as well.</t>
        </is>
      </c>
      <c r="G22" s="17" t="inlineStr">
        <is>
          <t>https://www.figma.com/design/gH2vQ62cfg4677YKWuOpLc/MoSJE-Portal--Handoff-?node-id=4226-39685</t>
        </is>
      </c>
      <c r="H22" s="17" t="inlineStr">
        <is>
          <t>https://eutthan-admin-uat.mosje.in/dashboard</t>
        </is>
      </c>
      <c r="I22" s="17" t="inlineStr">
        <is>
          <t>Open</t>
        </is>
      </c>
      <c r="J22" s="17" t="n"/>
      <c r="K22" s="17" t="n"/>
      <c r="L22" s="17" t="n"/>
    </row>
    <row r="23">
      <c r="A23" s="18" t="inlineStr">
        <is>
          <t>UTH-DASHBOARD-003</t>
        </is>
      </c>
      <c r="B23" s="18" t="inlineStr">
        <is>
          <t>Admin / Dashboard</t>
        </is>
      </c>
      <c r="C23" s="18" t="inlineStr">
        <is>
          <t>Components &amp; States</t>
        </is>
      </c>
      <c r="D23" s="18" t="inlineStr">
        <is>
          <t>Minor</t>
        </is>
      </c>
      <c r="E23" s="18" t="inlineStr">
        <is>
          <t>Figma: Two filters at the top: a State dropdown ('All States') and the Financial-Year dropdown.  →  Live: Only the Financial-Year filter exists; there is no State filter.</t>
        </is>
      </c>
      <c r="F23" s="18" t="inlineStr">
        <is>
          <t>Show all the relevant filters.</t>
        </is>
      </c>
      <c r="G23" s="18" t="inlineStr">
        <is>
          <t>https://www.figma.com/design/gH2vQ62cfg4677YKWuOpLc/MoSJE-Portal--Handoff-?node-id=4226-39685</t>
        </is>
      </c>
      <c r="H23" s="18" t="inlineStr">
        <is>
          <t>https://eutthan-admin-uat.mosje.in/dashboard</t>
        </is>
      </c>
      <c r="I23" s="18" t="inlineStr">
        <is>
          <t>Open</t>
        </is>
      </c>
      <c r="J23" s="18" t="n"/>
      <c r="K23" s="18" t="n"/>
      <c r="L23" s="18" t="n"/>
    </row>
    <row r="24">
      <c r="A24" s="17" t="inlineStr">
        <is>
          <t>UTH-DASHBOARD-004</t>
        </is>
      </c>
      <c r="B24" s="17" t="inlineStr">
        <is>
          <t>Admin / Dashboard</t>
        </is>
      </c>
      <c r="C24" s="17" t="inlineStr">
        <is>
          <t>Typography</t>
        </is>
      </c>
      <c r="D24" s="17" t="inlineStr">
        <is>
          <t>Major</t>
        </is>
      </c>
      <c r="E24" s="17" t="inlineStr">
        <is>
          <t>Figma: Card label in regular weight (400) dark slate #374151; the value below in semibold dark slate #374151.  →  Live: Card labels render in bold, and all values render in bold navy (#003366 family) — heavier and bluer than the design.</t>
        </is>
      </c>
      <c r="F24" s="17" t="inlineStr">
        <is>
          <t>Card labels → regular 400 #374151; values → semibold #374151 (not navy, not extra bold). Applies to both dashboards.</t>
        </is>
      </c>
      <c r="G24" s="17" t="inlineStr">
        <is>
          <t>https://www.figma.com/design/gH2vQ62cfg4677YKWuOpLc/MoSJE-Portal--Handoff-?node-id=4226-39685</t>
        </is>
      </c>
      <c r="H24" s="17" t="inlineStr">
        <is>
          <t>https://eutthan-admin-uat.mosje.in/dashboard</t>
        </is>
      </c>
      <c r="I24" s="17" t="inlineStr">
        <is>
          <t>Open</t>
        </is>
      </c>
      <c r="J24" s="17" t="n"/>
      <c r="K24" s="17" t="n"/>
      <c r="L24" s="17" t="n"/>
    </row>
    <row r="25">
      <c r="A25" s="18" t="inlineStr">
        <is>
          <t>UTH-DASHBOARD-005</t>
        </is>
      </c>
      <c r="B25" s="18" t="inlineStr">
        <is>
          <t>Admin / Dashboard</t>
        </is>
      </c>
      <c r="C25" s="18" t="inlineStr">
        <is>
          <t>Layout &amp; Spacing</t>
        </is>
      </c>
      <c r="D25" s="18" t="inlineStr">
        <is>
          <t>Minor</t>
        </is>
      </c>
      <c r="E25" s="18" t="inlineStr">
        <is>
          <t>Figma: 'Progress Report of Financial Year …' is a plain section title on the page, with the white stat cards directly below it.  →  Live: The whole progress section is wrapped in a grey panel with a header strip, so the cards sit inside a box that isn't in the design.</t>
        </is>
      </c>
      <c r="F25" s="18" t="inlineStr">
        <is>
          <t>Remove the grey wrapper panel; show the section title directly on the page with the cards below.</t>
        </is>
      </c>
      <c r="G25" s="18" t="inlineStr">
        <is>
          <t>https://www.figma.com/design/gH2vQ62cfg4677YKWuOpLc/MoSJE-Portal--Handoff-?node-id=4226-39685</t>
        </is>
      </c>
      <c r="H25" s="18" t="inlineStr">
        <is>
          <t>https://eutthan-admin-uat.mosje.in/dashboard</t>
        </is>
      </c>
      <c r="I25" s="18" t="inlineStr">
        <is>
          <t>Open</t>
        </is>
      </c>
      <c r="J25" s="18" t="n"/>
      <c r="K25" s="18" t="n"/>
      <c r="L25" s="18" t="n"/>
    </row>
    <row r="26">
      <c r="A26" s="17" t="inlineStr">
        <is>
          <t>UTH-FINANCIAL-YEAR-001</t>
        </is>
      </c>
      <c r="B26" s="17" t="inlineStr">
        <is>
          <t>Admin / Financial Year</t>
        </is>
      </c>
      <c r="C26" s="17" t="inlineStr">
        <is>
          <t>Color &amp; Token</t>
        </is>
      </c>
      <c r="D26" s="17" t="inlineStr">
        <is>
          <t>Major</t>
        </is>
      </c>
      <c r="E26" s="17" t="inlineStr">
        <is>
          <t>Figma: Financial-year body cells use navy #003366 (this screen highlights the value in primary).  →  Live: Body cells render in #374151 — the navy treatment is missing.</t>
        </is>
      </c>
      <c r="F26" s="17" t="inlineStr">
        <is>
          <t>Set the body cell text to navy #003366 on this screen.</t>
        </is>
      </c>
      <c r="G26" s="17" t="inlineStr">
        <is>
          <t>https://www.figma.com/design/gH2vQ62cfg4677YKWuOpLc/MoSJE-Portal--Handoff-?node-id=4226-40009</t>
        </is>
      </c>
      <c r="H26" s="17" t="inlineStr">
        <is>
          <t>https://eutthan-admin-uat.mosje.in/admin/financial-year-management</t>
        </is>
      </c>
      <c r="I26" s="17" t="inlineStr">
        <is>
          <t>Open</t>
        </is>
      </c>
      <c r="J26" s="17" t="n"/>
      <c r="K26" s="17" t="n"/>
      <c r="L26" s="17" t="n"/>
    </row>
    <row r="27">
      <c r="A27" s="18" t="inlineStr">
        <is>
          <t>UTH-FINANCIAL-YEAR-002</t>
        </is>
      </c>
      <c r="B27" s="18" t="inlineStr">
        <is>
          <t>Admin / Financial Year</t>
        </is>
      </c>
      <c r="C27" s="18" t="inlineStr">
        <is>
          <t>Components &amp; States</t>
        </is>
      </c>
      <c r="D27" s="18" t="inlineStr">
        <is>
          <t>Major</t>
        </is>
      </c>
      <c r="E27" s="18" t="inlineStr">
        <is>
          <t>Figma: The right-most column has an 'Action' header above the row controls.  →  Live: No 'Action' header above the edit/delete controls.</t>
        </is>
      </c>
      <c r="F27" s="18" t="inlineStr">
        <is>
          <t>Add the 'Action' column header to the table header row.</t>
        </is>
      </c>
      <c r="G27" s="18" t="inlineStr">
        <is>
          <t>https://www.figma.com/design/gH2vQ62cfg4677YKWuOpLc/MoSJE-Portal--Handoff-?node-id=4226-40009</t>
        </is>
      </c>
      <c r="H27" s="18" t="inlineStr">
        <is>
          <t>https://eutthan-admin-uat.mosje.in/admin/financial-year-management</t>
        </is>
      </c>
      <c r="I27" s="18" t="inlineStr">
        <is>
          <t>Open</t>
        </is>
      </c>
      <c r="J27" s="18" t="n"/>
      <c r="K27" s="18" t="n"/>
      <c r="L27" s="18" t="n"/>
    </row>
    <row r="28">
      <c r="A28" s="17" t="inlineStr">
        <is>
          <t>UTH-FINANCIAL-YEAR-003</t>
        </is>
      </c>
      <c r="B28" s="17" t="inlineStr">
        <is>
          <t>Admin / Financial Year</t>
        </is>
      </c>
      <c r="C28" s="17" t="inlineStr">
        <is>
          <t>Components &amp; States</t>
        </is>
      </c>
      <c r="D28" s="17" t="inlineStr">
        <is>
          <t>Major</t>
        </is>
      </c>
      <c r="E28" s="17" t="inlineStr">
        <is>
          <t>Figma: Two icon-only buttons per row: a pencil (edit) in a light box and a red trash (delete) in a light-red box.  →  Live: An 'Edit' text link with a pencil, plus a bare trash icon — not the boxed icon-only buttons.</t>
        </is>
      </c>
      <c r="F28" s="17" t="inlineStr">
        <is>
          <t>Use the boxed icon-only pencil and red trash buttons from the design.</t>
        </is>
      </c>
      <c r="G28" s="17" t="inlineStr">
        <is>
          <t>https://www.figma.com/design/gH2vQ62cfg4677YKWuOpLc/MoSJE-Portal--Handoff-?node-id=4226-40009</t>
        </is>
      </c>
      <c r="H28" s="17" t="inlineStr">
        <is>
          <t>https://eutthan-admin-uat.mosje.in/admin/financial-year-management</t>
        </is>
      </c>
      <c r="I28" s="17" t="inlineStr">
        <is>
          <t>Open</t>
        </is>
      </c>
      <c r="J28" s="17" t="n"/>
      <c r="K28" s="17" t="n"/>
      <c r="L28" s="17" t="n"/>
    </row>
    <row r="29">
      <c r="A29" s="18" t="inlineStr">
        <is>
          <t>UTH-FINANCIAL-YEAR-004</t>
        </is>
      </c>
      <c r="B29" s="18" t="inlineStr">
        <is>
          <t>Admin / Financial Year</t>
        </is>
      </c>
      <c r="C29" s="18" t="inlineStr">
        <is>
          <t>Color &amp; Token</t>
        </is>
      </c>
      <c r="D29" s="18" t="inlineStr">
        <is>
          <t>Minor</t>
        </is>
      </c>
      <c r="E29" s="18" t="inlineStr">
        <is>
          <t>Figma: Highlighted/selected row background #e5eff9.  →  Live: Highlighted row background #eaf2fb — visually close but not the token.</t>
        </is>
      </c>
      <c r="F29" s="18" t="inlineStr">
        <is>
          <t>Use #e5eff9 for the highlighted row background.</t>
        </is>
      </c>
      <c r="G29" s="18" t="inlineStr">
        <is>
          <t>https://www.figma.com/design/gH2vQ62cfg4677YKWuOpLc/MoSJE-Portal--Handoff-?node-id=4226-40009</t>
        </is>
      </c>
      <c r="H29" s="18" t="inlineStr">
        <is>
          <t>https://eutthan-admin-uat.mosje.in/admin/financial-year-management</t>
        </is>
      </c>
      <c r="I29" s="18" t="inlineStr">
        <is>
          <t>Open</t>
        </is>
      </c>
      <c r="J29" s="18" t="n"/>
      <c r="K29" s="18" t="n"/>
      <c r="L29" s="18" t="n"/>
    </row>
    <row r="30">
      <c r="A30" s="17" t="inlineStr">
        <is>
          <t>UTH-FINANCIAL-YEAR-005</t>
        </is>
      </c>
      <c r="B30" s="17" t="inlineStr">
        <is>
          <t>Admin / Financial Year</t>
        </is>
      </c>
      <c r="C30" s="17" t="inlineStr">
        <is>
          <t>Color &amp; Token</t>
        </is>
      </c>
      <c r="D30" s="17" t="inlineStr">
        <is>
          <t>Minor</t>
        </is>
      </c>
      <c r="E30" s="17" t="inlineStr">
        <is>
          <t>Figma: Search field has a white background (border #e5e7eb).  →  Live: Search field background is grey #f9fafb (border #e5e7eb is the same in both).</t>
        </is>
      </c>
      <c r="F30" s="17" t="inlineStr">
        <is>
          <t>Set the search field background to white.</t>
        </is>
      </c>
      <c r="G30" s="17" t="inlineStr">
        <is>
          <t>https://www.figma.com/design/gH2vQ62cfg4677YKWuOpLc/MoSJE-Portal--Handoff-?node-id=4226-40009</t>
        </is>
      </c>
      <c r="H30" s="17" t="inlineStr">
        <is>
          <t>https://eutthan-admin-uat.mosje.in/admin/financial-year-management</t>
        </is>
      </c>
      <c r="I30" s="17" t="inlineStr">
        <is>
          <t>Open</t>
        </is>
      </c>
      <c r="J30" s="17" t="n"/>
      <c r="K30" s="17" t="n"/>
      <c r="L30" s="17" t="n"/>
    </row>
    <row r="31">
      <c r="A31" s="18" t="inlineStr">
        <is>
          <t>UTH-MANAGE-MINISTRY-001</t>
        </is>
      </c>
      <c r="B31" s="18" t="inlineStr">
        <is>
          <t>Admin / Manage Ministry</t>
        </is>
      </c>
      <c r="C31" s="18" t="inlineStr">
        <is>
          <t>Color &amp; Token</t>
        </is>
      </c>
      <c r="D31" s="18" t="inlineStr">
        <is>
          <t>Major</t>
        </is>
      </c>
      <c r="E31" s="18" t="inlineStr">
        <is>
          <t>Figma: Default rows in neutral dark #374151; a row turns primary navy #003366 (on the #e5eff9 highlight) only on hover/selection.  →  Live: Ministry names always render in a lighter blue link style, regardless of state.</t>
        </is>
      </c>
      <c r="F31" s="18" t="inlineStr">
        <is>
          <t>Default rows → #374151; apply the navy #003366 treatment only to the hovered/selected row.</t>
        </is>
      </c>
      <c r="G31" s="18" t="inlineStr">
        <is>
          <t>https://www.figma.com/design/gH2vQ62cfg4677YKWuOpLc/MoSJE-Portal--Handoff-?node-id=4226-40288</t>
        </is>
      </c>
      <c r="H31" s="18" t="inlineStr">
        <is>
          <t>https://eutthan-admin-uat.mosje.in/ministry-management</t>
        </is>
      </c>
      <c r="I31" s="18" t="inlineStr">
        <is>
          <t>Open</t>
        </is>
      </c>
      <c r="J31" s="18" t="n"/>
      <c r="K31" s="18" t="n"/>
      <c r="L31" s="18" t="n"/>
    </row>
    <row r="32">
      <c r="A32" s="17" t="inlineStr">
        <is>
          <t>UTH-MANAGE-MINISTRY-002</t>
        </is>
      </c>
      <c r="B32" s="17" t="inlineStr">
        <is>
          <t>Admin / Manage Ministry</t>
        </is>
      </c>
      <c r="C32" s="17" t="inlineStr">
        <is>
          <t>Components &amp; States</t>
        </is>
      </c>
      <c r="D32" s="17" t="inlineStr">
        <is>
          <t>Major</t>
        </is>
      </c>
      <c r="E32" s="17" t="inlineStr">
        <is>
          <t>Figma: On the hovered row: 'Edit' (navy on a light fill, 8px radius) and 'Delete' (red text + icon), comfortably sized with a 12px gap.  →  Live: Edit and Delete appear but are compressed by the tight row padding and can't render at their designed size.</t>
        </is>
      </c>
      <c r="F32" s="17" t="inlineStr">
        <is>
          <t>Match the Edit/Delete buttons' size, fill and spacing to the design.</t>
        </is>
      </c>
      <c r="G32" s="17" t="inlineStr">
        <is>
          <t>https://www.figma.com/design/gH2vQ62cfg4677YKWuOpLc/MoSJE-Portal--Handoff-?node-id=4226-40288</t>
        </is>
      </c>
      <c r="H32" s="17" t="inlineStr">
        <is>
          <t>https://eutthan-admin-uat.mosje.in/ministry-management</t>
        </is>
      </c>
      <c r="I32" s="17" t="inlineStr">
        <is>
          <t>Open</t>
        </is>
      </c>
      <c r="J32" s="17" t="n"/>
      <c r="K32" s="17" t="n"/>
      <c r="L32" s="17" t="n"/>
    </row>
    <row r="33">
      <c r="A33" s="18" t="inlineStr">
        <is>
          <t>UTH-MANAGE-OUTCOME-001</t>
        </is>
      </c>
      <c r="B33" s="18" t="inlineStr">
        <is>
          <t>Admin / Manage Outcome</t>
        </is>
      </c>
      <c r="C33" s="18" t="inlineStr">
        <is>
          <t>Components &amp; States</t>
        </is>
      </c>
      <c r="D33" s="18" t="inlineStr">
        <is>
          <t>Minor</t>
        </is>
      </c>
      <c r="E33" s="18" t="inlineStr">
        <is>
          <t>Figma: Three filter chips beside the search: Financial Year, 'All Schemes' and 'All Department'.  →  Live: Only the Financial-Year dropdown is present.</t>
        </is>
      </c>
      <c r="F33" s="18" t="inlineStr">
        <is>
          <t>Show all the relevant filters.</t>
        </is>
      </c>
      <c r="G33" s="18" t="inlineStr">
        <is>
          <t>https://www.figma.com/design/gH2vQ62cfg4677YKWuOpLc/MoSJE-Portal--Handoff-?node-id=4226-40657</t>
        </is>
      </c>
      <c r="H33" s="18" t="inlineStr">
        <is>
          <t>https://eutthan-admin-uat.mosje.in/manage-outcome</t>
        </is>
      </c>
      <c r="I33" s="18" t="inlineStr">
        <is>
          <t>Open</t>
        </is>
      </c>
      <c r="J33" s="18" t="n"/>
      <c r="K33" s="18" t="n"/>
      <c r="L33" s="18" t="n"/>
    </row>
    <row r="34">
      <c r="A34" s="17" t="inlineStr">
        <is>
          <t>UTH-DOCUMENTS-001</t>
        </is>
      </c>
      <c r="B34" s="17" t="inlineStr">
        <is>
          <t>Admin / Documents</t>
        </is>
      </c>
      <c r="C34" s="17" t="inlineStr">
        <is>
          <t>Components &amp; States</t>
        </is>
      </c>
      <c r="D34" s="17" t="inlineStr">
        <is>
          <t>Major</t>
        </is>
      </c>
      <c r="E34" s="17" t="inlineStr">
        <is>
          <t>Figma: A compact filter chip (about 99×36, 6px radius, 1px #e5e7eb border, leading arrow-down icon).  →  Live: A wide clearable select with a trailing × button and chevron — a different control style.</t>
        </is>
      </c>
      <c r="F34" s="17" t="inlineStr">
        <is>
          <t>Use the compact filter-chip style from the design; keep the × clear only for an applied-filter state.</t>
        </is>
      </c>
      <c r="G34" s="17" t="inlineStr">
        <is>
          <t>https://www.figma.com/design/gH2vQ62cfg4677YKWuOpLc/MoSJE-Portal--Handoff-?node-id=4226-42902</t>
        </is>
      </c>
      <c r="H34" s="17" t="inlineStr">
        <is>
          <t>https://eutthan-admin-uat.mosje.in/document-management</t>
        </is>
      </c>
      <c r="I34" s="17" t="inlineStr">
        <is>
          <t>Open</t>
        </is>
      </c>
      <c r="J34" s="17" t="n"/>
      <c r="K34" s="17" t="n"/>
      <c r="L34" s="17" t="n"/>
    </row>
    <row r="35">
      <c r="A35" s="18" t="inlineStr">
        <is>
          <t>UTH-MAP-MINISTRY-001</t>
        </is>
      </c>
      <c r="B35" s="18" t="inlineStr">
        <is>
          <t>Admin / Map Ministry / Mapped</t>
        </is>
      </c>
      <c r="C35" s="18" t="inlineStr">
        <is>
          <t>Components &amp; States</t>
        </is>
      </c>
      <c r="D35" s="18" t="inlineStr">
        <is>
          <t>Blocker</t>
        </is>
      </c>
      <c r="E35" s="18" t="inlineStr">
        <is>
          <t>Figma: A two-option segmented control sits beside the heading — active 'Ministry' in white on navy #003366, inactive 'Schemes' in grey.  →  Live: No tabs at all — the 'Mapped Ministry List' heading sits alone above the table.</t>
        </is>
      </c>
      <c r="F35" s="18" t="inlineStr">
        <is>
          <t>Add the Ministry/Schemes segmented tabs beside the heading, as shown in the design.</t>
        </is>
      </c>
      <c r="G35" s="18" t="inlineStr">
        <is>
          <t>https://www.figma.com/design/gH2vQ62cfg4677YKWuOpLc/MoSJE-Portal--Handoff-?node-id=4226-41073</t>
        </is>
      </c>
      <c r="H35" s="18" t="inlineStr">
        <is>
          <t>https://eutthan-admin-uat.mosje.in/map-ministry</t>
        </is>
      </c>
      <c r="I35" s="18" t="inlineStr">
        <is>
          <t>Open</t>
        </is>
      </c>
      <c r="J35" s="18" t="n"/>
      <c r="K35" s="18" t="n"/>
      <c r="L35" s="18" t="n"/>
    </row>
    <row r="36">
      <c r="A36" s="17" t="inlineStr">
        <is>
          <t>UTH-MAP-MINISTRY-002</t>
        </is>
      </c>
      <c r="B36" s="17" t="inlineStr">
        <is>
          <t>Admin / Map Ministry / Mapped</t>
        </is>
      </c>
      <c r="C36" s="17" t="inlineStr">
        <is>
          <t>Color &amp; Token</t>
        </is>
      </c>
      <c r="D36" s="17" t="inlineStr">
        <is>
          <t>Major</t>
        </is>
      </c>
      <c r="E36" s="17" t="inlineStr">
        <is>
          <t>Figma: Body cells use neutral dark #374151.  →  Live: Ministry-name cells render in navy #003366 with a link treatment that isn't in the design.</t>
        </is>
      </c>
      <c r="F36" s="17" t="inlineStr">
        <is>
          <t>Set the body cells to #374151; remove the navy link treatment.</t>
        </is>
      </c>
      <c r="G36" s="17" t="inlineStr">
        <is>
          <t>https://www.figma.com/design/gH2vQ62cfg4677YKWuOpLc/MoSJE-Portal--Handoff-?node-id=4226-41073</t>
        </is>
      </c>
      <c r="H36" s="17" t="inlineStr">
        <is>
          <t>https://eutthan-admin-uat.mosje.in/map-ministry</t>
        </is>
      </c>
      <c r="I36" s="17" t="inlineStr">
        <is>
          <t>Open</t>
        </is>
      </c>
      <c r="J36" s="17" t="n"/>
      <c r="K36" s="17" t="n"/>
      <c r="L36" s="17" t="n"/>
    </row>
    <row r="37">
      <c r="A37" s="18" t="inlineStr">
        <is>
          <t>UTH-MAP-MINISTRY-003</t>
        </is>
      </c>
      <c r="B37" s="18" t="inlineStr">
        <is>
          <t>Admin / Map Ministry / Mapped</t>
        </is>
      </c>
      <c r="C37" s="18" t="inlineStr">
        <is>
          <t>Color &amp; Token</t>
        </is>
      </c>
      <c r="D37" s="18" t="inlineStr">
        <is>
          <t>Major</t>
        </is>
      </c>
      <c r="E37" s="18" t="inlineStr">
        <is>
          <t>Figma: 'Unmap' is a quiet text button in navy #003366 (text + icon).  →  Live: 'Unmap' renders in red (~#ef4444) — a danger treatment the design doesn't use.</t>
        </is>
      </c>
      <c r="F37" s="18" t="inlineStr">
        <is>
          <t>Recolour the Unmap text and icon to navy #003366.</t>
        </is>
      </c>
      <c r="G37" s="18" t="inlineStr">
        <is>
          <t>https://www.figma.com/design/gH2vQ62cfg4677YKWuOpLc/MoSJE-Portal--Handoff-?node-id=4226-41073</t>
        </is>
      </c>
      <c r="H37" s="18" t="inlineStr">
        <is>
          <t>https://eutthan-admin-uat.mosje.in/map-ministry</t>
        </is>
      </c>
      <c r="I37" s="18" t="inlineStr">
        <is>
          <t>Open</t>
        </is>
      </c>
      <c r="J37" s="18" t="n"/>
      <c r="K37" s="18" t="n"/>
      <c r="L37" s="18" t="n"/>
    </row>
    <row r="38">
      <c r="A38" s="17" t="inlineStr">
        <is>
          <t>UTH-MANAGE-USER-001</t>
        </is>
      </c>
      <c r="B38" s="17" t="inlineStr">
        <is>
          <t>Admin / Manage User</t>
        </is>
      </c>
      <c r="C38" s="17" t="inlineStr">
        <is>
          <t>Components &amp; States</t>
        </is>
      </c>
      <c r="D38" s="17" t="inlineStr">
        <is>
          <t>Minor</t>
        </is>
      </c>
      <c r="E38" s="17" t="inlineStr">
        <is>
          <t>Figma: Three filter dropdowns beside the search field.  →  Live: A single 'All Years' select only.</t>
        </is>
      </c>
      <c r="F38" s="17" t="inlineStr">
        <is>
          <t>Show all the relevant filters.</t>
        </is>
      </c>
      <c r="G38" s="17" t="inlineStr">
        <is>
          <t>https://www.figma.com/design/gH2vQ62cfg4677YKWuOpLc/MoSJE-Portal--Handoff-?node-id=4226-40865</t>
        </is>
      </c>
      <c r="H38" s="17" t="inlineStr">
        <is>
          <t>https://eutthan-admin-uat.mosje.in/user-management</t>
        </is>
      </c>
      <c r="I38" s="17" t="inlineStr">
        <is>
          <t>Open</t>
        </is>
      </c>
      <c r="J38" s="17" t="n"/>
      <c r="K38" s="17" t="n"/>
      <c r="L38" s="17" t="n"/>
    </row>
    <row r="39">
      <c r="A39" s="18" t="inlineStr">
        <is>
          <t>UTH-MIN-DASHBOARD-001</t>
        </is>
      </c>
      <c r="B39" s="18" t="inlineStr">
        <is>
          <t>Ministry / Dashboard</t>
        </is>
      </c>
      <c r="C39" s="18" t="inlineStr">
        <is>
          <t>Components &amp; States</t>
        </is>
      </c>
      <c r="D39" s="18" t="inlineStr">
        <is>
          <t>Minor</t>
        </is>
      </c>
      <c r="E39" s="18" t="inlineStr">
        <is>
          <t>Figma: The filter control uses an 8px corner radius and sits at the top of the page.  →  Live: The Financial-Year selector uses a 6px radius and sits inside the progress panel header (placement covered under Admin · Dashboard).</t>
        </is>
      </c>
      <c r="F39" s="18" t="inlineStr">
        <is>
          <t>Set the filter control radius to 8px.</t>
        </is>
      </c>
      <c r="G39" s="18" t="inlineStr">
        <is>
          <t>https://www.figma.com/design/gH2vQ62cfg4677YKWuOpLc/MoSJE-Portal--Handoff-?node-id=4226-37114</t>
        </is>
      </c>
      <c r="H39" s="18" t="inlineStr">
        <is>
          <t>https://eutthan-admin-uat.mosje.in/dashboard</t>
        </is>
      </c>
      <c r="I39" s="18" t="inlineStr">
        <is>
          <t>Open</t>
        </is>
      </c>
      <c r="J39" s="18" t="n"/>
      <c r="K39" s="18" t="n"/>
      <c r="L39" s="18" t="n"/>
    </row>
    <row r="40">
      <c r="A40" s="17" t="inlineStr">
        <is>
          <t>UTH-MIN-DASHBOARD-002</t>
        </is>
      </c>
      <c r="B40" s="17" t="inlineStr">
        <is>
          <t>Ministry / Dashboard</t>
        </is>
      </c>
      <c r="C40" s="17" t="inlineStr">
        <is>
          <t>Typography</t>
        </is>
      </c>
      <c r="D40" s="17" t="inlineStr">
        <is>
          <t>Major</t>
        </is>
      </c>
      <c r="E40" s="17" t="inlineStr">
        <is>
          <t>Figma: Card label regular 400 #374151; value semibold #374151.  →  Live: Labels bold, values bold navy — same deviation as the Admin dashboard.</t>
        </is>
      </c>
      <c r="F40" s="17" t="inlineStr">
        <is>
          <t>Card labels → regular 400 #374151; values → semibold #374151.</t>
        </is>
      </c>
      <c r="G40" s="17" t="inlineStr">
        <is>
          <t>https://www.figma.com/design/gH2vQ62cfg4677YKWuOpLc/MoSJE-Portal--Handoff-?node-id=4226-37114</t>
        </is>
      </c>
      <c r="H40" s="17" t="inlineStr">
        <is>
          <t>https://eutthan-admin-uat.mosje.in/dashboard</t>
        </is>
      </c>
      <c r="I40" s="17" t="inlineStr">
        <is>
          <t>Open</t>
        </is>
      </c>
      <c r="J40" s="17" t="n"/>
      <c r="K40" s="17" t="n"/>
      <c r="L40" s="17" t="n"/>
    </row>
    <row r="41">
      <c r="A41" s="18" t="inlineStr">
        <is>
          <t>UTH-MIN-SCHEME-MANAGEMENT-001</t>
        </is>
      </c>
      <c r="B41" s="18" t="inlineStr">
        <is>
          <t>Ministry / Manage Scheme</t>
        </is>
      </c>
      <c r="C41" s="18" t="inlineStr">
        <is>
          <t>Components &amp; States</t>
        </is>
      </c>
      <c r="D41" s="18" t="inlineStr">
        <is>
          <t>Minor</t>
        </is>
      </c>
      <c r="E41" s="18" t="inlineStr">
        <is>
          <t>Figma: An 'All Department' dropdown sits beside the Financial-Year filter.  →  Live: Only the Financial-Year filter is present.</t>
        </is>
      </c>
      <c r="F41" s="18" t="inlineStr">
        <is>
          <t>Show all the relevant filters.</t>
        </is>
      </c>
      <c r="G41" s="18" t="inlineStr">
        <is>
          <t>https://www.figma.com/design/gH2vQ62cfg4677YKWuOpLc/MoSJE-Portal--Handoff-?node-id=4226-37360</t>
        </is>
      </c>
      <c r="H41" s="18" t="inlineStr">
        <is>
          <t>https://eutthan-admin-uat.mosje.in/scheme-management</t>
        </is>
      </c>
      <c r="I41" s="18" t="inlineStr">
        <is>
          <t>Open</t>
        </is>
      </c>
      <c r="J41" s="18" t="n"/>
      <c r="K41" s="18" t="n"/>
      <c r="L41" s="18" t="n"/>
    </row>
    <row r="42">
      <c r="A42" s="17" t="inlineStr">
        <is>
          <t>UTH-MIN-MANAGE-OUTCOME-001</t>
        </is>
      </c>
      <c r="B42" s="17" t="inlineStr">
        <is>
          <t>Ministry / Manage Outcome</t>
        </is>
      </c>
      <c r="C42" s="17" t="inlineStr">
        <is>
          <t>Components &amp; States</t>
        </is>
      </c>
      <c r="D42" s="17" t="inlineStr">
        <is>
          <t>Minor</t>
        </is>
      </c>
      <c r="E42" s="17" t="inlineStr">
        <is>
          <t>Figma: 'All Schemes' and 'All Department' dropdowns sit beside the Financial-Year filter.  →  Live: Only the Financial-Year dropdown is present.</t>
        </is>
      </c>
      <c r="F42" s="17" t="inlineStr">
        <is>
          <t>Show all the relevant filters.</t>
        </is>
      </c>
      <c r="G42" s="17" t="inlineStr">
        <is>
          <t>https://www.figma.com/design/gH2vQ62cfg4677YKWuOpLc/MoSJE-Portal--Handoff-?node-id=4226-38577</t>
        </is>
      </c>
      <c r="H42" s="17" t="inlineStr">
        <is>
          <t>https://eutthan-admin-uat.mosje.in/manage-outcome</t>
        </is>
      </c>
      <c r="I42" s="17" t="inlineStr">
        <is>
          <t>Open</t>
        </is>
      </c>
      <c r="J42" s="17" t="n"/>
      <c r="K42" s="17" t="n"/>
      <c r="L42" s="17" t="n"/>
    </row>
    <row r="43">
      <c r="A43" s="18" t="inlineStr">
        <is>
          <t>UTH-MIN-MINISTRY-PHYSICAL-PROGRESS-DATA-001</t>
        </is>
      </c>
      <c r="B43" s="18" t="inlineStr">
        <is>
          <t>Ministry / Physical Progress Data</t>
        </is>
      </c>
      <c r="C43" s="18" t="inlineStr">
        <is>
          <t>Components &amp; States</t>
        </is>
      </c>
      <c r="D43" s="18" t="inlineStr">
        <is>
          <t>Minor</t>
        </is>
      </c>
      <c r="E43" s="18" t="inlineStr">
        <is>
          <t>Figma: Two actions: 'Import Achievements Data' (outline) and 'Add Progress' (filled navy).  →  Live: A third button — 'Download Sample Template' — appears to the left of Import.</t>
        </is>
      </c>
      <c r="F43" s="18" t="inlineStr">
        <is>
          <t>Confirm whether the extra 'Download Sample Template' action is intended; the design shows two actions.</t>
        </is>
      </c>
      <c r="G43" s="18" t="inlineStr">
        <is>
          <t>https://www.figma.com/design/gH2vQ62cfg4677YKWuOpLc/MoSJE-Portal--Handoff-?node-id=4226-38368</t>
        </is>
      </c>
      <c r="H43" s="18" t="inlineStr">
        <is>
          <t>https://eutthan-admin-uat.mosje.in/ministry/physical-progress-data</t>
        </is>
      </c>
      <c r="I43" s="18" t="inlineStr">
        <is>
          <t>Open</t>
        </is>
      </c>
      <c r="J43" s="18" t="n"/>
      <c r="K43" s="18" t="n"/>
      <c r="L43" s="18" t="n"/>
    </row>
    <row r="44">
      <c r="A44" s="17" t="n"/>
      <c r="B44" s="17" t="n"/>
      <c r="C44" s="17" t="n"/>
      <c r="D44" s="17" t="n"/>
      <c r="E44" s="17" t="n"/>
      <c r="F44" s="17" t="n"/>
      <c r="G44" s="17" t="n"/>
      <c r="H44" s="17" t="n"/>
      <c r="I44" s="17" t="n"/>
      <c r="J44" s="17" t="n"/>
      <c r="K44" s="17" t="n"/>
      <c r="L44" s="17" t="n"/>
    </row>
    <row r="45">
      <c r="A45" s="18" t="n"/>
      <c r="B45" s="18" t="n"/>
      <c r="C45" s="18" t="n"/>
      <c r="D45" s="18" t="n"/>
      <c r="E45" s="18" t="n"/>
      <c r="F45" s="18" t="n"/>
      <c r="G45" s="18" t="n"/>
      <c r="H45" s="18" t="n"/>
      <c r="I45" s="18" t="n"/>
      <c r="J45" s="18" t="n"/>
      <c r="K45" s="18" t="n"/>
      <c r="L45" s="18" t="n"/>
    </row>
    <row r="46">
      <c r="A46" s="17" t="n"/>
      <c r="B46" s="17" t="n"/>
      <c r="C46" s="17" t="n"/>
      <c r="D46" s="17" t="n"/>
      <c r="E46" s="17" t="n"/>
      <c r="F46" s="17" t="n"/>
      <c r="G46" s="17" t="n"/>
      <c r="H46" s="17" t="n"/>
      <c r="I46" s="17" t="n"/>
      <c r="J46" s="17" t="n"/>
      <c r="K46" s="17" t="n"/>
      <c r="L46" s="17" t="n"/>
    </row>
    <row r="47">
      <c r="A47" s="18" t="n"/>
      <c r="B47" s="18" t="n"/>
      <c r="C47" s="18" t="n"/>
      <c r="D47" s="18" t="n"/>
      <c r="E47" s="18" t="n"/>
      <c r="F47" s="18" t="n"/>
      <c r="G47" s="18" t="n"/>
      <c r="H47" s="18" t="n"/>
      <c r="I47" s="18" t="n"/>
      <c r="J47" s="18" t="n"/>
      <c r="K47" s="18" t="n"/>
      <c r="L47" s="18" t="n"/>
    </row>
    <row r="48">
      <c r="A48" s="17" t="n"/>
      <c r="B48" s="17" t="n"/>
      <c r="C48" s="17" t="n"/>
      <c r="D48" s="17" t="n"/>
      <c r="E48" s="17" t="n"/>
      <c r="F48" s="17" t="n"/>
      <c r="G48" s="17" t="n"/>
      <c r="H48" s="17" t="n"/>
      <c r="I48" s="17" t="n"/>
      <c r="J48" s="17" t="n"/>
      <c r="K48" s="17" t="n"/>
      <c r="L48" s="17" t="n"/>
    </row>
    <row r="49">
      <c r="A49" s="18" t="n"/>
      <c r="B49" s="18" t="n"/>
      <c r="C49" s="18" t="n"/>
      <c r="D49" s="18" t="n"/>
      <c r="E49" s="18" t="n"/>
      <c r="F49" s="18" t="n"/>
      <c r="G49" s="18" t="n"/>
      <c r="H49" s="18" t="n"/>
      <c r="I49" s="18" t="n"/>
      <c r="J49" s="18" t="n"/>
      <c r="K49" s="18" t="n"/>
      <c r="L49" s="18" t="n"/>
    </row>
    <row r="50">
      <c r="A50" s="17" t="n"/>
      <c r="B50" s="17" t="n"/>
      <c r="C50" s="17" t="n"/>
      <c r="D50" s="17" t="n"/>
      <c r="E50" s="17" t="n"/>
      <c r="F50" s="17" t="n"/>
      <c r="G50" s="17" t="n"/>
      <c r="H50" s="17" t="n"/>
      <c r="I50" s="17" t="n"/>
      <c r="J50" s="17" t="n"/>
      <c r="K50" s="17" t="n"/>
      <c r="L50" s="17" t="n"/>
    </row>
    <row r="51">
      <c r="A51" s="18" t="n"/>
      <c r="B51" s="18" t="n"/>
      <c r="C51" s="18" t="n"/>
      <c r="D51" s="18" t="n"/>
      <c r="E51" s="18" t="n"/>
      <c r="F51" s="18" t="n"/>
      <c r="G51" s="18" t="n"/>
      <c r="H51" s="18" t="n"/>
      <c r="I51" s="18" t="n"/>
      <c r="J51" s="18" t="n"/>
      <c r="K51" s="18" t="n"/>
      <c r="L51" s="18" t="n"/>
    </row>
    <row r="52">
      <c r="A52" s="17" t="n"/>
      <c r="B52" s="17" t="n"/>
      <c r="C52" s="17" t="n"/>
      <c r="D52" s="17" t="n"/>
      <c r="E52" s="17" t="n"/>
      <c r="F52" s="17" t="n"/>
      <c r="G52" s="17" t="n"/>
      <c r="H52" s="17" t="n"/>
      <c r="I52" s="17" t="n"/>
      <c r="J52" s="17" t="n"/>
      <c r="K52" s="17" t="n"/>
      <c r="L52" s="17" t="n"/>
    </row>
    <row r="53">
      <c r="A53" s="18" t="n"/>
      <c r="B53" s="18" t="n"/>
      <c r="C53" s="18" t="n"/>
      <c r="D53" s="18" t="n"/>
      <c r="E53" s="18" t="n"/>
      <c r="F53" s="18" t="n"/>
      <c r="G53" s="18" t="n"/>
      <c r="H53" s="18" t="n"/>
      <c r="I53" s="18" t="n"/>
      <c r="J53" s="18" t="n"/>
      <c r="K53" s="18" t="n"/>
      <c r="L53" s="18" t="n"/>
    </row>
    <row r="54">
      <c r="A54" s="17" t="n"/>
      <c r="B54" s="17" t="n"/>
      <c r="C54" s="17" t="n"/>
      <c r="D54" s="17" t="n"/>
      <c r="E54" s="17" t="n"/>
      <c r="F54" s="17" t="n"/>
      <c r="G54" s="17" t="n"/>
      <c r="H54" s="17" t="n"/>
      <c r="I54" s="17" t="n"/>
      <c r="J54" s="17" t="n"/>
      <c r="K54" s="17" t="n"/>
      <c r="L54" s="17" t="n"/>
    </row>
    <row r="55">
      <c r="A55" s="18" t="n"/>
      <c r="B55" s="18" t="n"/>
      <c r="C55" s="18" t="n"/>
      <c r="D55" s="18" t="n"/>
      <c r="E55" s="18" t="n"/>
      <c r="F55" s="18" t="n"/>
      <c r="G55" s="18" t="n"/>
      <c r="H55" s="18" t="n"/>
      <c r="I55" s="18" t="n"/>
      <c r="J55" s="18" t="n"/>
      <c r="K55" s="18" t="n"/>
      <c r="L55" s="18" t="n"/>
    </row>
    <row r="56">
      <c r="A56" s="17" t="n"/>
      <c r="B56" s="17" t="n"/>
      <c r="C56" s="17" t="n"/>
      <c r="D56" s="17" t="n"/>
      <c r="E56" s="17" t="n"/>
      <c r="F56" s="17" t="n"/>
      <c r="G56" s="17" t="n"/>
      <c r="H56" s="17" t="n"/>
      <c r="I56" s="17" t="n"/>
      <c r="J56" s="17" t="n"/>
      <c r="K56" s="17" t="n"/>
      <c r="L56" s="17" t="n"/>
    </row>
    <row r="57">
      <c r="A57" s="18" t="n"/>
      <c r="B57" s="18" t="n"/>
      <c r="C57" s="18" t="n"/>
      <c r="D57" s="18" t="n"/>
      <c r="E57" s="18" t="n"/>
      <c r="F57" s="18" t="n"/>
      <c r="G57" s="18" t="n"/>
      <c r="H57" s="18" t="n"/>
      <c r="I57" s="18" t="n"/>
      <c r="J57" s="18" t="n"/>
      <c r="K57" s="18" t="n"/>
      <c r="L57" s="18" t="n"/>
    </row>
    <row r="58">
      <c r="A58" s="17" t="n"/>
      <c r="B58" s="17" t="n"/>
      <c r="C58" s="17" t="n"/>
      <c r="D58" s="17" t="n"/>
      <c r="E58" s="17" t="n"/>
      <c r="F58" s="17" t="n"/>
      <c r="G58" s="17" t="n"/>
      <c r="H58" s="17" t="n"/>
      <c r="I58" s="17" t="n"/>
      <c r="J58" s="17" t="n"/>
      <c r="K58" s="17" t="n"/>
      <c r="L58" s="17" t="n"/>
    </row>
    <row r="59">
      <c r="A59" s="18" t="n"/>
      <c r="B59" s="18" t="n"/>
      <c r="C59" s="18" t="n"/>
      <c r="D59" s="18" t="n"/>
      <c r="E59" s="18" t="n"/>
      <c r="F59" s="18" t="n"/>
      <c r="G59" s="18" t="n"/>
      <c r="H59" s="18" t="n"/>
      <c r="I59" s="18" t="n"/>
      <c r="J59" s="18" t="n"/>
      <c r="K59" s="18" t="n"/>
      <c r="L59" s="18" t="n"/>
    </row>
    <row r="60">
      <c r="A60" s="17" t="n"/>
      <c r="B60" s="17" t="n"/>
      <c r="C60" s="17" t="n"/>
      <c r="D60" s="17" t="n"/>
      <c r="E60" s="17" t="n"/>
      <c r="F60" s="17" t="n"/>
      <c r="G60" s="17" t="n"/>
      <c r="H60" s="17" t="n"/>
      <c r="I60" s="17" t="n"/>
      <c r="J60" s="17" t="n"/>
      <c r="K60" s="17" t="n"/>
      <c r="L60" s="17" t="n"/>
    </row>
    <row r="61">
      <c r="A61" s="18" t="n"/>
      <c r="B61" s="18" t="n"/>
      <c r="C61" s="18" t="n"/>
      <c r="D61" s="18" t="n"/>
      <c r="E61" s="18" t="n"/>
      <c r="F61" s="18" t="n"/>
      <c r="G61" s="18" t="n"/>
      <c r="H61" s="18" t="n"/>
      <c r="I61" s="18" t="n"/>
      <c r="J61" s="18" t="n"/>
      <c r="K61" s="18" t="n"/>
      <c r="L61" s="18" t="n"/>
    </row>
    <row r="62">
      <c r="A62" s="17" t="n"/>
      <c r="B62" s="17" t="n"/>
      <c r="C62" s="17" t="n"/>
      <c r="D62" s="17" t="n"/>
      <c r="E62" s="17" t="n"/>
      <c r="F62" s="17" t="n"/>
      <c r="G62" s="17" t="n"/>
      <c r="H62" s="17" t="n"/>
      <c r="I62" s="17" t="n"/>
      <c r="J62" s="17" t="n"/>
      <c r="K62" s="17" t="n"/>
      <c r="L62" s="17" t="n"/>
    </row>
    <row r="63">
      <c r="A63" s="18" t="n"/>
      <c r="B63" s="18" t="n"/>
      <c r="C63" s="18" t="n"/>
      <c r="D63" s="18" t="n"/>
      <c r="E63" s="18" t="n"/>
      <c r="F63" s="18" t="n"/>
      <c r="G63" s="18" t="n"/>
      <c r="H63" s="18" t="n"/>
      <c r="I63" s="18" t="n"/>
      <c r="J63" s="18" t="n"/>
      <c r="K63" s="18" t="n"/>
      <c r="L63" s="18" t="n"/>
    </row>
    <row r="64">
      <c r="A64" s="17" t="n"/>
      <c r="B64" s="17" t="n"/>
      <c r="C64" s="17" t="n"/>
      <c r="D64" s="17" t="n"/>
      <c r="E64" s="17" t="n"/>
      <c r="F64" s="17" t="n"/>
      <c r="G64" s="17" t="n"/>
      <c r="H64" s="17" t="n"/>
      <c r="I64" s="17" t="n"/>
      <c r="J64" s="17" t="n"/>
      <c r="K64" s="17" t="n"/>
      <c r="L64" s="17" t="n"/>
    </row>
    <row r="65">
      <c r="A65" s="18" t="n"/>
      <c r="B65" s="18" t="n"/>
      <c r="C65" s="18" t="n"/>
      <c r="D65" s="18" t="n"/>
      <c r="E65" s="18" t="n"/>
      <c r="F65" s="18" t="n"/>
      <c r="G65" s="18" t="n"/>
      <c r="H65" s="18" t="n"/>
      <c r="I65" s="18" t="n"/>
      <c r="J65" s="18" t="n"/>
      <c r="K65" s="18" t="n"/>
      <c r="L65" s="18" t="n"/>
    </row>
    <row r="66">
      <c r="A66" s="17" t="n"/>
      <c r="B66" s="17" t="n"/>
      <c r="C66" s="17" t="n"/>
      <c r="D66" s="17" t="n"/>
      <c r="E66" s="17" t="n"/>
      <c r="F66" s="17" t="n"/>
      <c r="G66" s="17" t="n"/>
      <c r="H66" s="17" t="n"/>
      <c r="I66" s="17" t="n"/>
      <c r="J66" s="17" t="n"/>
      <c r="K66" s="17" t="n"/>
      <c r="L66" s="17" t="n"/>
    </row>
    <row r="67">
      <c r="A67" s="18" t="n"/>
      <c r="B67" s="18" t="n"/>
      <c r="C67" s="18" t="n"/>
      <c r="D67" s="18" t="n"/>
      <c r="E67" s="18" t="n"/>
      <c r="F67" s="18" t="n"/>
      <c r="G67" s="18" t="n"/>
      <c r="H67" s="18" t="n"/>
      <c r="I67" s="18" t="n"/>
      <c r="J67" s="18" t="n"/>
      <c r="K67" s="18" t="n"/>
      <c r="L67" s="18" t="n"/>
    </row>
    <row r="68">
      <c r="A68" s="17" t="n"/>
      <c r="B68" s="17" t="n"/>
      <c r="C68" s="17" t="n"/>
      <c r="D68" s="17" t="n"/>
      <c r="E68" s="17" t="n"/>
      <c r="F68" s="17" t="n"/>
      <c r="G68" s="17" t="n"/>
      <c r="H68" s="17" t="n"/>
      <c r="I68" s="17" t="n"/>
      <c r="J68" s="17" t="n"/>
      <c r="K68" s="17" t="n"/>
      <c r="L68" s="17" t="n"/>
    </row>
    <row r="69">
      <c r="A69" s="18" t="n"/>
      <c r="B69" s="18" t="n"/>
      <c r="C69" s="18" t="n"/>
      <c r="D69" s="18" t="n"/>
      <c r="E69" s="18" t="n"/>
      <c r="F69" s="18" t="n"/>
      <c r="G69" s="18" t="n"/>
      <c r="H69" s="18" t="n"/>
      <c r="I69" s="18" t="n"/>
      <c r="J69" s="18" t="n"/>
      <c r="K69" s="18" t="n"/>
      <c r="L69" s="18" t="n"/>
    </row>
    <row r="70">
      <c r="A70" s="17" t="n"/>
      <c r="B70" s="17" t="n"/>
      <c r="C70" s="17" t="n"/>
      <c r="D70" s="17" t="n"/>
      <c r="E70" s="17" t="n"/>
      <c r="F70" s="17" t="n"/>
      <c r="G70" s="17" t="n"/>
      <c r="H70" s="17" t="n"/>
      <c r="I70" s="17" t="n"/>
      <c r="J70" s="17" t="n"/>
      <c r="K70" s="17" t="n"/>
      <c r="L70" s="17" t="n"/>
    </row>
    <row r="71">
      <c r="A71" s="18" t="n"/>
      <c r="B71" s="18" t="n"/>
      <c r="C71" s="18" t="n"/>
      <c r="D71" s="18" t="n"/>
      <c r="E71" s="18" t="n"/>
      <c r="F71" s="18" t="n"/>
      <c r="G71" s="18" t="n"/>
      <c r="H71" s="18" t="n"/>
      <c r="I71" s="18" t="n"/>
      <c r="J71" s="18" t="n"/>
      <c r="K71" s="18" t="n"/>
      <c r="L71" s="18" t="n"/>
    </row>
    <row r="72">
      <c r="A72" s="17" t="n"/>
      <c r="B72" s="17" t="n"/>
      <c r="C72" s="17" t="n"/>
      <c r="D72" s="17" t="n"/>
      <c r="E72" s="17" t="n"/>
      <c r="F72" s="17" t="n"/>
      <c r="G72" s="17" t="n"/>
      <c r="H72" s="17" t="n"/>
      <c r="I72" s="17" t="n"/>
      <c r="J72" s="17" t="n"/>
      <c r="K72" s="17" t="n"/>
      <c r="L72" s="17" t="n"/>
    </row>
    <row r="73">
      <c r="A73" s="18" t="n"/>
      <c r="B73" s="18" t="n"/>
      <c r="C73" s="18" t="n"/>
      <c r="D73" s="18" t="n"/>
      <c r="E73" s="18" t="n"/>
      <c r="F73" s="18" t="n"/>
      <c r="G73" s="18" t="n"/>
      <c r="H73" s="18" t="n"/>
      <c r="I73" s="18" t="n"/>
      <c r="J73" s="18" t="n"/>
      <c r="K73" s="18" t="n"/>
      <c r="L73" s="18" t="n"/>
    </row>
    <row r="74">
      <c r="A74" s="17" t="n"/>
      <c r="B74" s="17" t="n"/>
      <c r="C74" s="17" t="n"/>
      <c r="D74" s="17" t="n"/>
      <c r="E74" s="17" t="n"/>
      <c r="F74" s="17" t="n"/>
      <c r="G74" s="17" t="n"/>
      <c r="H74" s="17" t="n"/>
      <c r="I74" s="17" t="n"/>
      <c r="J74" s="17" t="n"/>
      <c r="K74" s="17" t="n"/>
      <c r="L74" s="17" t="n"/>
    </row>
    <row r="75">
      <c r="A75" s="18" t="n"/>
      <c r="B75" s="18" t="n"/>
      <c r="C75" s="18" t="n"/>
      <c r="D75" s="18" t="n"/>
      <c r="E75" s="18" t="n"/>
      <c r="F75" s="18" t="n"/>
      <c r="G75" s="18" t="n"/>
      <c r="H75" s="18" t="n"/>
      <c r="I75" s="18" t="n"/>
      <c r="J75" s="18" t="n"/>
      <c r="K75" s="18" t="n"/>
      <c r="L75" s="18" t="n"/>
    </row>
    <row r="76">
      <c r="A76" s="17" t="n"/>
      <c r="B76" s="17" t="n"/>
      <c r="C76" s="17" t="n"/>
      <c r="D76" s="17" t="n"/>
      <c r="E76" s="17" t="n"/>
      <c r="F76" s="17" t="n"/>
      <c r="G76" s="17" t="n"/>
      <c r="H76" s="17" t="n"/>
      <c r="I76" s="17" t="n"/>
      <c r="J76" s="17" t="n"/>
      <c r="K76" s="17" t="n"/>
      <c r="L76" s="17" t="n"/>
    </row>
    <row r="77">
      <c r="A77" s="18" t="n"/>
      <c r="B77" s="18" t="n"/>
      <c r="C77" s="18" t="n"/>
      <c r="D77" s="18" t="n"/>
      <c r="E77" s="18" t="n"/>
      <c r="F77" s="18" t="n"/>
      <c r="G77" s="18" t="n"/>
      <c r="H77" s="18" t="n"/>
      <c r="I77" s="18" t="n"/>
      <c r="J77" s="18" t="n"/>
      <c r="K77" s="18" t="n"/>
      <c r="L77" s="18" t="n"/>
    </row>
    <row r="78">
      <c r="A78" s="17" t="n"/>
      <c r="B78" s="17" t="n"/>
      <c r="C78" s="17" t="n"/>
      <c r="D78" s="17" t="n"/>
      <c r="E78" s="17" t="n"/>
      <c r="F78" s="17" t="n"/>
      <c r="G78" s="17" t="n"/>
      <c r="H78" s="17" t="n"/>
      <c r="I78" s="17" t="n"/>
      <c r="J78" s="17" t="n"/>
      <c r="K78" s="17" t="n"/>
      <c r="L78" s="17" t="n"/>
    </row>
    <row r="79">
      <c r="A79" s="18" t="n"/>
      <c r="B79" s="18" t="n"/>
      <c r="C79" s="18" t="n"/>
      <c r="D79" s="18" t="n"/>
      <c r="E79" s="18" t="n"/>
      <c r="F79" s="18" t="n"/>
      <c r="G79" s="18" t="n"/>
      <c r="H79" s="18" t="n"/>
      <c r="I79" s="18" t="n"/>
      <c r="J79" s="18" t="n"/>
      <c r="K79" s="18" t="n"/>
      <c r="L79" s="18" t="n"/>
    </row>
    <row r="80">
      <c r="A80" s="17" t="n"/>
      <c r="B80" s="17" t="n"/>
      <c r="C80" s="17" t="n"/>
      <c r="D80" s="17" t="n"/>
      <c r="E80" s="17" t="n"/>
      <c r="F80" s="17" t="n"/>
      <c r="G80" s="17" t="n"/>
      <c r="H80" s="17" t="n"/>
      <c r="I80" s="17" t="n"/>
      <c r="J80" s="17" t="n"/>
      <c r="K80" s="17" t="n"/>
      <c r="L80" s="17" t="n"/>
    </row>
    <row r="81">
      <c r="A81" s="18" t="n"/>
      <c r="B81" s="18" t="n"/>
      <c r="C81" s="18" t="n"/>
      <c r="D81" s="18" t="n"/>
      <c r="E81" s="18" t="n"/>
      <c r="F81" s="18" t="n"/>
      <c r="G81" s="18" t="n"/>
      <c r="H81" s="18" t="n"/>
      <c r="I81" s="18" t="n"/>
      <c r="J81" s="18" t="n"/>
      <c r="K81" s="18" t="n"/>
      <c r="L81" s="18" t="n"/>
    </row>
    <row r="82">
      <c r="A82" s="17" t="n"/>
      <c r="B82" s="17" t="n"/>
      <c r="C82" s="17" t="n"/>
      <c r="D82" s="17" t="n"/>
      <c r="E82" s="17" t="n"/>
      <c r="F82" s="17" t="n"/>
      <c r="G82" s="17" t="n"/>
      <c r="H82" s="17" t="n"/>
      <c r="I82" s="17" t="n"/>
      <c r="J82" s="17" t="n"/>
      <c r="K82" s="17" t="n"/>
      <c r="L82" s="17" t="n"/>
    </row>
    <row r="83">
      <c r="A83" s="18" t="n"/>
      <c r="B83" s="18" t="n"/>
      <c r="C83" s="18" t="n"/>
      <c r="D83" s="18" t="n"/>
      <c r="E83" s="18" t="n"/>
      <c r="F83" s="18" t="n"/>
      <c r="G83" s="18" t="n"/>
      <c r="H83" s="18" t="n"/>
      <c r="I83" s="18" t="n"/>
      <c r="J83" s="18" t="n"/>
      <c r="K83" s="18" t="n"/>
      <c r="L83" s="18" t="n"/>
    </row>
    <row r="84">
      <c r="A84" s="17" t="n"/>
      <c r="B84" s="17" t="n"/>
      <c r="C84" s="17" t="n"/>
      <c r="D84" s="17" t="n"/>
      <c r="E84" s="17" t="n"/>
      <c r="F84" s="17" t="n"/>
      <c r="G84" s="17" t="n"/>
      <c r="H84" s="17" t="n"/>
      <c r="I84" s="17" t="n"/>
      <c r="J84" s="17" t="n"/>
      <c r="K84" s="17" t="n"/>
      <c r="L84" s="17" t="n"/>
    </row>
    <row r="85">
      <c r="A85" s="18" t="n"/>
      <c r="B85" s="18" t="n"/>
      <c r="C85" s="18" t="n"/>
      <c r="D85" s="18" t="n"/>
      <c r="E85" s="18" t="n"/>
      <c r="F85" s="18" t="n"/>
      <c r="G85" s="18" t="n"/>
      <c r="H85" s="18" t="n"/>
      <c r="I85" s="18" t="n"/>
      <c r="J85" s="18" t="n"/>
      <c r="K85" s="18" t="n"/>
      <c r="L85" s="18" t="n"/>
    </row>
    <row r="86">
      <c r="A86" s="17" t="n"/>
      <c r="B86" s="17" t="n"/>
      <c r="C86" s="17" t="n"/>
      <c r="D86" s="17" t="n"/>
      <c r="E86" s="17" t="n"/>
      <c r="F86" s="17" t="n"/>
      <c r="G86" s="17" t="n"/>
      <c r="H86" s="17" t="n"/>
      <c r="I86" s="17" t="n"/>
      <c r="J86" s="17" t="n"/>
      <c r="K86" s="17" t="n"/>
      <c r="L86" s="17" t="n"/>
    </row>
    <row r="87">
      <c r="A87" s="18" t="n"/>
      <c r="B87" s="18" t="n"/>
      <c r="C87" s="18" t="n"/>
      <c r="D87" s="18" t="n"/>
      <c r="E87" s="18" t="n"/>
      <c r="F87" s="18" t="n"/>
      <c r="G87" s="18" t="n"/>
      <c r="H87" s="18" t="n"/>
      <c r="I87" s="18" t="n"/>
      <c r="J87" s="18" t="n"/>
      <c r="K87" s="18" t="n"/>
      <c r="L87" s="18" t="n"/>
    </row>
    <row r="88">
      <c r="A88" s="17" t="n"/>
      <c r="B88" s="17" t="n"/>
      <c r="C88" s="17" t="n"/>
      <c r="D88" s="17" t="n"/>
      <c r="E88" s="17" t="n"/>
      <c r="F88" s="17" t="n"/>
      <c r="G88" s="17" t="n"/>
      <c r="H88" s="17" t="n"/>
      <c r="I88" s="17" t="n"/>
      <c r="J88" s="17" t="n"/>
      <c r="K88" s="17" t="n"/>
      <c r="L88" s="17" t="n"/>
    </row>
    <row r="89">
      <c r="A89" s="18" t="n"/>
      <c r="B89" s="18" t="n"/>
      <c r="C89" s="18" t="n"/>
      <c r="D89" s="18" t="n"/>
      <c r="E89" s="18" t="n"/>
      <c r="F89" s="18" t="n"/>
      <c r="G89" s="18" t="n"/>
      <c r="H89" s="18" t="n"/>
      <c r="I89" s="18" t="n"/>
      <c r="J89" s="18" t="n"/>
      <c r="K89" s="18" t="n"/>
      <c r="L89" s="18" t="n"/>
    </row>
    <row r="90">
      <c r="A90" s="17" t="n"/>
      <c r="B90" s="17" t="n"/>
      <c r="C90" s="17" t="n"/>
      <c r="D90" s="17" t="n"/>
      <c r="E90" s="17" t="n"/>
      <c r="F90" s="17" t="n"/>
      <c r="G90" s="17" t="n"/>
      <c r="H90" s="17" t="n"/>
      <c r="I90" s="17" t="n"/>
      <c r="J90" s="17" t="n"/>
      <c r="K90" s="17" t="n"/>
      <c r="L90" s="17" t="n"/>
    </row>
    <row r="91">
      <c r="A91" s="18" t="n"/>
      <c r="B91" s="18" t="n"/>
      <c r="C91" s="18" t="n"/>
      <c r="D91" s="18" t="n"/>
      <c r="E91" s="18" t="n"/>
      <c r="F91" s="18" t="n"/>
      <c r="G91" s="18" t="n"/>
      <c r="H91" s="18" t="n"/>
      <c r="I91" s="18" t="n"/>
      <c r="J91" s="18" t="n"/>
      <c r="K91" s="18" t="n"/>
      <c r="L91" s="18" t="n"/>
    </row>
    <row r="92">
      <c r="A92" s="17" t="n"/>
      <c r="B92" s="17" t="n"/>
      <c r="C92" s="17" t="n"/>
      <c r="D92" s="17" t="n"/>
      <c r="E92" s="17" t="n"/>
      <c r="F92" s="17" t="n"/>
      <c r="G92" s="17" t="n"/>
      <c r="H92" s="17" t="n"/>
      <c r="I92" s="17" t="n"/>
      <c r="J92" s="17" t="n"/>
      <c r="K92" s="17" t="n"/>
      <c r="L92" s="17" t="n"/>
    </row>
    <row r="93">
      <c r="A93" s="18" t="n"/>
      <c r="B93" s="18" t="n"/>
      <c r="C93" s="18" t="n"/>
      <c r="D93" s="18" t="n"/>
      <c r="E93" s="18" t="n"/>
      <c r="F93" s="18" t="n"/>
      <c r="G93" s="18" t="n"/>
      <c r="H93" s="18" t="n"/>
      <c r="I93" s="18" t="n"/>
      <c r="J93" s="18" t="n"/>
      <c r="K93" s="18" t="n"/>
      <c r="L93" s="18" t="n"/>
    </row>
    <row r="94">
      <c r="A94" s="17" t="n"/>
      <c r="B94" s="17" t="n"/>
      <c r="C94" s="17" t="n"/>
      <c r="D94" s="17" t="n"/>
      <c r="E94" s="17" t="n"/>
      <c r="F94" s="17" t="n"/>
      <c r="G94" s="17" t="n"/>
      <c r="H94" s="17" t="n"/>
      <c r="I94" s="17" t="n"/>
      <c r="J94" s="17" t="n"/>
      <c r="K94" s="17" t="n"/>
      <c r="L94" s="17" t="n"/>
    </row>
    <row r="95">
      <c r="A95" s="18" t="n"/>
      <c r="B95" s="18" t="n"/>
      <c r="C95" s="18" t="n"/>
      <c r="D95" s="18" t="n"/>
      <c r="E95" s="18" t="n"/>
      <c r="F95" s="18" t="n"/>
      <c r="G95" s="18" t="n"/>
      <c r="H95" s="18" t="n"/>
      <c r="I95" s="18" t="n"/>
      <c r="J95" s="18" t="n"/>
      <c r="K95" s="18" t="n"/>
      <c r="L95" s="18" t="n"/>
    </row>
    <row r="96">
      <c r="A96" s="17" t="n"/>
      <c r="B96" s="17" t="n"/>
      <c r="C96" s="17" t="n"/>
      <c r="D96" s="17" t="n"/>
      <c r="E96" s="17" t="n"/>
      <c r="F96" s="17" t="n"/>
      <c r="G96" s="17" t="n"/>
      <c r="H96" s="17" t="n"/>
      <c r="I96" s="17" t="n"/>
      <c r="J96" s="17" t="n"/>
      <c r="K96" s="17" t="n"/>
      <c r="L96" s="17" t="n"/>
    </row>
    <row r="97">
      <c r="A97" s="18" t="n"/>
      <c r="B97" s="18" t="n"/>
      <c r="C97" s="18" t="n"/>
      <c r="D97" s="18" t="n"/>
      <c r="E97" s="18" t="n"/>
      <c r="F97" s="18" t="n"/>
      <c r="G97" s="18" t="n"/>
      <c r="H97" s="18" t="n"/>
      <c r="I97" s="18" t="n"/>
      <c r="J97" s="18" t="n"/>
      <c r="K97" s="18" t="n"/>
      <c r="L97" s="18" t="n"/>
    </row>
    <row r="98">
      <c r="A98" s="17" t="n"/>
      <c r="B98" s="17" t="n"/>
      <c r="C98" s="17" t="n"/>
      <c r="D98" s="17" t="n"/>
      <c r="E98" s="17" t="n"/>
      <c r="F98" s="17" t="n"/>
      <c r="G98" s="17" t="n"/>
      <c r="H98" s="17" t="n"/>
      <c r="I98" s="17" t="n"/>
      <c r="J98" s="17" t="n"/>
      <c r="K98" s="17" t="n"/>
      <c r="L98" s="17" t="n"/>
    </row>
    <row r="99">
      <c r="A99" s="18" t="n"/>
      <c r="B99" s="18" t="n"/>
      <c r="C99" s="18" t="n"/>
      <c r="D99" s="18" t="n"/>
      <c r="E99" s="18" t="n"/>
      <c r="F99" s="18" t="n"/>
      <c r="G99" s="18" t="n"/>
      <c r="H99" s="18" t="n"/>
      <c r="I99" s="18" t="n"/>
      <c r="J99" s="18" t="n"/>
      <c r="K99" s="18" t="n"/>
      <c r="L99" s="18" t="n"/>
    </row>
    <row r="100">
      <c r="A100" s="17" t="n"/>
      <c r="B100" s="17" t="n"/>
      <c r="C100" s="17" t="n"/>
      <c r="D100" s="17" t="n"/>
      <c r="E100" s="17" t="n"/>
      <c r="F100" s="17" t="n"/>
      <c r="G100" s="17" t="n"/>
      <c r="H100" s="17" t="n"/>
      <c r="I100" s="17" t="n"/>
      <c r="J100" s="17" t="n"/>
      <c r="K100" s="17" t="n"/>
      <c r="L100" s="17" t="n"/>
    </row>
    <row r="101">
      <c r="A101" s="18" t="n"/>
      <c r="B101" s="18" t="n"/>
      <c r="C101" s="18" t="n"/>
      <c r="D101" s="18" t="n"/>
      <c r="E101" s="18" t="n"/>
      <c r="F101" s="18" t="n"/>
      <c r="G101" s="18" t="n"/>
      <c r="H101" s="18" t="n"/>
      <c r="I101" s="18" t="n"/>
      <c r="J101" s="18" t="n"/>
      <c r="K101" s="18" t="n"/>
      <c r="L101" s="18" t="n"/>
    </row>
    <row r="102">
      <c r="A102" s="17" t="n"/>
      <c r="B102" s="17" t="n"/>
      <c r="C102" s="17" t="n"/>
      <c r="D102" s="17" t="n"/>
      <c r="E102" s="17" t="n"/>
      <c r="F102" s="17" t="n"/>
      <c r="G102" s="17" t="n"/>
      <c r="H102" s="17" t="n"/>
      <c r="I102" s="17" t="n"/>
      <c r="J102" s="17" t="n"/>
      <c r="K102" s="17" t="n"/>
      <c r="L102" s="17" t="n"/>
    </row>
    <row r="103">
      <c r="A103" s="18" t="n"/>
      <c r="B103" s="18" t="n"/>
      <c r="C103" s="18" t="n"/>
      <c r="D103" s="18" t="n"/>
      <c r="E103" s="18" t="n"/>
      <c r="F103" s="18" t="n"/>
      <c r="G103" s="18" t="n"/>
      <c r="H103" s="18" t="n"/>
      <c r="I103" s="18" t="n"/>
      <c r="J103" s="18" t="n"/>
      <c r="K103" s="18" t="n"/>
      <c r="L103" s="18" t="n"/>
    </row>
    <row r="104">
      <c r="A104" s="17" t="n"/>
      <c r="B104" s="17" t="n"/>
      <c r="C104" s="17" t="n"/>
      <c r="D104" s="17" t="n"/>
      <c r="E104" s="17" t="n"/>
      <c r="F104" s="17" t="n"/>
      <c r="G104" s="17" t="n"/>
      <c r="H104" s="17" t="n"/>
      <c r="I104" s="17" t="n"/>
      <c r="J104" s="17" t="n"/>
      <c r="K104" s="17" t="n"/>
      <c r="L104" s="17" t="n"/>
    </row>
    <row r="105">
      <c r="A105" s="18" t="n"/>
      <c r="B105" s="18" t="n"/>
      <c r="C105" s="18" t="n"/>
      <c r="D105" s="18" t="n"/>
      <c r="E105" s="18" t="n"/>
      <c r="F105" s="18" t="n"/>
      <c r="G105" s="18" t="n"/>
      <c r="H105" s="18" t="n"/>
      <c r="I105" s="18" t="n"/>
      <c r="J105" s="18" t="n"/>
      <c r="K105" s="18" t="n"/>
      <c r="L105" s="18" t="n"/>
    </row>
    <row r="106">
      <c r="A106" s="17" t="n"/>
      <c r="B106" s="17" t="n"/>
      <c r="C106" s="17" t="n"/>
      <c r="D106" s="17" t="n"/>
      <c r="E106" s="17" t="n"/>
      <c r="F106" s="17" t="n"/>
      <c r="G106" s="17" t="n"/>
      <c r="H106" s="17" t="n"/>
      <c r="I106" s="17" t="n"/>
      <c r="J106" s="17" t="n"/>
      <c r="K106" s="17" t="n"/>
      <c r="L106" s="17" t="n"/>
    </row>
    <row r="107">
      <c r="A107" s="18" t="n"/>
      <c r="B107" s="18" t="n"/>
      <c r="C107" s="18" t="n"/>
      <c r="D107" s="18" t="n"/>
      <c r="E107" s="18" t="n"/>
      <c r="F107" s="18" t="n"/>
      <c r="G107" s="18" t="n"/>
      <c r="H107" s="18" t="n"/>
      <c r="I107" s="18" t="n"/>
      <c r="J107" s="18" t="n"/>
      <c r="K107" s="18" t="n"/>
      <c r="L107" s="18" t="n"/>
    </row>
    <row r="108">
      <c r="A108" s="17" t="n"/>
      <c r="B108" s="17" t="n"/>
      <c r="C108" s="17" t="n"/>
      <c r="D108" s="17" t="n"/>
      <c r="E108" s="17" t="n"/>
      <c r="F108" s="17" t="n"/>
      <c r="G108" s="17" t="n"/>
      <c r="H108" s="17" t="n"/>
      <c r="I108" s="17" t="n"/>
      <c r="J108" s="17" t="n"/>
      <c r="K108" s="17" t="n"/>
      <c r="L108" s="17" t="n"/>
    </row>
    <row r="109">
      <c r="A109" s="18" t="n"/>
      <c r="B109" s="18" t="n"/>
      <c r="C109" s="18" t="n"/>
      <c r="D109" s="18" t="n"/>
      <c r="E109" s="18" t="n"/>
      <c r="F109" s="18" t="n"/>
      <c r="G109" s="18" t="n"/>
      <c r="H109" s="18" t="n"/>
      <c r="I109" s="18" t="n"/>
      <c r="J109" s="18" t="n"/>
      <c r="K109" s="18" t="n"/>
      <c r="L109" s="18" t="n"/>
    </row>
    <row r="110">
      <c r="A110" s="17" t="n"/>
      <c r="B110" s="17" t="n"/>
      <c r="C110" s="17" t="n"/>
      <c r="D110" s="17" t="n"/>
      <c r="E110" s="17" t="n"/>
      <c r="F110" s="17" t="n"/>
      <c r="G110" s="17" t="n"/>
      <c r="H110" s="17" t="n"/>
      <c r="I110" s="17" t="n"/>
      <c r="J110" s="17" t="n"/>
      <c r="K110" s="17" t="n"/>
      <c r="L110" s="17" t="n"/>
    </row>
    <row r="111">
      <c r="A111" s="18" t="n"/>
      <c r="B111" s="18" t="n"/>
      <c r="C111" s="18" t="n"/>
      <c r="D111" s="18" t="n"/>
      <c r="E111" s="18" t="n"/>
      <c r="F111" s="18" t="n"/>
      <c r="G111" s="18" t="n"/>
      <c r="H111" s="18" t="n"/>
      <c r="I111" s="18" t="n"/>
      <c r="J111" s="18" t="n"/>
      <c r="K111" s="18" t="n"/>
      <c r="L111" s="18" t="n"/>
    </row>
    <row r="112">
      <c r="A112" s="17" t="n"/>
      <c r="B112" s="17" t="n"/>
      <c r="C112" s="17" t="n"/>
      <c r="D112" s="17" t="n"/>
      <c r="E112" s="17" t="n"/>
      <c r="F112" s="17" t="n"/>
      <c r="G112" s="17" t="n"/>
      <c r="H112" s="17" t="n"/>
      <c r="I112" s="17" t="n"/>
      <c r="J112" s="17" t="n"/>
      <c r="K112" s="17" t="n"/>
      <c r="L112" s="17" t="n"/>
    </row>
    <row r="113">
      <c r="A113" s="18" t="n"/>
      <c r="B113" s="18" t="n"/>
      <c r="C113" s="18" t="n"/>
      <c r="D113" s="18" t="n"/>
      <c r="E113" s="18" t="n"/>
      <c r="F113" s="18" t="n"/>
      <c r="G113" s="18" t="n"/>
      <c r="H113" s="18" t="n"/>
      <c r="I113" s="18" t="n"/>
      <c r="J113" s="18" t="n"/>
      <c r="K113" s="18" t="n"/>
      <c r="L113" s="18" t="n"/>
    </row>
    <row r="114">
      <c r="A114" s="17" t="n"/>
      <c r="B114" s="17" t="n"/>
      <c r="C114" s="17" t="n"/>
      <c r="D114" s="17" t="n"/>
      <c r="E114" s="17" t="n"/>
      <c r="F114" s="17" t="n"/>
      <c r="G114" s="17" t="n"/>
      <c r="H114" s="17" t="n"/>
      <c r="I114" s="17" t="n"/>
      <c r="J114" s="17" t="n"/>
      <c r="K114" s="17" t="n"/>
      <c r="L114" s="17" t="n"/>
    </row>
    <row r="115">
      <c r="A115" s="18" t="n"/>
      <c r="B115" s="18" t="n"/>
      <c r="C115" s="18" t="n"/>
      <c r="D115" s="18" t="n"/>
      <c r="E115" s="18" t="n"/>
      <c r="F115" s="18" t="n"/>
      <c r="G115" s="18" t="n"/>
      <c r="H115" s="18" t="n"/>
      <c r="I115" s="18" t="n"/>
      <c r="J115" s="18" t="n"/>
      <c r="K115" s="18" t="n"/>
      <c r="L115" s="18" t="n"/>
    </row>
    <row r="116">
      <c r="A116" s="17" t="n"/>
      <c r="B116" s="17" t="n"/>
      <c r="C116" s="17" t="n"/>
      <c r="D116" s="17" t="n"/>
      <c r="E116" s="17" t="n"/>
      <c r="F116" s="17" t="n"/>
      <c r="G116" s="17" t="n"/>
      <c r="H116" s="17" t="n"/>
      <c r="I116" s="17" t="n"/>
      <c r="J116" s="17" t="n"/>
      <c r="K116" s="17" t="n"/>
      <c r="L116" s="17" t="n"/>
    </row>
    <row r="117">
      <c r="A117" s="18" t="n"/>
      <c r="B117" s="18" t="n"/>
      <c r="C117" s="18" t="n"/>
      <c r="D117" s="18" t="n"/>
      <c r="E117" s="18" t="n"/>
      <c r="F117" s="18" t="n"/>
      <c r="G117" s="18" t="n"/>
      <c r="H117" s="18" t="n"/>
      <c r="I117" s="18" t="n"/>
      <c r="J117" s="18" t="n"/>
      <c r="K117" s="18" t="n"/>
      <c r="L117" s="18" t="n"/>
    </row>
    <row r="118">
      <c r="A118" s="17" t="n"/>
      <c r="B118" s="17" t="n"/>
      <c r="C118" s="17" t="n"/>
      <c r="D118" s="17" t="n"/>
      <c r="E118" s="17" t="n"/>
      <c r="F118" s="17" t="n"/>
      <c r="G118" s="17" t="n"/>
      <c r="H118" s="17" t="n"/>
      <c r="I118" s="17" t="n"/>
      <c r="J118" s="17" t="n"/>
      <c r="K118" s="17" t="n"/>
      <c r="L118" s="17" t="n"/>
    </row>
    <row r="119">
      <c r="A119" s="18" t="n"/>
      <c r="B119" s="18" t="n"/>
      <c r="C119" s="18" t="n"/>
      <c r="D119" s="18" t="n"/>
      <c r="E119" s="18" t="n"/>
      <c r="F119" s="18" t="n"/>
      <c r="G119" s="18" t="n"/>
      <c r="H119" s="18" t="n"/>
      <c r="I119" s="18" t="n"/>
      <c r="J119" s="18" t="n"/>
      <c r="K119" s="18" t="n"/>
      <c r="L119" s="18" t="n"/>
    </row>
    <row r="120">
      <c r="A120" s="17" t="n"/>
      <c r="B120" s="17" t="n"/>
      <c r="C120" s="17" t="n"/>
      <c r="D120" s="17" t="n"/>
      <c r="E120" s="17" t="n"/>
      <c r="F120" s="17" t="n"/>
      <c r="G120" s="17" t="n"/>
      <c r="H120" s="17" t="n"/>
      <c r="I120" s="17" t="n"/>
      <c r="J120" s="17" t="n"/>
      <c r="K120" s="17" t="n"/>
      <c r="L120" s="17" t="n"/>
    </row>
    <row r="121">
      <c r="A121" s="18" t="n"/>
      <c r="B121" s="18" t="n"/>
      <c r="C121" s="18" t="n"/>
      <c r="D121" s="18" t="n"/>
      <c r="E121" s="18" t="n"/>
      <c r="F121" s="18" t="n"/>
      <c r="G121" s="18" t="n"/>
      <c r="H121" s="18" t="n"/>
      <c r="I121" s="18" t="n"/>
      <c r="J121" s="18" t="n"/>
      <c r="K121" s="18" t="n"/>
      <c r="L121" s="18" t="n"/>
    </row>
    <row r="122">
      <c r="A122" s="17" t="n"/>
      <c r="B122" s="17" t="n"/>
      <c r="C122" s="17" t="n"/>
      <c r="D122" s="17" t="n"/>
      <c r="E122" s="17" t="n"/>
      <c r="F122" s="17" t="n"/>
      <c r="G122" s="17" t="n"/>
      <c r="H122" s="17" t="n"/>
      <c r="I122" s="17" t="n"/>
      <c r="J122" s="17" t="n"/>
      <c r="K122" s="17" t="n"/>
      <c r="L122" s="17" t="n"/>
    </row>
    <row r="123">
      <c r="A123" s="18" t="n"/>
      <c r="B123" s="18" t="n"/>
      <c r="C123" s="18" t="n"/>
      <c r="D123" s="18" t="n"/>
      <c r="E123" s="18" t="n"/>
      <c r="F123" s="18" t="n"/>
      <c r="G123" s="18" t="n"/>
      <c r="H123" s="18" t="n"/>
      <c r="I123" s="18" t="n"/>
      <c r="J123" s="18" t="n"/>
      <c r="K123" s="18" t="n"/>
      <c r="L123" s="18" t="n"/>
    </row>
    <row r="124">
      <c r="A124" s="17" t="n"/>
      <c r="B124" s="17" t="n"/>
      <c r="C124" s="17" t="n"/>
      <c r="D124" s="17" t="n"/>
      <c r="E124" s="17" t="n"/>
      <c r="F124" s="17" t="n"/>
      <c r="G124" s="17" t="n"/>
      <c r="H124" s="17" t="n"/>
      <c r="I124" s="17" t="n"/>
      <c r="J124" s="17" t="n"/>
      <c r="K124" s="17" t="n"/>
      <c r="L124" s="17" t="n"/>
    </row>
    <row r="125">
      <c r="A125" s="18" t="n"/>
      <c r="B125" s="18" t="n"/>
      <c r="C125" s="18" t="n"/>
      <c r="D125" s="18" t="n"/>
      <c r="E125" s="18" t="n"/>
      <c r="F125" s="18" t="n"/>
      <c r="G125" s="18" t="n"/>
      <c r="H125" s="18" t="n"/>
      <c r="I125" s="18" t="n"/>
      <c r="J125" s="18" t="n"/>
      <c r="K125" s="18" t="n"/>
      <c r="L125" s="18" t="n"/>
    </row>
    <row r="126">
      <c r="A126" s="17" t="n"/>
      <c r="B126" s="17" t="n"/>
      <c r="C126" s="17" t="n"/>
      <c r="D126" s="17" t="n"/>
      <c r="E126" s="17" t="n"/>
      <c r="F126" s="17" t="n"/>
      <c r="G126" s="17" t="n"/>
      <c r="H126" s="17" t="n"/>
      <c r="I126" s="17" t="n"/>
      <c r="J126" s="17" t="n"/>
      <c r="K126" s="17" t="n"/>
      <c r="L126" s="17" t="n"/>
    </row>
    <row r="127">
      <c r="A127" s="18" t="n"/>
      <c r="B127" s="18" t="n"/>
      <c r="C127" s="18" t="n"/>
      <c r="D127" s="18" t="n"/>
      <c r="E127" s="18" t="n"/>
      <c r="F127" s="18" t="n"/>
      <c r="G127" s="18" t="n"/>
      <c r="H127" s="18" t="n"/>
      <c r="I127" s="18" t="n"/>
      <c r="J127" s="18" t="n"/>
      <c r="K127" s="18" t="n"/>
      <c r="L127" s="18" t="n"/>
    </row>
    <row r="128">
      <c r="A128" s="17" t="n"/>
      <c r="B128" s="17" t="n"/>
      <c r="C128" s="17" t="n"/>
      <c r="D128" s="17" t="n"/>
      <c r="E128" s="17" t="n"/>
      <c r="F128" s="17" t="n"/>
      <c r="G128" s="17" t="n"/>
      <c r="H128" s="17" t="n"/>
      <c r="I128" s="17" t="n"/>
      <c r="J128" s="17" t="n"/>
      <c r="K128" s="17" t="n"/>
      <c r="L128" s="17" t="n"/>
    </row>
    <row r="129">
      <c r="A129" s="18" t="n"/>
      <c r="B129" s="18" t="n"/>
      <c r="C129" s="18" t="n"/>
      <c r="D129" s="18" t="n"/>
      <c r="E129" s="18" t="n"/>
      <c r="F129" s="18" t="n"/>
      <c r="G129" s="18" t="n"/>
      <c r="H129" s="18" t="n"/>
      <c r="I129" s="18" t="n"/>
      <c r="J129" s="18" t="n"/>
      <c r="K129" s="18" t="n"/>
      <c r="L129" s="18" t="n"/>
    </row>
    <row r="130">
      <c r="A130" s="17" t="n"/>
      <c r="B130" s="17" t="n"/>
      <c r="C130" s="17" t="n"/>
      <c r="D130" s="17" t="n"/>
      <c r="E130" s="17" t="n"/>
      <c r="F130" s="17" t="n"/>
      <c r="G130" s="17" t="n"/>
      <c r="H130" s="17" t="n"/>
      <c r="I130" s="17" t="n"/>
      <c r="J130" s="17" t="n"/>
      <c r="K130" s="17" t="n"/>
      <c r="L130" s="17" t="n"/>
    </row>
    <row r="131">
      <c r="A131" s="18" t="n"/>
      <c r="B131" s="18" t="n"/>
      <c r="C131" s="18" t="n"/>
      <c r="D131" s="18" t="n"/>
      <c r="E131" s="18" t="n"/>
      <c r="F131" s="18" t="n"/>
      <c r="G131" s="18" t="n"/>
      <c r="H131" s="18" t="n"/>
      <c r="I131" s="18" t="n"/>
      <c r="J131" s="18" t="n"/>
      <c r="K131" s="18" t="n"/>
      <c r="L131" s="18" t="n"/>
    </row>
    <row r="132">
      <c r="A132" s="17" t="n"/>
      <c r="B132" s="17" t="n"/>
      <c r="C132" s="17" t="n"/>
      <c r="D132" s="17" t="n"/>
      <c r="E132" s="17" t="n"/>
      <c r="F132" s="17" t="n"/>
      <c r="G132" s="17" t="n"/>
      <c r="H132" s="17" t="n"/>
      <c r="I132" s="17" t="n"/>
      <c r="J132" s="17" t="n"/>
      <c r="K132" s="17" t="n"/>
      <c r="L132" s="17" t="n"/>
    </row>
    <row r="133">
      <c r="A133" s="18" t="n"/>
      <c r="B133" s="18" t="n"/>
      <c r="C133" s="18" t="n"/>
      <c r="D133" s="18" t="n"/>
      <c r="E133" s="18" t="n"/>
      <c r="F133" s="18" t="n"/>
      <c r="G133" s="18" t="n"/>
      <c r="H133" s="18" t="n"/>
      <c r="I133" s="18" t="n"/>
      <c r="J133" s="18" t="n"/>
      <c r="K133" s="18" t="n"/>
      <c r="L133" s="18" t="n"/>
    </row>
    <row r="134">
      <c r="A134" s="17" t="n"/>
      <c r="B134" s="17" t="n"/>
      <c r="C134" s="17" t="n"/>
      <c r="D134" s="17" t="n"/>
      <c r="E134" s="17" t="n"/>
      <c r="F134" s="17" t="n"/>
      <c r="G134" s="17" t="n"/>
      <c r="H134" s="17" t="n"/>
      <c r="I134" s="17" t="n"/>
      <c r="J134" s="17" t="n"/>
      <c r="K134" s="17" t="n"/>
      <c r="L134" s="17" t="n"/>
    </row>
    <row r="135">
      <c r="A135" s="18" t="n"/>
      <c r="B135" s="18" t="n"/>
      <c r="C135" s="18" t="n"/>
      <c r="D135" s="18" t="n"/>
      <c r="E135" s="18" t="n"/>
      <c r="F135" s="18" t="n"/>
      <c r="G135" s="18" t="n"/>
      <c r="H135" s="18" t="n"/>
      <c r="I135" s="18" t="n"/>
      <c r="J135" s="18" t="n"/>
      <c r="K135" s="18" t="n"/>
      <c r="L135" s="18" t="n"/>
    </row>
    <row r="136">
      <c r="A136" s="17" t="n"/>
      <c r="B136" s="17" t="n"/>
      <c r="C136" s="17" t="n"/>
      <c r="D136" s="17" t="n"/>
      <c r="E136" s="17" t="n"/>
      <c r="F136" s="17" t="n"/>
      <c r="G136" s="17" t="n"/>
      <c r="H136" s="17" t="n"/>
      <c r="I136" s="17" t="n"/>
      <c r="J136" s="17" t="n"/>
      <c r="K136" s="17" t="n"/>
      <c r="L136" s="17" t="n"/>
    </row>
    <row r="137">
      <c r="A137" s="18" t="n"/>
      <c r="B137" s="18" t="n"/>
      <c r="C137" s="18" t="n"/>
      <c r="D137" s="18" t="n"/>
      <c r="E137" s="18" t="n"/>
      <c r="F137" s="18" t="n"/>
      <c r="G137" s="18" t="n"/>
      <c r="H137" s="18" t="n"/>
      <c r="I137" s="18" t="n"/>
      <c r="J137" s="18" t="n"/>
      <c r="K137" s="18" t="n"/>
      <c r="L137" s="18" t="n"/>
    </row>
    <row r="138">
      <c r="A138" s="17" t="n"/>
      <c r="B138" s="17" t="n"/>
      <c r="C138" s="17" t="n"/>
      <c r="D138" s="17" t="n"/>
      <c r="E138" s="17" t="n"/>
      <c r="F138" s="17" t="n"/>
      <c r="G138" s="17" t="n"/>
      <c r="H138" s="17" t="n"/>
      <c r="I138" s="17" t="n"/>
      <c r="J138" s="17" t="n"/>
      <c r="K138" s="17" t="n"/>
      <c r="L138" s="17" t="n"/>
    </row>
    <row r="139">
      <c r="A139" s="18" t="n"/>
      <c r="B139" s="18" t="n"/>
      <c r="C139" s="18" t="n"/>
      <c r="D139" s="18" t="n"/>
      <c r="E139" s="18" t="n"/>
      <c r="F139" s="18" t="n"/>
      <c r="G139" s="18" t="n"/>
      <c r="H139" s="18" t="n"/>
      <c r="I139" s="18" t="n"/>
      <c r="J139" s="18" t="n"/>
      <c r="K139" s="18" t="n"/>
      <c r="L139" s="18" t="n"/>
    </row>
    <row r="140">
      <c r="A140" s="17" t="n"/>
      <c r="B140" s="17" t="n"/>
      <c r="C140" s="17" t="n"/>
      <c r="D140" s="17" t="n"/>
      <c r="E140" s="17" t="n"/>
      <c r="F140" s="17" t="n"/>
      <c r="G140" s="17" t="n"/>
      <c r="H140" s="17" t="n"/>
      <c r="I140" s="17" t="n"/>
      <c r="J140" s="17" t="n"/>
      <c r="K140" s="17" t="n"/>
      <c r="L140" s="17" t="n"/>
    </row>
    <row r="141">
      <c r="A141" s="18" t="n"/>
      <c r="B141" s="18" t="n"/>
      <c r="C141" s="18" t="n"/>
      <c r="D141" s="18" t="n"/>
      <c r="E141" s="18" t="n"/>
      <c r="F141" s="18" t="n"/>
      <c r="G141" s="18" t="n"/>
      <c r="H141" s="18" t="n"/>
      <c r="I141" s="18" t="n"/>
      <c r="J141" s="18" t="n"/>
      <c r="K141" s="18" t="n"/>
      <c r="L141" s="18" t="n"/>
    </row>
    <row r="142">
      <c r="A142" s="17" t="n"/>
      <c r="B142" s="17" t="n"/>
      <c r="C142" s="17" t="n"/>
      <c r="D142" s="17" t="n"/>
      <c r="E142" s="17" t="n"/>
      <c r="F142" s="17" t="n"/>
      <c r="G142" s="17" t="n"/>
      <c r="H142" s="17" t="n"/>
      <c r="I142" s="17" t="n"/>
      <c r="J142" s="17" t="n"/>
      <c r="K142" s="17" t="n"/>
      <c r="L142" s="17" t="n"/>
    </row>
    <row r="143">
      <c r="A143" s="18" t="n"/>
      <c r="B143" s="18" t="n"/>
      <c r="C143" s="18" t="n"/>
      <c r="D143" s="18" t="n"/>
      <c r="E143" s="18" t="n"/>
      <c r="F143" s="18" t="n"/>
      <c r="G143" s="18" t="n"/>
      <c r="H143" s="18" t="n"/>
      <c r="I143" s="18" t="n"/>
      <c r="J143" s="18" t="n"/>
      <c r="K143" s="18" t="n"/>
      <c r="L143" s="18" t="n"/>
    </row>
    <row r="144">
      <c r="A144" s="17" t="n"/>
      <c r="B144" s="17" t="n"/>
      <c r="C144" s="17" t="n"/>
      <c r="D144" s="17" t="n"/>
      <c r="E144" s="17" t="n"/>
      <c r="F144" s="17" t="n"/>
      <c r="G144" s="17" t="n"/>
      <c r="H144" s="17" t="n"/>
      <c r="I144" s="17" t="n"/>
      <c r="J144" s="17" t="n"/>
      <c r="K144" s="17" t="n"/>
      <c r="L144" s="17" t="n"/>
    </row>
    <row r="145">
      <c r="A145" s="18" t="n"/>
      <c r="B145" s="18" t="n"/>
      <c r="C145" s="18" t="n"/>
      <c r="D145" s="18" t="n"/>
      <c r="E145" s="18" t="n"/>
      <c r="F145" s="18" t="n"/>
      <c r="G145" s="18" t="n"/>
      <c r="H145" s="18" t="n"/>
      <c r="I145" s="18" t="n"/>
      <c r="J145" s="18" t="n"/>
      <c r="K145" s="18" t="n"/>
      <c r="L145" s="18" t="n"/>
    </row>
    <row r="146">
      <c r="A146" s="17" t="n"/>
      <c r="B146" s="17" t="n"/>
      <c r="C146" s="17" t="n"/>
      <c r="D146" s="17" t="n"/>
      <c r="E146" s="17" t="n"/>
      <c r="F146" s="17" t="n"/>
      <c r="G146" s="17" t="n"/>
      <c r="H146" s="17" t="n"/>
      <c r="I146" s="17" t="n"/>
      <c r="J146" s="17" t="n"/>
      <c r="K146" s="17" t="n"/>
      <c r="L146" s="17" t="n"/>
    </row>
    <row r="147">
      <c r="A147" s="18" t="n"/>
      <c r="B147" s="18" t="n"/>
      <c r="C147" s="18" t="n"/>
      <c r="D147" s="18" t="n"/>
      <c r="E147" s="18" t="n"/>
      <c r="F147" s="18" t="n"/>
      <c r="G147" s="18" t="n"/>
      <c r="H147" s="18" t="n"/>
      <c r="I147" s="18" t="n"/>
      <c r="J147" s="18" t="n"/>
      <c r="K147" s="18" t="n"/>
      <c r="L147" s="18" t="n"/>
    </row>
    <row r="148">
      <c r="A148" s="17" t="n"/>
      <c r="B148" s="17" t="n"/>
      <c r="C148" s="17" t="n"/>
      <c r="D148" s="17" t="n"/>
      <c r="E148" s="17" t="n"/>
      <c r="F148" s="17" t="n"/>
      <c r="G148" s="17" t="n"/>
      <c r="H148" s="17" t="n"/>
      <c r="I148" s="17" t="n"/>
      <c r="J148" s="17" t="n"/>
      <c r="K148" s="17" t="n"/>
      <c r="L148" s="17" t="n"/>
    </row>
    <row r="149">
      <c r="A149" s="18" t="n"/>
      <c r="B149" s="18" t="n"/>
      <c r="C149" s="18" t="n"/>
      <c r="D149" s="18" t="n"/>
      <c r="E149" s="18" t="n"/>
      <c r="F149" s="18" t="n"/>
      <c r="G149" s="18" t="n"/>
      <c r="H149" s="18" t="n"/>
      <c r="I149" s="18" t="n"/>
      <c r="J149" s="18" t="n"/>
      <c r="K149" s="18" t="n"/>
      <c r="L149" s="18" t="n"/>
    </row>
    <row r="150">
      <c r="A150" s="17" t="n"/>
      <c r="B150" s="17" t="n"/>
      <c r="C150" s="17" t="n"/>
      <c r="D150" s="17" t="n"/>
      <c r="E150" s="17" t="n"/>
      <c r="F150" s="17" t="n"/>
      <c r="G150" s="17" t="n"/>
      <c r="H150" s="17" t="n"/>
      <c r="I150" s="17" t="n"/>
      <c r="J150" s="17" t="n"/>
      <c r="K150" s="17" t="n"/>
      <c r="L150" s="17" t="n"/>
    </row>
    <row r="151">
      <c r="A151" s="18" t="n"/>
      <c r="B151" s="18" t="n"/>
      <c r="C151" s="18" t="n"/>
      <c r="D151" s="18" t="n"/>
      <c r="E151" s="18" t="n"/>
      <c r="F151" s="18" t="n"/>
      <c r="G151" s="18" t="n"/>
      <c r="H151" s="18" t="n"/>
      <c r="I151" s="18" t="n"/>
      <c r="J151" s="18" t="n"/>
      <c r="K151" s="18" t="n"/>
      <c r="L151" s="18" t="n"/>
    </row>
    <row r="152">
      <c r="A152" s="17" t="n"/>
      <c r="B152" s="17" t="n"/>
      <c r="C152" s="17" t="n"/>
      <c r="D152" s="17" t="n"/>
      <c r="E152" s="17" t="n"/>
      <c r="F152" s="17" t="n"/>
      <c r="G152" s="17" t="n"/>
      <c r="H152" s="17" t="n"/>
      <c r="I152" s="17" t="n"/>
      <c r="J152" s="17" t="n"/>
      <c r="K152" s="17" t="n"/>
      <c r="L152" s="17" t="n"/>
    </row>
    <row r="153">
      <c r="A153" s="18" t="n"/>
      <c r="B153" s="18" t="n"/>
      <c r="C153" s="18" t="n"/>
      <c r="D153" s="18" t="n"/>
      <c r="E153" s="18" t="n"/>
      <c r="F153" s="18" t="n"/>
      <c r="G153" s="18" t="n"/>
      <c r="H153" s="18" t="n"/>
      <c r="I153" s="18" t="n"/>
      <c r="J153" s="18" t="n"/>
      <c r="K153" s="18" t="n"/>
      <c r="L153" s="18" t="n"/>
    </row>
    <row r="154">
      <c r="A154" s="17" t="n"/>
      <c r="B154" s="17" t="n"/>
      <c r="C154" s="17" t="n"/>
      <c r="D154" s="17" t="n"/>
      <c r="E154" s="17" t="n"/>
      <c r="F154" s="17" t="n"/>
      <c r="G154" s="17" t="n"/>
      <c r="H154" s="17" t="n"/>
      <c r="I154" s="17" t="n"/>
      <c r="J154" s="17" t="n"/>
      <c r="K154" s="17" t="n"/>
      <c r="L154" s="17" t="n"/>
    </row>
    <row r="155">
      <c r="A155" s="18" t="n"/>
      <c r="B155" s="18" t="n"/>
      <c r="C155" s="18" t="n"/>
      <c r="D155" s="18" t="n"/>
      <c r="E155" s="18" t="n"/>
      <c r="F155" s="18" t="n"/>
      <c r="G155" s="18" t="n"/>
      <c r="H155" s="18" t="n"/>
      <c r="I155" s="18" t="n"/>
      <c r="J155" s="18" t="n"/>
      <c r="K155" s="18" t="n"/>
      <c r="L155" s="18" t="n"/>
    </row>
    <row r="156">
      <c r="A156" s="17" t="n"/>
      <c r="B156" s="17" t="n"/>
      <c r="C156" s="17" t="n"/>
      <c r="D156" s="17" t="n"/>
      <c r="E156" s="17" t="n"/>
      <c r="F156" s="17" t="n"/>
      <c r="G156" s="17" t="n"/>
      <c r="H156" s="17" t="n"/>
      <c r="I156" s="17" t="n"/>
      <c r="J156" s="17" t="n"/>
      <c r="K156" s="17" t="n"/>
      <c r="L156" s="17" t="n"/>
    </row>
    <row r="157">
      <c r="A157" s="18" t="n"/>
      <c r="B157" s="18" t="n"/>
      <c r="C157" s="18" t="n"/>
      <c r="D157" s="18" t="n"/>
      <c r="E157" s="18" t="n"/>
      <c r="F157" s="18" t="n"/>
      <c r="G157" s="18" t="n"/>
      <c r="H157" s="18" t="n"/>
      <c r="I157" s="18" t="n"/>
      <c r="J157" s="18" t="n"/>
      <c r="K157" s="18" t="n"/>
      <c r="L157" s="18" t="n"/>
    </row>
    <row r="158">
      <c r="A158" s="17" t="n"/>
      <c r="B158" s="17" t="n"/>
      <c r="C158" s="17" t="n"/>
      <c r="D158" s="17" t="n"/>
      <c r="E158" s="17" t="n"/>
      <c r="F158" s="17" t="n"/>
      <c r="G158" s="17" t="n"/>
      <c r="H158" s="17" t="n"/>
      <c r="I158" s="17" t="n"/>
      <c r="J158" s="17" t="n"/>
      <c r="K158" s="17" t="n"/>
      <c r="L158" s="17" t="n"/>
    </row>
    <row r="159">
      <c r="A159" s="18" t="n"/>
      <c r="B159" s="18" t="n"/>
      <c r="C159" s="18" t="n"/>
      <c r="D159" s="18" t="n"/>
      <c r="E159" s="18" t="n"/>
      <c r="F159" s="18" t="n"/>
      <c r="G159" s="18" t="n"/>
      <c r="H159" s="18" t="n"/>
      <c r="I159" s="18" t="n"/>
      <c r="J159" s="18" t="n"/>
      <c r="K159" s="18" t="n"/>
      <c r="L159" s="18" t="n"/>
    </row>
    <row r="160">
      <c r="A160" s="17" t="n"/>
      <c r="B160" s="17" t="n"/>
      <c r="C160" s="17" t="n"/>
      <c r="D160" s="17" t="n"/>
      <c r="E160" s="17" t="n"/>
      <c r="F160" s="17" t="n"/>
      <c r="G160" s="17" t="n"/>
      <c r="H160" s="17" t="n"/>
      <c r="I160" s="17" t="n"/>
      <c r="J160" s="17" t="n"/>
      <c r="K160" s="17" t="n"/>
      <c r="L160" s="17" t="n"/>
    </row>
    <row r="161">
      <c r="A161" s="18" t="n"/>
      <c r="B161" s="18" t="n"/>
      <c r="C161" s="18" t="n"/>
      <c r="D161" s="18" t="n"/>
      <c r="E161" s="18" t="n"/>
      <c r="F161" s="18" t="n"/>
      <c r="G161" s="18" t="n"/>
      <c r="H161" s="18" t="n"/>
      <c r="I161" s="18" t="n"/>
      <c r="J161" s="18" t="n"/>
      <c r="K161" s="18" t="n"/>
      <c r="L161" s="18" t="n"/>
    </row>
    <row r="162">
      <c r="A162" s="17" t="n"/>
      <c r="B162" s="17" t="n"/>
      <c r="C162" s="17" t="n"/>
      <c r="D162" s="17" t="n"/>
      <c r="E162" s="17" t="n"/>
      <c r="F162" s="17" t="n"/>
      <c r="G162" s="17" t="n"/>
      <c r="H162" s="17" t="n"/>
      <c r="I162" s="17" t="n"/>
      <c r="J162" s="17" t="n"/>
      <c r="K162" s="17" t="n"/>
      <c r="L162" s="17" t="n"/>
    </row>
    <row r="163">
      <c r="A163" s="18" t="n"/>
      <c r="B163" s="18" t="n"/>
      <c r="C163" s="18" t="n"/>
      <c r="D163" s="18" t="n"/>
      <c r="E163" s="18" t="n"/>
      <c r="F163" s="18" t="n"/>
      <c r="G163" s="18" t="n"/>
      <c r="H163" s="18" t="n"/>
      <c r="I163" s="18" t="n"/>
      <c r="J163" s="18" t="n"/>
      <c r="K163" s="18" t="n"/>
      <c r="L163" s="18" t="n"/>
    </row>
    <row r="164">
      <c r="A164" s="17" t="n"/>
      <c r="B164" s="17" t="n"/>
      <c r="C164" s="17" t="n"/>
      <c r="D164" s="17" t="n"/>
      <c r="E164" s="17" t="n"/>
      <c r="F164" s="17" t="n"/>
      <c r="G164" s="17" t="n"/>
      <c r="H164" s="17" t="n"/>
      <c r="I164" s="17" t="n"/>
      <c r="J164" s="17" t="n"/>
      <c r="K164" s="17" t="n"/>
      <c r="L164" s="17" t="n"/>
    </row>
    <row r="165">
      <c r="A165" s="18" t="n"/>
      <c r="B165" s="18" t="n"/>
      <c r="C165" s="18" t="n"/>
      <c r="D165" s="18" t="n"/>
      <c r="E165" s="18" t="n"/>
      <c r="F165" s="18" t="n"/>
      <c r="G165" s="18" t="n"/>
      <c r="H165" s="18" t="n"/>
      <c r="I165" s="18" t="n"/>
      <c r="J165" s="18" t="n"/>
      <c r="K165" s="18" t="n"/>
      <c r="L165" s="18" t="n"/>
    </row>
    <row r="166">
      <c r="A166" s="17" t="n"/>
      <c r="B166" s="17" t="n"/>
      <c r="C166" s="17" t="n"/>
      <c r="D166" s="17" t="n"/>
      <c r="E166" s="17" t="n"/>
      <c r="F166" s="17" t="n"/>
      <c r="G166" s="17" t="n"/>
      <c r="H166" s="17" t="n"/>
      <c r="I166" s="17" t="n"/>
      <c r="J166" s="17" t="n"/>
      <c r="K166" s="17" t="n"/>
      <c r="L166" s="17" t="n"/>
    </row>
    <row r="167">
      <c r="A167" s="18" t="n"/>
      <c r="B167" s="18" t="n"/>
      <c r="C167" s="18" t="n"/>
      <c r="D167" s="18" t="n"/>
      <c r="E167" s="18" t="n"/>
      <c r="F167" s="18" t="n"/>
      <c r="G167" s="18" t="n"/>
      <c r="H167" s="18" t="n"/>
      <c r="I167" s="18" t="n"/>
      <c r="J167" s="18" t="n"/>
      <c r="K167" s="18" t="n"/>
      <c r="L167" s="18" t="n"/>
    </row>
    <row r="168">
      <c r="A168" s="17" t="n"/>
      <c r="B168" s="17" t="n"/>
      <c r="C168" s="17" t="n"/>
      <c r="D168" s="17" t="n"/>
      <c r="E168" s="17" t="n"/>
      <c r="F168" s="17" t="n"/>
      <c r="G168" s="17" t="n"/>
      <c r="H168" s="17" t="n"/>
      <c r="I168" s="17" t="n"/>
      <c r="J168" s="17" t="n"/>
      <c r="K168" s="17" t="n"/>
      <c r="L168" s="17" t="n"/>
    </row>
    <row r="169">
      <c r="A169" s="18" t="n"/>
      <c r="B169" s="18" t="n"/>
      <c r="C169" s="18" t="n"/>
      <c r="D169" s="18" t="n"/>
      <c r="E169" s="18" t="n"/>
      <c r="F169" s="18" t="n"/>
      <c r="G169" s="18" t="n"/>
      <c r="H169" s="18" t="n"/>
      <c r="I169" s="18" t="n"/>
      <c r="J169" s="18" t="n"/>
      <c r="K169" s="18" t="n"/>
      <c r="L169" s="18" t="n"/>
    </row>
    <row r="170">
      <c r="A170" s="17" t="n"/>
      <c r="B170" s="17" t="n"/>
      <c r="C170" s="17" t="n"/>
      <c r="D170" s="17" t="n"/>
      <c r="E170" s="17" t="n"/>
      <c r="F170" s="17" t="n"/>
      <c r="G170" s="17" t="n"/>
      <c r="H170" s="17" t="n"/>
      <c r="I170" s="17" t="n"/>
      <c r="J170" s="17" t="n"/>
      <c r="K170" s="17" t="n"/>
      <c r="L170" s="17" t="n"/>
    </row>
    <row r="171">
      <c r="A171" s="18" t="n"/>
      <c r="B171" s="18" t="n"/>
      <c r="C171" s="18" t="n"/>
      <c r="D171" s="18" t="n"/>
      <c r="E171" s="18" t="n"/>
      <c r="F171" s="18" t="n"/>
      <c r="G171" s="18" t="n"/>
      <c r="H171" s="18" t="n"/>
      <c r="I171" s="18" t="n"/>
      <c r="J171" s="18" t="n"/>
      <c r="K171" s="18" t="n"/>
      <c r="L171" s="18" t="n"/>
    </row>
    <row r="172">
      <c r="A172" s="17" t="n"/>
      <c r="B172" s="17" t="n"/>
      <c r="C172" s="17" t="n"/>
      <c r="D172" s="17" t="n"/>
      <c r="E172" s="17" t="n"/>
      <c r="F172" s="17" t="n"/>
      <c r="G172" s="17" t="n"/>
      <c r="H172" s="17" t="n"/>
      <c r="I172" s="17" t="n"/>
      <c r="J172" s="17" t="n"/>
      <c r="K172" s="17" t="n"/>
      <c r="L172" s="17" t="n"/>
    </row>
    <row r="173">
      <c r="A173" s="18" t="n"/>
      <c r="B173" s="18" t="n"/>
      <c r="C173" s="18" t="n"/>
      <c r="D173" s="18" t="n"/>
      <c r="E173" s="18" t="n"/>
      <c r="F173" s="18" t="n"/>
      <c r="G173" s="18" t="n"/>
      <c r="H173" s="18" t="n"/>
      <c r="I173" s="18" t="n"/>
      <c r="J173" s="18" t="n"/>
      <c r="K173" s="18" t="n"/>
      <c r="L173" s="18" t="n"/>
    </row>
    <row r="174">
      <c r="A174" s="17" t="n"/>
      <c r="B174" s="17" t="n"/>
      <c r="C174" s="17" t="n"/>
      <c r="D174" s="17" t="n"/>
      <c r="E174" s="17" t="n"/>
      <c r="F174" s="17" t="n"/>
      <c r="G174" s="17" t="n"/>
      <c r="H174" s="17" t="n"/>
      <c r="I174" s="17" t="n"/>
      <c r="J174" s="17" t="n"/>
      <c r="K174" s="17" t="n"/>
      <c r="L174" s="17" t="n"/>
    </row>
    <row r="175">
      <c r="A175" s="18" t="n"/>
      <c r="B175" s="18" t="n"/>
      <c r="C175" s="18" t="n"/>
      <c r="D175" s="18" t="n"/>
      <c r="E175" s="18" t="n"/>
      <c r="F175" s="18" t="n"/>
      <c r="G175" s="18" t="n"/>
      <c r="H175" s="18" t="n"/>
      <c r="I175" s="18" t="n"/>
      <c r="J175" s="18" t="n"/>
      <c r="K175" s="18" t="n"/>
      <c r="L175" s="18" t="n"/>
    </row>
    <row r="176">
      <c r="A176" s="17" t="n"/>
      <c r="B176" s="17" t="n"/>
      <c r="C176" s="17" t="n"/>
      <c r="D176" s="17" t="n"/>
      <c r="E176" s="17" t="n"/>
      <c r="F176" s="17" t="n"/>
      <c r="G176" s="17" t="n"/>
      <c r="H176" s="17" t="n"/>
      <c r="I176" s="17" t="n"/>
      <c r="J176" s="17" t="n"/>
      <c r="K176" s="17" t="n"/>
      <c r="L176" s="17" t="n"/>
    </row>
    <row r="177">
      <c r="A177" s="18" t="n"/>
      <c r="B177" s="18" t="n"/>
      <c r="C177" s="18" t="n"/>
      <c r="D177" s="18" t="n"/>
      <c r="E177" s="18" t="n"/>
      <c r="F177" s="18" t="n"/>
      <c r="G177" s="18" t="n"/>
      <c r="H177" s="18" t="n"/>
      <c r="I177" s="18" t="n"/>
      <c r="J177" s="18" t="n"/>
      <c r="K177" s="18" t="n"/>
      <c r="L177" s="18" t="n"/>
    </row>
    <row r="178">
      <c r="A178" s="17" t="n"/>
      <c r="B178" s="17" t="n"/>
      <c r="C178" s="17" t="n"/>
      <c r="D178" s="17" t="n"/>
      <c r="E178" s="17" t="n"/>
      <c r="F178" s="17" t="n"/>
      <c r="G178" s="17" t="n"/>
      <c r="H178" s="17" t="n"/>
      <c r="I178" s="17" t="n"/>
      <c r="J178" s="17" t="n"/>
      <c r="K178" s="17" t="n"/>
      <c r="L178" s="17" t="n"/>
    </row>
    <row r="179">
      <c r="A179" s="18" t="n"/>
      <c r="B179" s="18" t="n"/>
      <c r="C179" s="18" t="n"/>
      <c r="D179" s="18" t="n"/>
      <c r="E179" s="18" t="n"/>
      <c r="F179" s="18" t="n"/>
      <c r="G179" s="18" t="n"/>
      <c r="H179" s="18" t="n"/>
      <c r="I179" s="18" t="n"/>
      <c r="J179" s="18" t="n"/>
      <c r="K179" s="18" t="n"/>
      <c r="L179" s="18" t="n"/>
    </row>
    <row r="180">
      <c r="A180" s="17" t="n"/>
      <c r="B180" s="17" t="n"/>
      <c r="C180" s="17" t="n"/>
      <c r="D180" s="17" t="n"/>
      <c r="E180" s="17" t="n"/>
      <c r="F180" s="17" t="n"/>
      <c r="G180" s="17" t="n"/>
      <c r="H180" s="17" t="n"/>
      <c r="I180" s="17" t="n"/>
      <c r="J180" s="17" t="n"/>
      <c r="K180" s="17" t="n"/>
      <c r="L180" s="17" t="n"/>
    </row>
    <row r="181">
      <c r="A181" s="18" t="n"/>
      <c r="B181" s="18" t="n"/>
      <c r="C181" s="18" t="n"/>
      <c r="D181" s="18" t="n"/>
      <c r="E181" s="18" t="n"/>
      <c r="F181" s="18" t="n"/>
      <c r="G181" s="18" t="n"/>
      <c r="H181" s="18" t="n"/>
      <c r="I181" s="18" t="n"/>
      <c r="J181" s="18" t="n"/>
      <c r="K181" s="18" t="n"/>
      <c r="L181" s="18" t="n"/>
    </row>
    <row r="182">
      <c r="A182" s="17" t="n"/>
      <c r="B182" s="17" t="n"/>
      <c r="C182" s="17" t="n"/>
      <c r="D182" s="17" t="n"/>
      <c r="E182" s="17" t="n"/>
      <c r="F182" s="17" t="n"/>
      <c r="G182" s="17" t="n"/>
      <c r="H182" s="17" t="n"/>
      <c r="I182" s="17" t="n"/>
      <c r="J182" s="17" t="n"/>
      <c r="K182" s="17" t="n"/>
      <c r="L182" s="17" t="n"/>
    </row>
    <row r="183">
      <c r="A183" s="18" t="n"/>
      <c r="B183" s="18" t="n"/>
      <c r="C183" s="18" t="n"/>
      <c r="D183" s="18" t="n"/>
      <c r="E183" s="18" t="n"/>
      <c r="F183" s="18" t="n"/>
      <c r="G183" s="18" t="n"/>
      <c r="H183" s="18" t="n"/>
      <c r="I183" s="18" t="n"/>
      <c r="J183" s="18" t="n"/>
      <c r="K183" s="18" t="n"/>
      <c r="L183" s="18" t="n"/>
    </row>
    <row r="184">
      <c r="A184" s="17" t="n"/>
      <c r="B184" s="17" t="n"/>
      <c r="C184" s="17" t="n"/>
      <c r="D184" s="17" t="n"/>
      <c r="E184" s="17" t="n"/>
      <c r="F184" s="17" t="n"/>
      <c r="G184" s="17" t="n"/>
      <c r="H184" s="17" t="n"/>
      <c r="I184" s="17" t="n"/>
      <c r="J184" s="17" t="n"/>
      <c r="K184" s="17" t="n"/>
      <c r="L184" s="17" t="n"/>
    </row>
    <row r="185">
      <c r="A185" s="18" t="n"/>
      <c r="B185" s="18" t="n"/>
      <c r="C185" s="18" t="n"/>
      <c r="D185" s="18" t="n"/>
      <c r="E185" s="18" t="n"/>
      <c r="F185" s="18" t="n"/>
      <c r="G185" s="18" t="n"/>
      <c r="H185" s="18" t="n"/>
      <c r="I185" s="18" t="n"/>
      <c r="J185" s="18" t="n"/>
      <c r="K185" s="18" t="n"/>
      <c r="L185" s="18" t="n"/>
    </row>
    <row r="186">
      <c r="A186" s="17" t="n"/>
      <c r="B186" s="17" t="n"/>
      <c r="C186" s="17" t="n"/>
      <c r="D186" s="17" t="n"/>
      <c r="E186" s="17" t="n"/>
      <c r="F186" s="17" t="n"/>
      <c r="G186" s="17" t="n"/>
      <c r="H186" s="17" t="n"/>
      <c r="I186" s="17" t="n"/>
      <c r="J186" s="17" t="n"/>
      <c r="K186" s="17" t="n"/>
      <c r="L186" s="17" t="n"/>
    </row>
    <row r="187">
      <c r="A187" s="18" t="n"/>
      <c r="B187" s="18" t="n"/>
      <c r="C187" s="18" t="n"/>
      <c r="D187" s="18" t="n"/>
      <c r="E187" s="18" t="n"/>
      <c r="F187" s="18" t="n"/>
      <c r="G187" s="18" t="n"/>
      <c r="H187" s="18" t="n"/>
      <c r="I187" s="18" t="n"/>
      <c r="J187" s="18" t="n"/>
      <c r="K187" s="18" t="n"/>
      <c r="L187" s="18" t="n"/>
    </row>
    <row r="188">
      <c r="A188" s="17" t="n"/>
      <c r="B188" s="17" t="n"/>
      <c r="C188" s="17" t="n"/>
      <c r="D188" s="17" t="n"/>
      <c r="E188" s="17" t="n"/>
      <c r="F188" s="17" t="n"/>
      <c r="G188" s="17" t="n"/>
      <c r="H188" s="17" t="n"/>
      <c r="I188" s="17" t="n"/>
      <c r="J188" s="17" t="n"/>
      <c r="K188" s="17" t="n"/>
      <c r="L188" s="17" t="n"/>
    </row>
    <row r="189">
      <c r="A189" s="18" t="n"/>
      <c r="B189" s="18" t="n"/>
      <c r="C189" s="18" t="n"/>
      <c r="D189" s="18" t="n"/>
      <c r="E189" s="18" t="n"/>
      <c r="F189" s="18" t="n"/>
      <c r="G189" s="18" t="n"/>
      <c r="H189" s="18" t="n"/>
      <c r="I189" s="18" t="n"/>
      <c r="J189" s="18" t="n"/>
      <c r="K189" s="18" t="n"/>
      <c r="L189" s="18" t="n"/>
    </row>
    <row r="190">
      <c r="A190" s="17" t="n"/>
      <c r="B190" s="17" t="n"/>
      <c r="C190" s="17" t="n"/>
      <c r="D190" s="17" t="n"/>
      <c r="E190" s="17" t="n"/>
      <c r="F190" s="17" t="n"/>
      <c r="G190" s="17" t="n"/>
      <c r="H190" s="17" t="n"/>
      <c r="I190" s="17" t="n"/>
      <c r="J190" s="17" t="n"/>
      <c r="K190" s="17" t="n"/>
      <c r="L190" s="17" t="n"/>
    </row>
    <row r="191">
      <c r="A191" s="18" t="n"/>
      <c r="B191" s="18" t="n"/>
      <c r="C191" s="18" t="n"/>
      <c r="D191" s="18" t="n"/>
      <c r="E191" s="18" t="n"/>
      <c r="F191" s="18" t="n"/>
      <c r="G191" s="18" t="n"/>
      <c r="H191" s="18" t="n"/>
      <c r="I191" s="18" t="n"/>
      <c r="J191" s="18" t="n"/>
      <c r="K191" s="18" t="n"/>
      <c r="L191" s="18" t="n"/>
    </row>
    <row r="192">
      <c r="A192" s="17" t="n"/>
      <c r="B192" s="17" t="n"/>
      <c r="C192" s="17" t="n"/>
      <c r="D192" s="17" t="n"/>
      <c r="E192" s="17" t="n"/>
      <c r="F192" s="17" t="n"/>
      <c r="G192" s="17" t="n"/>
      <c r="H192" s="17" t="n"/>
      <c r="I192" s="17" t="n"/>
      <c r="J192" s="17" t="n"/>
      <c r="K192" s="17" t="n"/>
      <c r="L192" s="17" t="n"/>
    </row>
    <row r="193">
      <c r="A193" s="18" t="n"/>
      <c r="B193" s="18" t="n"/>
      <c r="C193" s="18" t="n"/>
      <c r="D193" s="18" t="n"/>
      <c r="E193" s="18" t="n"/>
      <c r="F193" s="18" t="n"/>
      <c r="G193" s="18" t="n"/>
      <c r="H193" s="18" t="n"/>
      <c r="I193" s="18" t="n"/>
      <c r="J193" s="18" t="n"/>
      <c r="K193" s="18" t="n"/>
      <c r="L193" s="18" t="n"/>
    </row>
    <row r="194">
      <c r="A194" s="17" t="n"/>
      <c r="B194" s="17" t="n"/>
      <c r="C194" s="17" t="n"/>
      <c r="D194" s="17" t="n"/>
      <c r="E194" s="17" t="n"/>
      <c r="F194" s="17" t="n"/>
      <c r="G194" s="17" t="n"/>
      <c r="H194" s="17" t="n"/>
      <c r="I194" s="17" t="n"/>
      <c r="J194" s="17" t="n"/>
      <c r="K194" s="17" t="n"/>
      <c r="L194" s="17" t="n"/>
    </row>
    <row r="195">
      <c r="A195" s="18" t="n"/>
      <c r="B195" s="18" t="n"/>
      <c r="C195" s="18" t="n"/>
      <c r="D195" s="18" t="n"/>
      <c r="E195" s="18" t="n"/>
      <c r="F195" s="18" t="n"/>
      <c r="G195" s="18" t="n"/>
      <c r="H195" s="18" t="n"/>
      <c r="I195" s="18" t="n"/>
      <c r="J195" s="18" t="n"/>
      <c r="K195" s="18" t="n"/>
      <c r="L195" s="18" t="n"/>
    </row>
    <row r="196">
      <c r="A196" s="17" t="n"/>
      <c r="B196" s="17" t="n"/>
      <c r="C196" s="17" t="n"/>
      <c r="D196" s="17" t="n"/>
      <c r="E196" s="17" t="n"/>
      <c r="F196" s="17" t="n"/>
      <c r="G196" s="17" t="n"/>
      <c r="H196" s="17" t="n"/>
      <c r="I196" s="17" t="n"/>
      <c r="J196" s="17" t="n"/>
      <c r="K196" s="17" t="n"/>
      <c r="L196" s="17" t="n"/>
    </row>
    <row r="197">
      <c r="A197" s="18" t="n"/>
      <c r="B197" s="18" t="n"/>
      <c r="C197" s="18" t="n"/>
      <c r="D197" s="18" t="n"/>
      <c r="E197" s="18" t="n"/>
      <c r="F197" s="18" t="n"/>
      <c r="G197" s="18" t="n"/>
      <c r="H197" s="18" t="n"/>
      <c r="I197" s="18" t="n"/>
      <c r="J197" s="18" t="n"/>
      <c r="K197" s="18" t="n"/>
      <c r="L197" s="18" t="n"/>
    </row>
    <row r="198">
      <c r="A198" s="17" t="n"/>
      <c r="B198" s="17" t="n"/>
      <c r="C198" s="17" t="n"/>
      <c r="D198" s="17" t="n"/>
      <c r="E198" s="17" t="n"/>
      <c r="F198" s="17" t="n"/>
      <c r="G198" s="17" t="n"/>
      <c r="H198" s="17" t="n"/>
      <c r="I198" s="17" t="n"/>
      <c r="J198" s="17" t="n"/>
      <c r="K198" s="17" t="n"/>
      <c r="L198" s="17" t="n"/>
    </row>
    <row r="199">
      <c r="A199" s="18" t="n"/>
      <c r="B199" s="18" t="n"/>
      <c r="C199" s="18" t="n"/>
      <c r="D199" s="18" t="n"/>
      <c r="E199" s="18" t="n"/>
      <c r="F199" s="18" t="n"/>
      <c r="G199" s="18" t="n"/>
      <c r="H199" s="18" t="n"/>
      <c r="I199" s="18" t="n"/>
      <c r="J199" s="18" t="n"/>
      <c r="K199" s="18" t="n"/>
      <c r="L199" s="18" t="n"/>
    </row>
    <row r="200">
      <c r="A200" s="17" t="n"/>
      <c r="B200" s="17" t="n"/>
      <c r="C200" s="17" t="n"/>
      <c r="D200" s="17" t="n"/>
      <c r="E200" s="17" t="n"/>
      <c r="F200" s="17" t="n"/>
      <c r="G200" s="17" t="n"/>
      <c r="H200" s="17" t="n"/>
      <c r="I200" s="17" t="n"/>
      <c r="J200" s="17" t="n"/>
      <c r="K200" s="17" t="n"/>
      <c r="L200" s="17" t="n"/>
    </row>
    <row r="201">
      <c r="A201" s="18" t="n"/>
      <c r="B201" s="18" t="n"/>
      <c r="C201" s="18" t="n"/>
      <c r="D201" s="18" t="n"/>
      <c r="E201" s="18" t="n"/>
      <c r="F201" s="18" t="n"/>
      <c r="G201" s="18" t="n"/>
      <c r="H201" s="18" t="n"/>
      <c r="I201" s="18" t="n"/>
      <c r="J201" s="18" t="n"/>
      <c r="K201" s="18" t="n"/>
      <c r="L201" s="18" t="n"/>
    </row>
    <row r="202">
      <c r="A202" s="17" t="n"/>
      <c r="B202" s="17" t="n"/>
      <c r="C202" s="17" t="n"/>
      <c r="D202" s="17" t="n"/>
      <c r="E202" s="17" t="n"/>
      <c r="F202" s="17" t="n"/>
      <c r="G202" s="17" t="n"/>
      <c r="H202" s="17" t="n"/>
      <c r="I202" s="17" t="n"/>
      <c r="J202" s="17" t="n"/>
      <c r="K202" s="17" t="n"/>
      <c r="L202" s="17" t="n"/>
    </row>
    <row r="203">
      <c r="A203" s="18" t="n"/>
      <c r="B203" s="18" t="n"/>
      <c r="C203" s="18" t="n"/>
      <c r="D203" s="18" t="n"/>
      <c r="E203" s="18" t="n"/>
      <c r="F203" s="18" t="n"/>
      <c r="G203" s="18" t="n"/>
      <c r="H203" s="18" t="n"/>
      <c r="I203" s="18" t="n"/>
      <c r="J203" s="18" t="n"/>
      <c r="K203" s="18" t="n"/>
      <c r="L203" s="18" t="n"/>
    </row>
    <row r="204">
      <c r="A204" s="17" t="n"/>
      <c r="B204" s="17" t="n"/>
      <c r="C204" s="17" t="n"/>
      <c r="D204" s="17" t="n"/>
      <c r="E204" s="17" t="n"/>
      <c r="F204" s="17" t="n"/>
      <c r="G204" s="17" t="n"/>
      <c r="H204" s="17" t="n"/>
      <c r="I204" s="17" t="n"/>
      <c r="J204" s="17" t="n"/>
      <c r="K204" s="17" t="n"/>
      <c r="L204" s="17" t="n"/>
    </row>
    <row r="205">
      <c r="A205" s="18" t="n"/>
      <c r="B205" s="18" t="n"/>
      <c r="C205" s="18" t="n"/>
      <c r="D205" s="18" t="n"/>
      <c r="E205" s="18" t="n"/>
      <c r="F205" s="18" t="n"/>
      <c r="G205" s="18" t="n"/>
      <c r="H205" s="18" t="n"/>
      <c r="I205" s="18" t="n"/>
      <c r="J205" s="18" t="n"/>
      <c r="K205" s="18" t="n"/>
      <c r="L205" s="18" t="n"/>
    </row>
    <row r="206">
      <c r="A206" s="17" t="n"/>
      <c r="B206" s="17" t="n"/>
      <c r="C206" s="17" t="n"/>
      <c r="D206" s="17" t="n"/>
      <c r="E206" s="17" t="n"/>
      <c r="F206" s="17" t="n"/>
      <c r="G206" s="17" t="n"/>
      <c r="H206" s="17" t="n"/>
      <c r="I206" s="17" t="n"/>
      <c r="J206" s="17" t="n"/>
      <c r="K206" s="17" t="n"/>
      <c r="L206" s="17" t="n"/>
    </row>
    <row r="207">
      <c r="A207" s="18" t="n"/>
      <c r="B207" s="18" t="n"/>
      <c r="C207" s="18" t="n"/>
      <c r="D207" s="18" t="n"/>
      <c r="E207" s="18" t="n"/>
      <c r="F207" s="18" t="n"/>
      <c r="G207" s="18" t="n"/>
      <c r="H207" s="18" t="n"/>
      <c r="I207" s="18" t="n"/>
      <c r="J207" s="18" t="n"/>
      <c r="K207" s="18" t="n"/>
      <c r="L207" s="18" t="n"/>
    </row>
    <row r="208">
      <c r="A208" s="17" t="n"/>
      <c r="B208" s="17" t="n"/>
      <c r="C208" s="17" t="n"/>
      <c r="D208" s="17" t="n"/>
      <c r="E208" s="17" t="n"/>
      <c r="F208" s="17" t="n"/>
      <c r="G208" s="17" t="n"/>
      <c r="H208" s="17" t="n"/>
      <c r="I208" s="17" t="n"/>
      <c r="J208" s="17" t="n"/>
      <c r="K208" s="17" t="n"/>
      <c r="L208" s="17" t="n"/>
    </row>
    <row r="209">
      <c r="A209" s="18" t="n"/>
      <c r="B209" s="18" t="n"/>
      <c r="C209" s="18" t="n"/>
      <c r="D209" s="18" t="n"/>
      <c r="E209" s="18" t="n"/>
      <c r="F209" s="18" t="n"/>
      <c r="G209" s="18" t="n"/>
      <c r="H209" s="18" t="n"/>
      <c r="I209" s="18" t="n"/>
      <c r="J209" s="18" t="n"/>
      <c r="K209" s="18" t="n"/>
      <c r="L209" s="18" t="n"/>
    </row>
    <row r="210">
      <c r="A210" s="17" t="n"/>
      <c r="B210" s="17" t="n"/>
      <c r="C210" s="17" t="n"/>
      <c r="D210" s="17" t="n"/>
      <c r="E210" s="17" t="n"/>
      <c r="F210" s="17" t="n"/>
      <c r="G210" s="17" t="n"/>
      <c r="H210" s="17" t="n"/>
      <c r="I210" s="17" t="n"/>
      <c r="J210" s="17" t="n"/>
      <c r="K210" s="17" t="n"/>
      <c r="L210" s="17" t="n"/>
    </row>
    <row r="211">
      <c r="A211" s="18" t="n"/>
      <c r="B211" s="18" t="n"/>
      <c r="C211" s="18" t="n"/>
      <c r="D211" s="18" t="n"/>
      <c r="E211" s="18" t="n"/>
      <c r="F211" s="18" t="n"/>
      <c r="G211" s="18" t="n"/>
      <c r="H211" s="18" t="n"/>
      <c r="I211" s="18" t="n"/>
      <c r="J211" s="18" t="n"/>
      <c r="K211" s="18" t="n"/>
      <c r="L211" s="18" t="n"/>
    </row>
    <row r="212">
      <c r="A212" s="17" t="n"/>
      <c r="B212" s="17" t="n"/>
      <c r="C212" s="17" t="n"/>
      <c r="D212" s="17" t="n"/>
      <c r="E212" s="17" t="n"/>
      <c r="F212" s="17" t="n"/>
      <c r="G212" s="17" t="n"/>
      <c r="H212" s="17" t="n"/>
      <c r="I212" s="17" t="n"/>
      <c r="J212" s="17" t="n"/>
      <c r="K212" s="17" t="n"/>
      <c r="L212" s="17" t="n"/>
    </row>
    <row r="213">
      <c r="A213" s="18" t="n"/>
      <c r="B213" s="18" t="n"/>
      <c r="C213" s="18" t="n"/>
      <c r="D213" s="18" t="n"/>
      <c r="E213" s="18" t="n"/>
      <c r="F213" s="18" t="n"/>
      <c r="G213" s="18" t="n"/>
      <c r="H213" s="18" t="n"/>
      <c r="I213" s="18" t="n"/>
      <c r="J213" s="18" t="n"/>
      <c r="K213" s="18" t="n"/>
      <c r="L213" s="18" t="n"/>
    </row>
    <row r="214">
      <c r="A214" s="17" t="n"/>
      <c r="B214" s="17" t="n"/>
      <c r="C214" s="17" t="n"/>
      <c r="D214" s="17" t="n"/>
      <c r="E214" s="17" t="n"/>
      <c r="F214" s="17" t="n"/>
      <c r="G214" s="17" t="n"/>
      <c r="H214" s="17" t="n"/>
      <c r="I214" s="17" t="n"/>
      <c r="J214" s="17" t="n"/>
      <c r="K214" s="17" t="n"/>
      <c r="L214" s="17" t="n"/>
    </row>
    <row r="215">
      <c r="A215" s="18" t="n"/>
      <c r="B215" s="18" t="n"/>
      <c r="C215" s="18" t="n"/>
      <c r="D215" s="18" t="n"/>
      <c r="E215" s="18" t="n"/>
      <c r="F215" s="18" t="n"/>
      <c r="G215" s="18" t="n"/>
      <c r="H215" s="18" t="n"/>
      <c r="I215" s="18" t="n"/>
      <c r="J215" s="18" t="n"/>
      <c r="K215" s="18" t="n"/>
      <c r="L215" s="18" t="n"/>
    </row>
    <row r="216">
      <c r="A216" s="17" t="n"/>
      <c r="B216" s="17" t="n"/>
      <c r="C216" s="17" t="n"/>
      <c r="D216" s="17" t="n"/>
      <c r="E216" s="17" t="n"/>
      <c r="F216" s="17" t="n"/>
      <c r="G216" s="17" t="n"/>
      <c r="H216" s="17" t="n"/>
      <c r="I216" s="17" t="n"/>
      <c r="J216" s="17" t="n"/>
      <c r="K216" s="17" t="n"/>
      <c r="L216" s="17" t="n"/>
    </row>
    <row r="217">
      <c r="A217" s="18" t="n"/>
      <c r="B217" s="18" t="n"/>
      <c r="C217" s="18" t="n"/>
      <c r="D217" s="18" t="n"/>
      <c r="E217" s="18" t="n"/>
      <c r="F217" s="18" t="n"/>
      <c r="G217" s="18" t="n"/>
      <c r="H217" s="18" t="n"/>
      <c r="I217" s="18" t="n"/>
      <c r="J217" s="18" t="n"/>
      <c r="K217" s="18" t="n"/>
      <c r="L217" s="18" t="n"/>
    </row>
    <row r="218">
      <c r="A218" s="17" t="n"/>
      <c r="B218" s="17" t="n"/>
      <c r="C218" s="17" t="n"/>
      <c r="D218" s="17" t="n"/>
      <c r="E218" s="17" t="n"/>
      <c r="F218" s="17" t="n"/>
      <c r="G218" s="17" t="n"/>
      <c r="H218" s="17" t="n"/>
      <c r="I218" s="17" t="n"/>
      <c r="J218" s="17" t="n"/>
      <c r="K218" s="17" t="n"/>
      <c r="L218" s="17" t="n"/>
    </row>
    <row r="219">
      <c r="A219" s="18" t="n"/>
      <c r="B219" s="18" t="n"/>
      <c r="C219" s="18" t="n"/>
      <c r="D219" s="18" t="n"/>
      <c r="E219" s="18" t="n"/>
      <c r="F219" s="18" t="n"/>
      <c r="G219" s="18" t="n"/>
      <c r="H219" s="18" t="n"/>
      <c r="I219" s="18" t="n"/>
      <c r="J219" s="18" t="n"/>
      <c r="K219" s="18" t="n"/>
      <c r="L219" s="18" t="n"/>
    </row>
    <row r="220">
      <c r="A220" s="17" t="n"/>
      <c r="B220" s="17" t="n"/>
      <c r="C220" s="17" t="n"/>
      <c r="D220" s="17" t="n"/>
      <c r="E220" s="17" t="n"/>
      <c r="F220" s="17" t="n"/>
      <c r="G220" s="17" t="n"/>
      <c r="H220" s="17" t="n"/>
      <c r="I220" s="17" t="n"/>
      <c r="J220" s="17" t="n"/>
      <c r="K220" s="17" t="n"/>
      <c r="L220" s="17" t="n"/>
    </row>
    <row r="221">
      <c r="A221" s="18" t="n"/>
      <c r="B221" s="18" t="n"/>
      <c r="C221" s="18" t="n"/>
      <c r="D221" s="18" t="n"/>
      <c r="E221" s="18" t="n"/>
      <c r="F221" s="18" t="n"/>
      <c r="G221" s="18" t="n"/>
      <c r="H221" s="18" t="n"/>
      <c r="I221" s="18" t="n"/>
      <c r="J221" s="18" t="n"/>
      <c r="K221" s="18" t="n"/>
      <c r="L221" s="18" t="n"/>
    </row>
    <row r="222">
      <c r="A222" s="17" t="n"/>
      <c r="B222" s="17" t="n"/>
      <c r="C222" s="17" t="n"/>
      <c r="D222" s="17" t="n"/>
      <c r="E222" s="17" t="n"/>
      <c r="F222" s="17" t="n"/>
      <c r="G222" s="17" t="n"/>
      <c r="H222" s="17" t="n"/>
      <c r="I222" s="17" t="n"/>
      <c r="J222" s="17" t="n"/>
      <c r="K222" s="17" t="n"/>
      <c r="L222" s="17" t="n"/>
    </row>
    <row r="223">
      <c r="A223" s="18" t="n"/>
      <c r="B223" s="18" t="n"/>
      <c r="C223" s="18" t="n"/>
      <c r="D223" s="18" t="n"/>
      <c r="E223" s="18" t="n"/>
      <c r="F223" s="18" t="n"/>
      <c r="G223" s="18" t="n"/>
      <c r="H223" s="18" t="n"/>
      <c r="I223" s="18" t="n"/>
      <c r="J223" s="18" t="n"/>
      <c r="K223" s="18" t="n"/>
      <c r="L223" s="18" t="n"/>
    </row>
    <row r="224">
      <c r="A224" s="17" t="n"/>
      <c r="B224" s="17" t="n"/>
      <c r="C224" s="17" t="n"/>
      <c r="D224" s="17" t="n"/>
      <c r="E224" s="17" t="n"/>
      <c r="F224" s="17" t="n"/>
      <c r="G224" s="17" t="n"/>
      <c r="H224" s="17" t="n"/>
      <c r="I224" s="17" t="n"/>
      <c r="J224" s="17" t="n"/>
      <c r="K224" s="17" t="n"/>
      <c r="L224" s="17" t="n"/>
    </row>
    <row r="225">
      <c r="A225" s="18" t="n"/>
      <c r="B225" s="18" t="n"/>
      <c r="C225" s="18" t="n"/>
      <c r="D225" s="18" t="n"/>
      <c r="E225" s="18" t="n"/>
      <c r="F225" s="18" t="n"/>
      <c r="G225" s="18" t="n"/>
      <c r="H225" s="18" t="n"/>
      <c r="I225" s="18" t="n"/>
      <c r="J225" s="18" t="n"/>
      <c r="K225" s="18" t="n"/>
      <c r="L225" s="18" t="n"/>
    </row>
    <row r="226">
      <c r="A226" s="17" t="n"/>
      <c r="B226" s="17" t="n"/>
      <c r="C226" s="17" t="n"/>
      <c r="D226" s="17" t="n"/>
      <c r="E226" s="17" t="n"/>
      <c r="F226" s="17" t="n"/>
      <c r="G226" s="17" t="n"/>
      <c r="H226" s="17" t="n"/>
      <c r="I226" s="17" t="n"/>
      <c r="J226" s="17" t="n"/>
      <c r="K226" s="17" t="n"/>
      <c r="L226" s="17" t="n"/>
    </row>
    <row r="227">
      <c r="A227" s="18" t="n"/>
      <c r="B227" s="18" t="n"/>
      <c r="C227" s="18" t="n"/>
      <c r="D227" s="18" t="n"/>
      <c r="E227" s="18" t="n"/>
      <c r="F227" s="18" t="n"/>
      <c r="G227" s="18" t="n"/>
      <c r="H227" s="18" t="n"/>
      <c r="I227" s="18" t="n"/>
      <c r="J227" s="18" t="n"/>
      <c r="K227" s="18" t="n"/>
      <c r="L227" s="18" t="n"/>
    </row>
    <row r="228">
      <c r="A228" s="17" t="n"/>
      <c r="B228" s="17" t="n"/>
      <c r="C228" s="17" t="n"/>
      <c r="D228" s="17" t="n"/>
      <c r="E228" s="17" t="n"/>
      <c r="F228" s="17" t="n"/>
      <c r="G228" s="17" t="n"/>
      <c r="H228" s="17" t="n"/>
      <c r="I228" s="17" t="n"/>
      <c r="J228" s="17" t="n"/>
      <c r="K228" s="17" t="n"/>
      <c r="L228" s="17" t="n"/>
    </row>
    <row r="229">
      <c r="A229" s="18" t="n"/>
      <c r="B229" s="18" t="n"/>
      <c r="C229" s="18" t="n"/>
      <c r="D229" s="18" t="n"/>
      <c r="E229" s="18" t="n"/>
      <c r="F229" s="18" t="n"/>
      <c r="G229" s="18" t="n"/>
      <c r="H229" s="18" t="n"/>
      <c r="I229" s="18" t="n"/>
      <c r="J229" s="18" t="n"/>
      <c r="K229" s="18" t="n"/>
      <c r="L229" s="18" t="n"/>
    </row>
    <row r="230">
      <c r="A230" s="17" t="n"/>
      <c r="B230" s="17" t="n"/>
      <c r="C230" s="17" t="n"/>
      <c r="D230" s="17" t="n"/>
      <c r="E230" s="17" t="n"/>
      <c r="F230" s="17" t="n"/>
      <c r="G230" s="17" t="n"/>
      <c r="H230" s="17" t="n"/>
      <c r="I230" s="17" t="n"/>
      <c r="J230" s="17" t="n"/>
      <c r="K230" s="17" t="n"/>
      <c r="L230" s="17" t="n"/>
    </row>
    <row r="231">
      <c r="A231" s="18" t="n"/>
      <c r="B231" s="18" t="n"/>
      <c r="C231" s="18" t="n"/>
      <c r="D231" s="18" t="n"/>
      <c r="E231" s="18" t="n"/>
      <c r="F231" s="18" t="n"/>
      <c r="G231" s="18" t="n"/>
      <c r="H231" s="18" t="n"/>
      <c r="I231" s="18" t="n"/>
      <c r="J231" s="18" t="n"/>
      <c r="K231" s="18" t="n"/>
      <c r="L231" s="18" t="n"/>
    </row>
    <row r="232">
      <c r="A232" s="17" t="n"/>
      <c r="B232" s="17" t="n"/>
      <c r="C232" s="17" t="n"/>
      <c r="D232" s="17" t="n"/>
      <c r="E232" s="17" t="n"/>
      <c r="F232" s="17" t="n"/>
      <c r="G232" s="17" t="n"/>
      <c r="H232" s="17" t="n"/>
      <c r="I232" s="17" t="n"/>
      <c r="J232" s="17" t="n"/>
      <c r="K232" s="17" t="n"/>
      <c r="L232" s="17" t="n"/>
    </row>
    <row r="233">
      <c r="A233" s="18" t="n"/>
      <c r="B233" s="18" t="n"/>
      <c r="C233" s="18" t="n"/>
      <c r="D233" s="18" t="n"/>
      <c r="E233" s="18" t="n"/>
      <c r="F233" s="18" t="n"/>
      <c r="G233" s="18" t="n"/>
      <c r="H233" s="18" t="n"/>
      <c r="I233" s="18" t="n"/>
      <c r="J233" s="18" t="n"/>
      <c r="K233" s="18" t="n"/>
      <c r="L233" s="18" t="n"/>
    </row>
    <row r="234">
      <c r="A234" s="17" t="n"/>
      <c r="B234" s="17" t="n"/>
      <c r="C234" s="17" t="n"/>
      <c r="D234" s="17" t="n"/>
      <c r="E234" s="17" t="n"/>
      <c r="F234" s="17" t="n"/>
      <c r="G234" s="17" t="n"/>
      <c r="H234" s="17" t="n"/>
      <c r="I234" s="17" t="n"/>
      <c r="J234" s="17" t="n"/>
      <c r="K234" s="17" t="n"/>
      <c r="L234" s="17" t="n"/>
    </row>
    <row r="235">
      <c r="A235" s="18" t="n"/>
      <c r="B235" s="18" t="n"/>
      <c r="C235" s="18" t="n"/>
      <c r="D235" s="18" t="n"/>
      <c r="E235" s="18" t="n"/>
      <c r="F235" s="18" t="n"/>
      <c r="G235" s="18" t="n"/>
      <c r="H235" s="18" t="n"/>
      <c r="I235" s="18" t="n"/>
      <c r="J235" s="18" t="n"/>
      <c r="K235" s="18" t="n"/>
      <c r="L235" s="18" t="n"/>
    </row>
    <row r="236">
      <c r="A236" s="17" t="n"/>
      <c r="B236" s="17" t="n"/>
      <c r="C236" s="17" t="n"/>
      <c r="D236" s="17" t="n"/>
      <c r="E236" s="17" t="n"/>
      <c r="F236" s="17" t="n"/>
      <c r="G236" s="17" t="n"/>
      <c r="H236" s="17" t="n"/>
      <c r="I236" s="17" t="n"/>
      <c r="J236" s="17" t="n"/>
      <c r="K236" s="17" t="n"/>
      <c r="L236" s="17" t="n"/>
    </row>
    <row r="237">
      <c r="A237" s="18" t="n"/>
      <c r="B237" s="18" t="n"/>
      <c r="C237" s="18" t="n"/>
      <c r="D237" s="18" t="n"/>
      <c r="E237" s="18" t="n"/>
      <c r="F237" s="18" t="n"/>
      <c r="G237" s="18" t="n"/>
      <c r="H237" s="18" t="n"/>
      <c r="I237" s="18" t="n"/>
      <c r="J237" s="18" t="n"/>
      <c r="K237" s="18" t="n"/>
      <c r="L237" s="18" t="n"/>
    </row>
    <row r="238">
      <c r="A238" s="17" t="n"/>
      <c r="B238" s="17" t="n"/>
      <c r="C238" s="17" t="n"/>
      <c r="D238" s="17" t="n"/>
      <c r="E238" s="17" t="n"/>
      <c r="F238" s="17" t="n"/>
      <c r="G238" s="17" t="n"/>
      <c r="H238" s="17" t="n"/>
      <c r="I238" s="17" t="n"/>
      <c r="J238" s="17" t="n"/>
      <c r="K238" s="17" t="n"/>
      <c r="L238" s="17" t="n"/>
    </row>
    <row r="239">
      <c r="A239" s="18" t="n"/>
      <c r="B239" s="18" t="n"/>
      <c r="C239" s="18" t="n"/>
      <c r="D239" s="18" t="n"/>
      <c r="E239" s="18" t="n"/>
      <c r="F239" s="18" t="n"/>
      <c r="G239" s="18" t="n"/>
      <c r="H239" s="18" t="n"/>
      <c r="I239" s="18" t="n"/>
      <c r="J239" s="18" t="n"/>
      <c r="K239" s="18" t="n"/>
      <c r="L239" s="18" t="n"/>
    </row>
    <row r="240">
      <c r="A240" s="17" t="n"/>
      <c r="B240" s="17" t="n"/>
      <c r="C240" s="17" t="n"/>
      <c r="D240" s="17" t="n"/>
      <c r="E240" s="17" t="n"/>
      <c r="F240" s="17" t="n"/>
      <c r="G240" s="17" t="n"/>
      <c r="H240" s="17" t="n"/>
      <c r="I240" s="17" t="n"/>
      <c r="J240" s="17" t="n"/>
      <c r="K240" s="17" t="n"/>
      <c r="L240" s="17" t="n"/>
    </row>
    <row r="241">
      <c r="A241" s="18" t="n"/>
      <c r="B241" s="18" t="n"/>
      <c r="C241" s="18" t="n"/>
      <c r="D241" s="18" t="n"/>
      <c r="E241" s="18" t="n"/>
      <c r="F241" s="18" t="n"/>
      <c r="G241" s="18" t="n"/>
      <c r="H241" s="18" t="n"/>
      <c r="I241" s="18" t="n"/>
      <c r="J241" s="18" t="n"/>
      <c r="K241" s="18" t="n"/>
      <c r="L241" s="18" t="n"/>
    </row>
    <row r="242">
      <c r="A242" s="17" t="n"/>
      <c r="B242" s="17" t="n"/>
      <c r="C242" s="17" t="n"/>
      <c r="D242" s="17" t="n"/>
      <c r="E242" s="17" t="n"/>
      <c r="F242" s="17" t="n"/>
      <c r="G242" s="17" t="n"/>
      <c r="H242" s="17" t="n"/>
      <c r="I242" s="17" t="n"/>
      <c r="J242" s="17" t="n"/>
      <c r="K242" s="17" t="n"/>
      <c r="L242" s="17" t="n"/>
    </row>
    <row r="243">
      <c r="A243" s="18" t="n"/>
      <c r="B243" s="18" t="n"/>
      <c r="C243" s="18" t="n"/>
      <c r="D243" s="18" t="n"/>
      <c r="E243" s="18" t="n"/>
      <c r="F243" s="18" t="n"/>
      <c r="G243" s="18" t="n"/>
      <c r="H243" s="18" t="n"/>
      <c r="I243" s="18" t="n"/>
      <c r="J243" s="18" t="n"/>
      <c r="K243" s="18" t="n"/>
      <c r="L243" s="18" t="n"/>
    </row>
    <row r="244">
      <c r="A244" s="17" t="n"/>
      <c r="B244" s="17" t="n"/>
      <c r="C244" s="17" t="n"/>
      <c r="D244" s="17" t="n"/>
      <c r="E244" s="17" t="n"/>
      <c r="F244" s="17" t="n"/>
      <c r="G244" s="17" t="n"/>
      <c r="H244" s="17" t="n"/>
      <c r="I244" s="17" t="n"/>
      <c r="J244" s="17" t="n"/>
      <c r="K244" s="17" t="n"/>
      <c r="L244" s="17" t="n"/>
    </row>
    <row r="245">
      <c r="A245" s="18" t="n"/>
      <c r="B245" s="18" t="n"/>
      <c r="C245" s="18" t="n"/>
      <c r="D245" s="18" t="n"/>
      <c r="E245" s="18" t="n"/>
      <c r="F245" s="18" t="n"/>
      <c r="G245" s="18" t="n"/>
      <c r="H245" s="18" t="n"/>
      <c r="I245" s="18" t="n"/>
      <c r="J245" s="18" t="n"/>
      <c r="K245" s="18" t="n"/>
      <c r="L245" s="18" t="n"/>
    </row>
    <row r="246">
      <c r="A246" s="17" t="n"/>
      <c r="B246" s="17" t="n"/>
      <c r="C246" s="17" t="n"/>
      <c r="D246" s="17" t="n"/>
      <c r="E246" s="17" t="n"/>
      <c r="F246" s="17" t="n"/>
      <c r="G246" s="17" t="n"/>
      <c r="H246" s="17" t="n"/>
      <c r="I246" s="17" t="n"/>
      <c r="J246" s="17" t="n"/>
      <c r="K246" s="17" t="n"/>
      <c r="L246" s="17" t="n"/>
    </row>
    <row r="247">
      <c r="A247" s="18" t="n"/>
      <c r="B247" s="18" t="n"/>
      <c r="C247" s="18" t="n"/>
      <c r="D247" s="18" t="n"/>
      <c r="E247" s="18" t="n"/>
      <c r="F247" s="18" t="n"/>
      <c r="G247" s="18" t="n"/>
      <c r="H247" s="18" t="n"/>
      <c r="I247" s="18" t="n"/>
      <c r="J247" s="18" t="n"/>
      <c r="K247" s="18" t="n"/>
      <c r="L247" s="18" t="n"/>
    </row>
    <row r="248">
      <c r="A248" s="17" t="n"/>
      <c r="B248" s="17" t="n"/>
      <c r="C248" s="17" t="n"/>
      <c r="D248" s="17" t="n"/>
      <c r="E248" s="17" t="n"/>
      <c r="F248" s="17" t="n"/>
      <c r="G248" s="17" t="n"/>
      <c r="H248" s="17" t="n"/>
      <c r="I248" s="17" t="n"/>
      <c r="J248" s="17" t="n"/>
      <c r="K248" s="17" t="n"/>
      <c r="L248" s="17" t="n"/>
    </row>
    <row r="249">
      <c r="A249" s="18" t="n"/>
      <c r="B249" s="18" t="n"/>
      <c r="C249" s="18" t="n"/>
      <c r="D249" s="18" t="n"/>
      <c r="E249" s="18" t="n"/>
      <c r="F249" s="18" t="n"/>
      <c r="G249" s="18" t="n"/>
      <c r="H249" s="18" t="n"/>
      <c r="I249" s="18" t="n"/>
      <c r="J249" s="18" t="n"/>
      <c r="K249" s="18" t="n"/>
      <c r="L249" s="18" t="n"/>
    </row>
    <row r="250">
      <c r="A250" s="17" t="n"/>
      <c r="B250" s="17" t="n"/>
      <c r="C250" s="17" t="n"/>
      <c r="D250" s="17" t="n"/>
      <c r="E250" s="17" t="n"/>
      <c r="F250" s="17" t="n"/>
      <c r="G250" s="17" t="n"/>
      <c r="H250" s="17" t="n"/>
      <c r="I250" s="17" t="n"/>
      <c r="J250" s="17" t="n"/>
      <c r="K250" s="17" t="n"/>
      <c r="L250" s="17" t="n"/>
    </row>
    <row r="251">
      <c r="A251" s="18" t="n"/>
      <c r="B251" s="18" t="n"/>
      <c r="C251" s="18" t="n"/>
      <c r="D251" s="18" t="n"/>
      <c r="E251" s="18" t="n"/>
      <c r="F251" s="18" t="n"/>
      <c r="G251" s="18" t="n"/>
      <c r="H251" s="18" t="n"/>
      <c r="I251" s="18" t="n"/>
      <c r="J251" s="18" t="n"/>
      <c r="K251" s="18" t="n"/>
      <c r="L251" s="18" t="n"/>
    </row>
    <row r="252">
      <c r="A252" s="17" t="n"/>
      <c r="B252" s="17" t="n"/>
      <c r="C252" s="17" t="n"/>
      <c r="D252" s="17" t="n"/>
      <c r="E252" s="17" t="n"/>
      <c r="F252" s="17" t="n"/>
      <c r="G252" s="17" t="n"/>
      <c r="H252" s="17" t="n"/>
      <c r="I252" s="17" t="n"/>
      <c r="J252" s="17" t="n"/>
      <c r="K252" s="17" t="n"/>
      <c r="L252" s="17" t="n"/>
    </row>
    <row r="253">
      <c r="A253" s="18" t="n"/>
      <c r="B253" s="18" t="n"/>
      <c r="C253" s="18" t="n"/>
      <c r="D253" s="18" t="n"/>
      <c r="E253" s="18" t="n"/>
      <c r="F253" s="18" t="n"/>
      <c r="G253" s="18" t="n"/>
      <c r="H253" s="18" t="n"/>
      <c r="I253" s="18" t="n"/>
      <c r="J253" s="18" t="n"/>
      <c r="K253" s="18" t="n"/>
      <c r="L253" s="18" t="n"/>
    </row>
    <row r="254">
      <c r="A254" s="17" t="n"/>
      <c r="B254" s="17" t="n"/>
      <c r="C254" s="17" t="n"/>
      <c r="D254" s="17" t="n"/>
      <c r="E254" s="17" t="n"/>
      <c r="F254" s="17" t="n"/>
      <c r="G254" s="17" t="n"/>
      <c r="H254" s="17" t="n"/>
      <c r="I254" s="17" t="n"/>
      <c r="J254" s="17" t="n"/>
      <c r="K254" s="17" t="n"/>
      <c r="L254" s="17" t="n"/>
    </row>
    <row r="255">
      <c r="A255" s="18" t="n"/>
      <c r="B255" s="18" t="n"/>
      <c r="C255" s="18" t="n"/>
      <c r="D255" s="18" t="n"/>
      <c r="E255" s="18" t="n"/>
      <c r="F255" s="18" t="n"/>
      <c r="G255" s="18" t="n"/>
      <c r="H255" s="18" t="n"/>
      <c r="I255" s="18" t="n"/>
      <c r="J255" s="18" t="n"/>
      <c r="K255" s="18" t="n"/>
      <c r="L255" s="18" t="n"/>
    </row>
    <row r="256">
      <c r="A256" s="17" t="n"/>
      <c r="B256" s="17" t="n"/>
      <c r="C256" s="17" t="n"/>
      <c r="D256" s="17" t="n"/>
      <c r="E256" s="17" t="n"/>
      <c r="F256" s="17" t="n"/>
      <c r="G256" s="17" t="n"/>
      <c r="H256" s="17" t="n"/>
      <c r="I256" s="17" t="n"/>
      <c r="J256" s="17" t="n"/>
      <c r="K256" s="17" t="n"/>
      <c r="L256" s="17" t="n"/>
    </row>
    <row r="257">
      <c r="A257" s="18" t="n"/>
      <c r="B257" s="18" t="n"/>
      <c r="C257" s="18" t="n"/>
      <c r="D257" s="18" t="n"/>
      <c r="E257" s="18" t="n"/>
      <c r="F257" s="18" t="n"/>
      <c r="G257" s="18" t="n"/>
      <c r="H257" s="18" t="n"/>
      <c r="I257" s="18" t="n"/>
      <c r="J257" s="18" t="n"/>
      <c r="K257" s="18" t="n"/>
      <c r="L257" s="18" t="n"/>
    </row>
    <row r="258">
      <c r="A258" s="17" t="n"/>
      <c r="B258" s="17" t="n"/>
      <c r="C258" s="17" t="n"/>
      <c r="D258" s="17" t="n"/>
      <c r="E258" s="17" t="n"/>
      <c r="F258" s="17" t="n"/>
      <c r="G258" s="17" t="n"/>
      <c r="H258" s="17" t="n"/>
      <c r="I258" s="17" t="n"/>
      <c r="J258" s="17" t="n"/>
      <c r="K258" s="17" t="n"/>
      <c r="L258" s="17" t="n"/>
    </row>
    <row r="259">
      <c r="A259" s="18" t="n"/>
      <c r="B259" s="18" t="n"/>
      <c r="C259" s="18" t="n"/>
      <c r="D259" s="18" t="n"/>
      <c r="E259" s="18" t="n"/>
      <c r="F259" s="18" t="n"/>
      <c r="G259" s="18" t="n"/>
      <c r="H259" s="18" t="n"/>
      <c r="I259" s="18" t="n"/>
      <c r="J259" s="18" t="n"/>
      <c r="K259" s="18" t="n"/>
      <c r="L259" s="18" t="n"/>
    </row>
    <row r="260">
      <c r="A260" s="17" t="n"/>
      <c r="B260" s="17" t="n"/>
      <c r="C260" s="17" t="n"/>
      <c r="D260" s="17" t="n"/>
      <c r="E260" s="17" t="n"/>
      <c r="F260" s="17" t="n"/>
      <c r="G260" s="17" t="n"/>
      <c r="H260" s="17" t="n"/>
      <c r="I260" s="17" t="n"/>
      <c r="J260" s="17" t="n"/>
      <c r="K260" s="17" t="n"/>
      <c r="L260" s="17" t="n"/>
    </row>
    <row r="261">
      <c r="A261" s="18" t="n"/>
      <c r="B261" s="18" t="n"/>
      <c r="C261" s="18" t="n"/>
      <c r="D261" s="18" t="n"/>
      <c r="E261" s="18" t="n"/>
      <c r="F261" s="18" t="n"/>
      <c r="G261" s="18" t="n"/>
      <c r="H261" s="18" t="n"/>
      <c r="I261" s="18" t="n"/>
      <c r="J261" s="18" t="n"/>
      <c r="K261" s="18" t="n"/>
      <c r="L261" s="18" t="n"/>
    </row>
    <row r="262">
      <c r="A262" s="17" t="n"/>
      <c r="B262" s="17" t="n"/>
      <c r="C262" s="17" t="n"/>
      <c r="D262" s="17" t="n"/>
      <c r="E262" s="17" t="n"/>
      <c r="F262" s="17" t="n"/>
      <c r="G262" s="17" t="n"/>
      <c r="H262" s="17" t="n"/>
      <c r="I262" s="17" t="n"/>
      <c r="J262" s="17" t="n"/>
      <c r="K262" s="17" t="n"/>
      <c r="L262" s="17" t="n"/>
    </row>
    <row r="263">
      <c r="A263" s="18" t="n"/>
      <c r="B263" s="18" t="n"/>
      <c r="C263" s="18" t="n"/>
      <c r="D263" s="18" t="n"/>
      <c r="E263" s="18" t="n"/>
      <c r="F263" s="18" t="n"/>
      <c r="G263" s="18" t="n"/>
      <c r="H263" s="18" t="n"/>
      <c r="I263" s="18" t="n"/>
      <c r="J263" s="18" t="n"/>
      <c r="K263" s="18" t="n"/>
      <c r="L263" s="18" t="n"/>
    </row>
    <row r="264">
      <c r="A264" s="17" t="n"/>
      <c r="B264" s="17" t="n"/>
      <c r="C264" s="17" t="n"/>
      <c r="D264" s="17" t="n"/>
      <c r="E264" s="17" t="n"/>
      <c r="F264" s="17" t="n"/>
      <c r="G264" s="17" t="n"/>
      <c r="H264" s="17" t="n"/>
      <c r="I264" s="17" t="n"/>
      <c r="J264" s="17" t="n"/>
      <c r="K264" s="17" t="n"/>
      <c r="L264" s="17" t="n"/>
    </row>
    <row r="265">
      <c r="A265" s="18" t="n"/>
      <c r="B265" s="18" t="n"/>
      <c r="C265" s="18" t="n"/>
      <c r="D265" s="18" t="n"/>
      <c r="E265" s="18" t="n"/>
      <c r="F265" s="18" t="n"/>
      <c r="G265" s="18" t="n"/>
      <c r="H265" s="18" t="n"/>
      <c r="I265" s="18" t="n"/>
      <c r="J265" s="18" t="n"/>
      <c r="K265" s="18" t="n"/>
      <c r="L265" s="18" t="n"/>
    </row>
    <row r="266">
      <c r="A266" s="17" t="n"/>
      <c r="B266" s="17" t="n"/>
      <c r="C266" s="17" t="n"/>
      <c r="D266" s="17" t="n"/>
      <c r="E266" s="17" t="n"/>
      <c r="F266" s="17" t="n"/>
      <c r="G266" s="17" t="n"/>
      <c r="H266" s="17" t="n"/>
      <c r="I266" s="17" t="n"/>
      <c r="J266" s="17" t="n"/>
      <c r="K266" s="17" t="n"/>
      <c r="L266" s="17" t="n"/>
    </row>
    <row r="267">
      <c r="A267" s="18" t="n"/>
      <c r="B267" s="18" t="n"/>
      <c r="C267" s="18" t="n"/>
      <c r="D267" s="18" t="n"/>
      <c r="E267" s="18" t="n"/>
      <c r="F267" s="18" t="n"/>
      <c r="G267" s="18" t="n"/>
      <c r="H267" s="18" t="n"/>
      <c r="I267" s="18" t="n"/>
      <c r="J267" s="18" t="n"/>
      <c r="K267" s="18" t="n"/>
      <c r="L267" s="18" t="n"/>
    </row>
    <row r="268">
      <c r="A268" s="17" t="n"/>
      <c r="B268" s="17" t="n"/>
      <c r="C268" s="17" t="n"/>
      <c r="D268" s="17" t="n"/>
      <c r="E268" s="17" t="n"/>
      <c r="F268" s="17" t="n"/>
      <c r="G268" s="17" t="n"/>
      <c r="H268" s="17" t="n"/>
      <c r="I268" s="17" t="n"/>
      <c r="J268" s="17" t="n"/>
      <c r="K268" s="17" t="n"/>
      <c r="L268" s="17" t="n"/>
    </row>
    <row r="269">
      <c r="A269" s="18" t="n"/>
      <c r="B269" s="18" t="n"/>
      <c r="C269" s="18" t="n"/>
      <c r="D269" s="18" t="n"/>
      <c r="E269" s="18" t="n"/>
      <c r="F269" s="18" t="n"/>
      <c r="G269" s="18" t="n"/>
      <c r="H269" s="18" t="n"/>
      <c r="I269" s="18" t="n"/>
      <c r="J269" s="18" t="n"/>
      <c r="K269" s="18" t="n"/>
      <c r="L269" s="18" t="n"/>
    </row>
    <row r="270">
      <c r="A270" s="17" t="n"/>
      <c r="B270" s="17" t="n"/>
      <c r="C270" s="17" t="n"/>
      <c r="D270" s="17" t="n"/>
      <c r="E270" s="17" t="n"/>
      <c r="F270" s="17" t="n"/>
      <c r="G270" s="17" t="n"/>
      <c r="H270" s="17" t="n"/>
      <c r="I270" s="17" t="n"/>
      <c r="J270" s="17" t="n"/>
      <c r="K270" s="17" t="n"/>
      <c r="L270" s="17" t="n"/>
    </row>
    <row r="271">
      <c r="A271" s="18" t="n"/>
      <c r="B271" s="18" t="n"/>
      <c r="C271" s="18" t="n"/>
      <c r="D271" s="18" t="n"/>
      <c r="E271" s="18" t="n"/>
      <c r="F271" s="18" t="n"/>
      <c r="G271" s="18" t="n"/>
      <c r="H271" s="18" t="n"/>
      <c r="I271" s="18" t="n"/>
      <c r="J271" s="18" t="n"/>
      <c r="K271" s="18" t="n"/>
      <c r="L271" s="18" t="n"/>
    </row>
    <row r="272">
      <c r="A272" s="17" t="n"/>
      <c r="B272" s="17" t="n"/>
      <c r="C272" s="17" t="n"/>
      <c r="D272" s="17" t="n"/>
      <c r="E272" s="17" t="n"/>
      <c r="F272" s="17" t="n"/>
      <c r="G272" s="17" t="n"/>
      <c r="H272" s="17" t="n"/>
      <c r="I272" s="17" t="n"/>
      <c r="J272" s="17" t="n"/>
      <c r="K272" s="17" t="n"/>
      <c r="L272" s="17" t="n"/>
    </row>
    <row r="273">
      <c r="A273" s="18" t="n"/>
      <c r="B273" s="18" t="n"/>
      <c r="C273" s="18" t="n"/>
      <c r="D273" s="18" t="n"/>
      <c r="E273" s="18" t="n"/>
      <c r="F273" s="18" t="n"/>
      <c r="G273" s="18" t="n"/>
      <c r="H273" s="18" t="n"/>
      <c r="I273" s="18" t="n"/>
      <c r="J273" s="18" t="n"/>
      <c r="K273" s="18" t="n"/>
      <c r="L273" s="18" t="n"/>
    </row>
    <row r="274">
      <c r="A274" s="17" t="n"/>
      <c r="B274" s="17" t="n"/>
      <c r="C274" s="17" t="n"/>
      <c r="D274" s="17" t="n"/>
      <c r="E274" s="17" t="n"/>
      <c r="F274" s="17" t="n"/>
      <c r="G274" s="17" t="n"/>
      <c r="H274" s="17" t="n"/>
      <c r="I274" s="17" t="n"/>
      <c r="J274" s="17" t="n"/>
      <c r="K274" s="17" t="n"/>
      <c r="L274" s="17" t="n"/>
    </row>
    <row r="275">
      <c r="A275" s="18" t="n"/>
      <c r="B275" s="18" t="n"/>
      <c r="C275" s="18" t="n"/>
      <c r="D275" s="18" t="n"/>
      <c r="E275" s="18" t="n"/>
      <c r="F275" s="18" t="n"/>
      <c r="G275" s="18" t="n"/>
      <c r="H275" s="18" t="n"/>
      <c r="I275" s="18" t="n"/>
      <c r="J275" s="18" t="n"/>
      <c r="K275" s="18" t="n"/>
      <c r="L275" s="18" t="n"/>
    </row>
    <row r="276">
      <c r="A276" s="17" t="n"/>
      <c r="B276" s="17" t="n"/>
      <c r="C276" s="17" t="n"/>
      <c r="D276" s="17" t="n"/>
      <c r="E276" s="17" t="n"/>
      <c r="F276" s="17" t="n"/>
      <c r="G276" s="17" t="n"/>
      <c r="H276" s="17" t="n"/>
      <c r="I276" s="17" t="n"/>
      <c r="J276" s="17" t="n"/>
      <c r="K276" s="17" t="n"/>
      <c r="L276" s="17" t="n"/>
    </row>
    <row r="277">
      <c r="A277" s="18" t="n"/>
      <c r="B277" s="18" t="n"/>
      <c r="C277" s="18" t="n"/>
      <c r="D277" s="18" t="n"/>
      <c r="E277" s="18" t="n"/>
      <c r="F277" s="18" t="n"/>
      <c r="G277" s="18" t="n"/>
      <c r="H277" s="18" t="n"/>
      <c r="I277" s="18" t="n"/>
      <c r="J277" s="18" t="n"/>
      <c r="K277" s="18" t="n"/>
      <c r="L277" s="18" t="n"/>
    </row>
    <row r="278">
      <c r="A278" s="17" t="n"/>
      <c r="B278" s="17" t="n"/>
      <c r="C278" s="17" t="n"/>
      <c r="D278" s="17" t="n"/>
      <c r="E278" s="17" t="n"/>
      <c r="F278" s="17" t="n"/>
      <c r="G278" s="17" t="n"/>
      <c r="H278" s="17" t="n"/>
      <c r="I278" s="17" t="n"/>
      <c r="J278" s="17" t="n"/>
      <c r="K278" s="17" t="n"/>
      <c r="L278" s="17" t="n"/>
    </row>
    <row r="279">
      <c r="A279" s="18" t="n"/>
      <c r="B279" s="18" t="n"/>
      <c r="C279" s="18" t="n"/>
      <c r="D279" s="18" t="n"/>
      <c r="E279" s="18" t="n"/>
      <c r="F279" s="18" t="n"/>
      <c r="G279" s="18" t="n"/>
      <c r="H279" s="18" t="n"/>
      <c r="I279" s="18" t="n"/>
      <c r="J279" s="18" t="n"/>
      <c r="K279" s="18" t="n"/>
      <c r="L279" s="18" t="n"/>
    </row>
    <row r="280">
      <c r="A280" s="17" t="n"/>
      <c r="B280" s="17" t="n"/>
      <c r="C280" s="17" t="n"/>
      <c r="D280" s="17" t="n"/>
      <c r="E280" s="17" t="n"/>
      <c r="F280" s="17" t="n"/>
      <c r="G280" s="17" t="n"/>
      <c r="H280" s="17" t="n"/>
      <c r="I280" s="17" t="n"/>
      <c r="J280" s="17" t="n"/>
      <c r="K280" s="17" t="n"/>
      <c r="L280" s="17" t="n"/>
    </row>
    <row r="281">
      <c r="A281" s="18" t="n"/>
      <c r="B281" s="18" t="n"/>
      <c r="C281" s="18" t="n"/>
      <c r="D281" s="18" t="n"/>
      <c r="E281" s="18" t="n"/>
      <c r="F281" s="18" t="n"/>
      <c r="G281" s="18" t="n"/>
      <c r="H281" s="18" t="n"/>
      <c r="I281" s="18" t="n"/>
      <c r="J281" s="18" t="n"/>
      <c r="K281" s="18" t="n"/>
      <c r="L281" s="18" t="n"/>
    </row>
    <row r="282">
      <c r="A282" s="17" t="n"/>
      <c r="B282" s="17" t="n"/>
      <c r="C282" s="17" t="n"/>
      <c r="D282" s="17" t="n"/>
      <c r="E282" s="17" t="n"/>
      <c r="F282" s="17" t="n"/>
      <c r="G282" s="17" t="n"/>
      <c r="H282" s="17" t="n"/>
      <c r="I282" s="17" t="n"/>
      <c r="J282" s="17" t="n"/>
      <c r="K282" s="17" t="n"/>
      <c r="L282" s="17" t="n"/>
    </row>
    <row r="283">
      <c r="A283" s="18" t="n"/>
      <c r="B283" s="18" t="n"/>
      <c r="C283" s="18" t="n"/>
      <c r="D283" s="18" t="n"/>
      <c r="E283" s="18" t="n"/>
      <c r="F283" s="18" t="n"/>
      <c r="G283" s="18" t="n"/>
      <c r="H283" s="18" t="n"/>
      <c r="I283" s="18" t="n"/>
      <c r="J283" s="18" t="n"/>
      <c r="K283" s="18" t="n"/>
      <c r="L283" s="18" t="n"/>
    </row>
    <row r="284">
      <c r="A284" s="17" t="n"/>
      <c r="B284" s="17" t="n"/>
      <c r="C284" s="17" t="n"/>
      <c r="D284" s="17" t="n"/>
      <c r="E284" s="17" t="n"/>
      <c r="F284" s="17" t="n"/>
      <c r="G284" s="17" t="n"/>
      <c r="H284" s="17" t="n"/>
      <c r="I284" s="17" t="n"/>
      <c r="J284" s="17" t="n"/>
      <c r="K284" s="17" t="n"/>
      <c r="L284" s="17" t="n"/>
    </row>
    <row r="285">
      <c r="A285" s="18" t="n"/>
      <c r="B285" s="18" t="n"/>
      <c r="C285" s="18" t="n"/>
      <c r="D285" s="18" t="n"/>
      <c r="E285" s="18" t="n"/>
      <c r="F285" s="18" t="n"/>
      <c r="G285" s="18" t="n"/>
      <c r="H285" s="18" t="n"/>
      <c r="I285" s="18" t="n"/>
      <c r="J285" s="18" t="n"/>
      <c r="K285" s="18" t="n"/>
      <c r="L285" s="18" t="n"/>
    </row>
    <row r="286">
      <c r="A286" s="17" t="n"/>
      <c r="B286" s="17" t="n"/>
      <c r="C286" s="17" t="n"/>
      <c r="D286" s="17" t="n"/>
      <c r="E286" s="17" t="n"/>
      <c r="F286" s="17" t="n"/>
      <c r="G286" s="17" t="n"/>
      <c r="H286" s="17" t="n"/>
      <c r="I286" s="17" t="n"/>
      <c r="J286" s="17" t="n"/>
      <c r="K286" s="17" t="n"/>
      <c r="L286" s="17" t="n"/>
    </row>
    <row r="287">
      <c r="A287" s="18" t="n"/>
      <c r="B287" s="18" t="n"/>
      <c r="C287" s="18" t="n"/>
      <c r="D287" s="18" t="n"/>
      <c r="E287" s="18" t="n"/>
      <c r="F287" s="18" t="n"/>
      <c r="G287" s="18" t="n"/>
      <c r="H287" s="18" t="n"/>
      <c r="I287" s="18" t="n"/>
      <c r="J287" s="18" t="n"/>
      <c r="K287" s="18" t="n"/>
      <c r="L287" s="18" t="n"/>
    </row>
    <row r="288">
      <c r="A288" s="17" t="n"/>
      <c r="B288" s="17" t="n"/>
      <c r="C288" s="17" t="n"/>
      <c r="D288" s="17" t="n"/>
      <c r="E288" s="17" t="n"/>
      <c r="F288" s="17" t="n"/>
      <c r="G288" s="17" t="n"/>
      <c r="H288" s="17" t="n"/>
      <c r="I288" s="17" t="n"/>
      <c r="J288" s="17" t="n"/>
      <c r="K288" s="17" t="n"/>
      <c r="L288" s="17" t="n"/>
    </row>
    <row r="289">
      <c r="A289" s="18" t="n"/>
      <c r="B289" s="18" t="n"/>
      <c r="C289" s="18" t="n"/>
      <c r="D289" s="18" t="n"/>
      <c r="E289" s="18" t="n"/>
      <c r="F289" s="18" t="n"/>
      <c r="G289" s="18" t="n"/>
      <c r="H289" s="18" t="n"/>
      <c r="I289" s="18" t="n"/>
      <c r="J289" s="18" t="n"/>
      <c r="K289" s="18" t="n"/>
      <c r="L289" s="18" t="n"/>
    </row>
    <row r="290">
      <c r="A290" s="17" t="n"/>
      <c r="B290" s="17" t="n"/>
      <c r="C290" s="17" t="n"/>
      <c r="D290" s="17" t="n"/>
      <c r="E290" s="17" t="n"/>
      <c r="F290" s="17" t="n"/>
      <c r="G290" s="17" t="n"/>
      <c r="H290" s="17" t="n"/>
      <c r="I290" s="17" t="n"/>
      <c r="J290" s="17" t="n"/>
      <c r="K290" s="17" t="n"/>
      <c r="L290" s="17" t="n"/>
    </row>
    <row r="291">
      <c r="A291" s="18" t="n"/>
      <c r="B291" s="18" t="n"/>
      <c r="C291" s="18" t="n"/>
      <c r="D291" s="18" t="n"/>
      <c r="E291" s="18" t="n"/>
      <c r="F291" s="18" t="n"/>
      <c r="G291" s="18" t="n"/>
      <c r="H291" s="18" t="n"/>
      <c r="I291" s="18" t="n"/>
      <c r="J291" s="18" t="n"/>
      <c r="K291" s="18" t="n"/>
      <c r="L291" s="18" t="n"/>
    </row>
    <row r="292">
      <c r="A292" s="17" t="n"/>
      <c r="B292" s="17" t="n"/>
      <c r="C292" s="17" t="n"/>
      <c r="D292" s="17" t="n"/>
      <c r="E292" s="17" t="n"/>
      <c r="F292" s="17" t="n"/>
      <c r="G292" s="17" t="n"/>
      <c r="H292" s="17" t="n"/>
      <c r="I292" s="17" t="n"/>
      <c r="J292" s="17" t="n"/>
      <c r="K292" s="17" t="n"/>
      <c r="L292" s="17" t="n"/>
    </row>
    <row r="293">
      <c r="A293" s="18" t="n"/>
      <c r="B293" s="18" t="n"/>
      <c r="C293" s="18" t="n"/>
      <c r="D293" s="18" t="n"/>
      <c r="E293" s="18" t="n"/>
      <c r="F293" s="18" t="n"/>
      <c r="G293" s="18" t="n"/>
      <c r="H293" s="18" t="n"/>
      <c r="I293" s="18" t="n"/>
      <c r="J293" s="18" t="n"/>
      <c r="K293" s="18" t="n"/>
      <c r="L293" s="18" t="n"/>
    </row>
    <row r="294">
      <c r="A294" s="17" t="n"/>
      <c r="B294" s="17" t="n"/>
      <c r="C294" s="17" t="n"/>
      <c r="D294" s="17" t="n"/>
      <c r="E294" s="17" t="n"/>
      <c r="F294" s="17" t="n"/>
      <c r="G294" s="17" t="n"/>
      <c r="H294" s="17" t="n"/>
      <c r="I294" s="17" t="n"/>
      <c r="J294" s="17" t="n"/>
      <c r="K294" s="17" t="n"/>
      <c r="L294" s="17" t="n"/>
    </row>
    <row r="295">
      <c r="A295" s="18" t="n"/>
      <c r="B295" s="18" t="n"/>
      <c r="C295" s="18" t="n"/>
      <c r="D295" s="18" t="n"/>
      <c r="E295" s="18" t="n"/>
      <c r="F295" s="18" t="n"/>
      <c r="G295" s="18" t="n"/>
      <c r="H295" s="18" t="n"/>
      <c r="I295" s="18" t="n"/>
      <c r="J295" s="18" t="n"/>
      <c r="K295" s="18" t="n"/>
      <c r="L295" s="18" t="n"/>
    </row>
    <row r="296">
      <c r="A296" s="17" t="n"/>
      <c r="B296" s="17" t="n"/>
      <c r="C296" s="17" t="n"/>
      <c r="D296" s="17" t="n"/>
      <c r="E296" s="17" t="n"/>
      <c r="F296" s="17" t="n"/>
      <c r="G296" s="17" t="n"/>
      <c r="H296" s="17" t="n"/>
      <c r="I296" s="17" t="n"/>
      <c r="J296" s="17" t="n"/>
      <c r="K296" s="17" t="n"/>
      <c r="L296" s="17" t="n"/>
    </row>
    <row r="297">
      <c r="A297" s="18" t="n"/>
      <c r="B297" s="18" t="n"/>
      <c r="C297" s="18" t="n"/>
      <c r="D297" s="18" t="n"/>
      <c r="E297" s="18" t="n"/>
      <c r="F297" s="18" t="n"/>
      <c r="G297" s="18" t="n"/>
      <c r="H297" s="18" t="n"/>
      <c r="I297" s="18" t="n"/>
      <c r="J297" s="18" t="n"/>
      <c r="K297" s="18" t="n"/>
      <c r="L297" s="18" t="n"/>
    </row>
    <row r="298">
      <c r="A298" s="17" t="n"/>
      <c r="B298" s="17" t="n"/>
      <c r="C298" s="17" t="n"/>
      <c r="D298" s="17" t="n"/>
      <c r="E298" s="17" t="n"/>
      <c r="F298" s="17" t="n"/>
      <c r="G298" s="17" t="n"/>
      <c r="H298" s="17" t="n"/>
      <c r="I298" s="17" t="n"/>
      <c r="J298" s="17" t="n"/>
      <c r="K298" s="17" t="n"/>
      <c r="L298" s="17" t="n"/>
    </row>
    <row r="299">
      <c r="A299" s="18" t="n"/>
      <c r="B299" s="18" t="n"/>
      <c r="C299" s="18" t="n"/>
      <c r="D299" s="18" t="n"/>
      <c r="E299" s="18" t="n"/>
      <c r="F299" s="18" t="n"/>
      <c r="G299" s="18" t="n"/>
      <c r="H299" s="18" t="n"/>
      <c r="I299" s="18" t="n"/>
      <c r="J299" s="18" t="n"/>
      <c r="K299" s="18" t="n"/>
      <c r="L299" s="18" t="n"/>
    </row>
    <row r="300">
      <c r="A300" s="17" t="n"/>
      <c r="B300" s="17" t="n"/>
      <c r="C300" s="17" t="n"/>
      <c r="D300" s="17" t="n"/>
      <c r="E300" s="17" t="n"/>
      <c r="F300" s="17" t="n"/>
      <c r="G300" s="17" t="n"/>
      <c r="H300" s="17" t="n"/>
      <c r="I300" s="17" t="n"/>
      <c r="J300" s="17" t="n"/>
      <c r="K300" s="17" t="n"/>
      <c r="L300" s="17" t="n"/>
    </row>
    <row r="301">
      <c r="A301" s="18" t="n"/>
      <c r="B301" s="18" t="n"/>
      <c r="C301" s="18" t="n"/>
      <c r="D301" s="18" t="n"/>
      <c r="E301" s="18" t="n"/>
      <c r="F301" s="18" t="n"/>
      <c r="G301" s="18" t="n"/>
      <c r="H301" s="18" t="n"/>
      <c r="I301" s="18" t="n"/>
      <c r="J301" s="18" t="n"/>
      <c r="K301" s="18" t="n"/>
      <c r="L301" s="18" t="n"/>
    </row>
    <row r="302">
      <c r="A302" s="17" t="n"/>
      <c r="B302" s="17" t="n"/>
      <c r="C302" s="17" t="n"/>
      <c r="D302" s="17" t="n"/>
      <c r="E302" s="17" t="n"/>
      <c r="F302" s="17" t="n"/>
      <c r="G302" s="17" t="n"/>
      <c r="H302" s="17" t="n"/>
      <c r="I302" s="17" t="n"/>
      <c r="J302" s="17" t="n"/>
      <c r="K302" s="17" t="n"/>
      <c r="L302" s="17" t="n"/>
    </row>
    <row r="303">
      <c r="A303" s="18" t="n"/>
      <c r="B303" s="18" t="n"/>
      <c r="C303" s="18" t="n"/>
      <c r="D303" s="18" t="n"/>
      <c r="E303" s="18" t="n"/>
      <c r="F303" s="18" t="n"/>
      <c r="G303" s="18" t="n"/>
      <c r="H303" s="18" t="n"/>
      <c r="I303" s="18" t="n"/>
      <c r="J303" s="18" t="n"/>
      <c r="K303" s="18" t="n"/>
      <c r="L303" s="18" t="n"/>
    </row>
    <row r="304">
      <c r="A304" s="17" t="n"/>
      <c r="B304" s="17" t="n"/>
      <c r="C304" s="17" t="n"/>
      <c r="D304" s="17" t="n"/>
      <c r="E304" s="17" t="n"/>
      <c r="F304" s="17" t="n"/>
      <c r="G304" s="17" t="n"/>
      <c r="H304" s="17" t="n"/>
      <c r="I304" s="17" t="n"/>
      <c r="J304" s="17" t="n"/>
      <c r="K304" s="17" t="n"/>
      <c r="L304" s="17" t="n"/>
    </row>
    <row r="305">
      <c r="A305" s="18" t="n"/>
      <c r="B305" s="18" t="n"/>
      <c r="C305" s="18" t="n"/>
      <c r="D305" s="18" t="n"/>
      <c r="E305" s="18" t="n"/>
      <c r="F305" s="18" t="n"/>
      <c r="G305" s="18" t="n"/>
      <c r="H305" s="18" t="n"/>
      <c r="I305" s="18" t="n"/>
      <c r="J305" s="18" t="n"/>
      <c r="K305" s="18" t="n"/>
      <c r="L305" s="18" t="n"/>
    </row>
    <row r="306">
      <c r="A306" s="17" t="n"/>
      <c r="B306" s="17" t="n"/>
      <c r="C306" s="17" t="n"/>
      <c r="D306" s="17" t="n"/>
      <c r="E306" s="17" t="n"/>
      <c r="F306" s="17" t="n"/>
      <c r="G306" s="17" t="n"/>
      <c r="H306" s="17" t="n"/>
      <c r="I306" s="17" t="n"/>
      <c r="J306" s="17" t="n"/>
      <c r="K306" s="17" t="n"/>
      <c r="L306" s="17" t="n"/>
    </row>
    <row r="307">
      <c r="A307" s="18" t="n"/>
      <c r="B307" s="18" t="n"/>
      <c r="C307" s="18" t="n"/>
      <c r="D307" s="18" t="n"/>
      <c r="E307" s="18" t="n"/>
      <c r="F307" s="18" t="n"/>
      <c r="G307" s="18" t="n"/>
      <c r="H307" s="18" t="n"/>
      <c r="I307" s="18" t="n"/>
      <c r="J307" s="18" t="n"/>
      <c r="K307" s="18" t="n"/>
      <c r="L307" s="18" t="n"/>
    </row>
    <row r="308">
      <c r="A308" s="17" t="n"/>
      <c r="B308" s="17" t="n"/>
      <c r="C308" s="17" t="n"/>
      <c r="D308" s="17" t="n"/>
      <c r="E308" s="17" t="n"/>
      <c r="F308" s="17" t="n"/>
      <c r="G308" s="17" t="n"/>
      <c r="H308" s="17" t="n"/>
      <c r="I308" s="17" t="n"/>
      <c r="J308" s="17" t="n"/>
      <c r="K308" s="17" t="n"/>
      <c r="L308" s="17" t="n"/>
    </row>
    <row r="309">
      <c r="A309" s="18" t="n"/>
      <c r="B309" s="18" t="n"/>
      <c r="C309" s="18" t="n"/>
      <c r="D309" s="18" t="n"/>
      <c r="E309" s="18" t="n"/>
      <c r="F309" s="18" t="n"/>
      <c r="G309" s="18" t="n"/>
      <c r="H309" s="18" t="n"/>
      <c r="I309" s="18" t="n"/>
      <c r="J309" s="18" t="n"/>
      <c r="K309" s="18" t="n"/>
      <c r="L309" s="18" t="n"/>
    </row>
    <row r="310">
      <c r="A310" s="17" t="n"/>
      <c r="B310" s="17" t="n"/>
      <c r="C310" s="17" t="n"/>
      <c r="D310" s="17" t="n"/>
      <c r="E310" s="17" t="n"/>
      <c r="F310" s="17" t="n"/>
      <c r="G310" s="17" t="n"/>
      <c r="H310" s="17" t="n"/>
      <c r="I310" s="17" t="n"/>
      <c r="J310" s="17" t="n"/>
      <c r="K310" s="17" t="n"/>
      <c r="L310" s="17" t="n"/>
    </row>
    <row r="311">
      <c r="A311" s="18" t="n"/>
      <c r="B311" s="18" t="n"/>
      <c r="C311" s="18" t="n"/>
      <c r="D311" s="18" t="n"/>
      <c r="E311" s="18" t="n"/>
      <c r="F311" s="18" t="n"/>
      <c r="G311" s="18" t="n"/>
      <c r="H311" s="18" t="n"/>
      <c r="I311" s="18" t="n"/>
      <c r="J311" s="18" t="n"/>
      <c r="K311" s="18" t="n"/>
      <c r="L311" s="18" t="n"/>
    </row>
    <row r="312">
      <c r="A312" s="17" t="n"/>
      <c r="B312" s="17" t="n"/>
      <c r="C312" s="17" t="n"/>
      <c r="D312" s="17" t="n"/>
      <c r="E312" s="17" t="n"/>
      <c r="F312" s="17" t="n"/>
      <c r="G312" s="17" t="n"/>
      <c r="H312" s="17" t="n"/>
      <c r="I312" s="17" t="n"/>
      <c r="J312" s="17" t="n"/>
      <c r="K312" s="17" t="n"/>
      <c r="L312" s="17" t="n"/>
    </row>
    <row r="313">
      <c r="A313" s="18" t="n"/>
      <c r="B313" s="18" t="n"/>
      <c r="C313" s="18" t="n"/>
      <c r="D313" s="18" t="n"/>
      <c r="E313" s="18" t="n"/>
      <c r="F313" s="18" t="n"/>
      <c r="G313" s="18" t="n"/>
      <c r="H313" s="18" t="n"/>
      <c r="I313" s="18" t="n"/>
      <c r="J313" s="18" t="n"/>
      <c r="K313" s="18" t="n"/>
      <c r="L313" s="18" t="n"/>
    </row>
    <row r="314">
      <c r="A314" s="17" t="n"/>
      <c r="B314" s="17" t="n"/>
      <c r="C314" s="17" t="n"/>
      <c r="D314" s="17" t="n"/>
      <c r="E314" s="17" t="n"/>
      <c r="F314" s="17" t="n"/>
      <c r="G314" s="17" t="n"/>
      <c r="H314" s="17" t="n"/>
      <c r="I314" s="17" t="n"/>
      <c r="J314" s="17" t="n"/>
      <c r="K314" s="17" t="n"/>
      <c r="L314" s="17" t="n"/>
    </row>
    <row r="315">
      <c r="A315" s="18" t="n"/>
      <c r="B315" s="18" t="n"/>
      <c r="C315" s="18" t="n"/>
      <c r="D315" s="18" t="n"/>
      <c r="E315" s="18" t="n"/>
      <c r="F315" s="18" t="n"/>
      <c r="G315" s="18" t="n"/>
      <c r="H315" s="18" t="n"/>
      <c r="I315" s="18" t="n"/>
      <c r="J315" s="18" t="n"/>
      <c r="K315" s="18" t="n"/>
      <c r="L315" s="18" t="n"/>
    </row>
    <row r="316">
      <c r="A316" s="17" t="n"/>
      <c r="B316" s="17" t="n"/>
      <c r="C316" s="17" t="n"/>
      <c r="D316" s="17" t="n"/>
      <c r="E316" s="17" t="n"/>
      <c r="F316" s="17" t="n"/>
      <c r="G316" s="17" t="n"/>
      <c r="H316" s="17" t="n"/>
      <c r="I316" s="17" t="n"/>
      <c r="J316" s="17" t="n"/>
      <c r="K316" s="17" t="n"/>
      <c r="L316" s="17" t="n"/>
    </row>
    <row r="317">
      <c r="A317" s="18" t="n"/>
      <c r="B317" s="18" t="n"/>
      <c r="C317" s="18" t="n"/>
      <c r="D317" s="18" t="n"/>
      <c r="E317" s="18" t="n"/>
      <c r="F317" s="18" t="n"/>
      <c r="G317" s="18" t="n"/>
      <c r="H317" s="18" t="n"/>
      <c r="I317" s="18" t="n"/>
      <c r="J317" s="18" t="n"/>
      <c r="K317" s="18" t="n"/>
      <c r="L317" s="18" t="n"/>
    </row>
    <row r="318">
      <c r="A318" s="17" t="n"/>
      <c r="B318" s="17" t="n"/>
      <c r="C318" s="17" t="n"/>
      <c r="D318" s="17" t="n"/>
      <c r="E318" s="17" t="n"/>
      <c r="F318" s="17" t="n"/>
      <c r="G318" s="17" t="n"/>
      <c r="H318" s="17" t="n"/>
      <c r="I318" s="17" t="n"/>
      <c r="J318" s="17" t="n"/>
      <c r="K318" s="17" t="n"/>
      <c r="L318" s="17" t="n"/>
    </row>
    <row r="319">
      <c r="A319" s="18" t="n"/>
      <c r="B319" s="18" t="n"/>
      <c r="C319" s="18" t="n"/>
      <c r="D319" s="18" t="n"/>
      <c r="E319" s="18" t="n"/>
      <c r="F319" s="18" t="n"/>
      <c r="G319" s="18" t="n"/>
      <c r="H319" s="18" t="n"/>
      <c r="I319" s="18" t="n"/>
      <c r="J319" s="18" t="n"/>
      <c r="K319" s="18" t="n"/>
      <c r="L319" s="18" t="n"/>
    </row>
    <row r="320">
      <c r="A320" s="17" t="n"/>
      <c r="B320" s="17" t="n"/>
      <c r="C320" s="17" t="n"/>
      <c r="D320" s="17" t="n"/>
      <c r="E320" s="17" t="n"/>
      <c r="F320" s="17" t="n"/>
      <c r="G320" s="17" t="n"/>
      <c r="H320" s="17" t="n"/>
      <c r="I320" s="17" t="n"/>
      <c r="J320" s="17" t="n"/>
      <c r="K320" s="17" t="n"/>
      <c r="L320" s="17" t="n"/>
    </row>
    <row r="321">
      <c r="A321" s="18" t="n"/>
      <c r="B321" s="18" t="n"/>
      <c r="C321" s="18" t="n"/>
      <c r="D321" s="18" t="n"/>
      <c r="E321" s="18" t="n"/>
      <c r="F321" s="18" t="n"/>
      <c r="G321" s="18" t="n"/>
      <c r="H321" s="18" t="n"/>
      <c r="I321" s="18" t="n"/>
      <c r="J321" s="18" t="n"/>
      <c r="K321" s="18" t="n"/>
      <c r="L321" s="18" t="n"/>
    </row>
    <row r="322">
      <c r="A322" s="17" t="n"/>
      <c r="B322" s="17" t="n"/>
      <c r="C322" s="17" t="n"/>
      <c r="D322" s="17" t="n"/>
      <c r="E322" s="17" t="n"/>
      <c r="F322" s="17" t="n"/>
      <c r="G322" s="17" t="n"/>
      <c r="H322" s="17" t="n"/>
      <c r="I322" s="17" t="n"/>
      <c r="J322" s="17" t="n"/>
      <c r="K322" s="17" t="n"/>
      <c r="L322" s="17" t="n"/>
    </row>
    <row r="323">
      <c r="A323" s="18" t="n"/>
      <c r="B323" s="18" t="n"/>
      <c r="C323" s="18" t="n"/>
      <c r="D323" s="18" t="n"/>
      <c r="E323" s="18" t="n"/>
      <c r="F323" s="18" t="n"/>
      <c r="G323" s="18" t="n"/>
      <c r="H323" s="18" t="n"/>
      <c r="I323" s="18" t="n"/>
      <c r="J323" s="18" t="n"/>
      <c r="K323" s="18" t="n"/>
      <c r="L323" s="18" t="n"/>
    </row>
    <row r="324">
      <c r="A324" s="17" t="n"/>
      <c r="B324" s="17" t="n"/>
      <c r="C324" s="17" t="n"/>
      <c r="D324" s="17" t="n"/>
      <c r="E324" s="17" t="n"/>
      <c r="F324" s="17" t="n"/>
      <c r="G324" s="17" t="n"/>
      <c r="H324" s="17" t="n"/>
      <c r="I324" s="17" t="n"/>
      <c r="J324" s="17" t="n"/>
      <c r="K324" s="17" t="n"/>
      <c r="L324" s="17" t="n"/>
    </row>
    <row r="325">
      <c r="A325" s="18" t="n"/>
      <c r="B325" s="18" t="n"/>
      <c r="C325" s="18" t="n"/>
      <c r="D325" s="18" t="n"/>
      <c r="E325" s="18" t="n"/>
      <c r="F325" s="18" t="n"/>
      <c r="G325" s="18" t="n"/>
      <c r="H325" s="18" t="n"/>
      <c r="I325" s="18" t="n"/>
      <c r="J325" s="18" t="n"/>
      <c r="K325" s="18" t="n"/>
      <c r="L325" s="18" t="n"/>
    </row>
    <row r="326">
      <c r="A326" s="17" t="n"/>
      <c r="B326" s="17" t="n"/>
      <c r="C326" s="17" t="n"/>
      <c r="D326" s="17" t="n"/>
      <c r="E326" s="17" t="n"/>
      <c r="F326" s="17" t="n"/>
      <c r="G326" s="17" t="n"/>
      <c r="H326" s="17" t="n"/>
      <c r="I326" s="17" t="n"/>
      <c r="J326" s="17" t="n"/>
      <c r="K326" s="17" t="n"/>
      <c r="L326" s="17" t="n"/>
    </row>
    <row r="327">
      <c r="A327" s="18" t="n"/>
      <c r="B327" s="18" t="n"/>
      <c r="C327" s="18" t="n"/>
      <c r="D327" s="18" t="n"/>
      <c r="E327" s="18" t="n"/>
      <c r="F327" s="18" t="n"/>
      <c r="G327" s="18" t="n"/>
      <c r="H327" s="18" t="n"/>
      <c r="I327" s="18" t="n"/>
      <c r="J327" s="18" t="n"/>
      <c r="K327" s="18" t="n"/>
      <c r="L327" s="18" t="n"/>
    </row>
    <row r="328">
      <c r="A328" s="17" t="n"/>
      <c r="B328" s="17" t="n"/>
      <c r="C328" s="17" t="n"/>
      <c r="D328" s="17" t="n"/>
      <c r="E328" s="17" t="n"/>
      <c r="F328" s="17" t="n"/>
      <c r="G328" s="17" t="n"/>
      <c r="H328" s="17" t="n"/>
      <c r="I328" s="17" t="n"/>
      <c r="J328" s="17" t="n"/>
      <c r="K328" s="17" t="n"/>
      <c r="L328" s="17" t="n"/>
    </row>
    <row r="329">
      <c r="A329" s="18" t="n"/>
      <c r="B329" s="18" t="n"/>
      <c r="C329" s="18" t="n"/>
      <c r="D329" s="18" t="n"/>
      <c r="E329" s="18" t="n"/>
      <c r="F329" s="18" t="n"/>
      <c r="G329" s="18" t="n"/>
      <c r="H329" s="18" t="n"/>
      <c r="I329" s="18" t="n"/>
      <c r="J329" s="18" t="n"/>
      <c r="K329" s="18" t="n"/>
      <c r="L329" s="18" t="n"/>
    </row>
    <row r="330">
      <c r="A330" s="17" t="n"/>
      <c r="B330" s="17" t="n"/>
      <c r="C330" s="17" t="n"/>
      <c r="D330" s="17" t="n"/>
      <c r="E330" s="17" t="n"/>
      <c r="F330" s="17" t="n"/>
      <c r="G330" s="17" t="n"/>
      <c r="H330" s="17" t="n"/>
      <c r="I330" s="17" t="n"/>
      <c r="J330" s="17" t="n"/>
      <c r="K330" s="17" t="n"/>
      <c r="L330" s="17" t="n"/>
    </row>
    <row r="331">
      <c r="A331" s="18" t="n"/>
      <c r="B331" s="18" t="n"/>
      <c r="C331" s="18" t="n"/>
      <c r="D331" s="18" t="n"/>
      <c r="E331" s="18" t="n"/>
      <c r="F331" s="18" t="n"/>
      <c r="G331" s="18" t="n"/>
      <c r="H331" s="18" t="n"/>
      <c r="I331" s="18" t="n"/>
      <c r="J331" s="18" t="n"/>
      <c r="K331" s="18" t="n"/>
      <c r="L331" s="18" t="n"/>
    </row>
    <row r="332">
      <c r="A332" s="17" t="n"/>
      <c r="B332" s="17" t="n"/>
      <c r="C332" s="17" t="n"/>
      <c r="D332" s="17" t="n"/>
      <c r="E332" s="17" t="n"/>
      <c r="F332" s="17" t="n"/>
      <c r="G332" s="17" t="n"/>
      <c r="H332" s="17" t="n"/>
      <c r="I332" s="17" t="n"/>
      <c r="J332" s="17" t="n"/>
      <c r="K332" s="17" t="n"/>
      <c r="L332" s="17" t="n"/>
    </row>
    <row r="333">
      <c r="A333" s="18" t="n"/>
      <c r="B333" s="18" t="n"/>
      <c r="C333" s="18" t="n"/>
      <c r="D333" s="18" t="n"/>
      <c r="E333" s="18" t="n"/>
      <c r="F333" s="18" t="n"/>
      <c r="G333" s="18" t="n"/>
      <c r="H333" s="18" t="n"/>
      <c r="I333" s="18" t="n"/>
      <c r="J333" s="18" t="n"/>
      <c r="K333" s="18" t="n"/>
      <c r="L333" s="18" t="n"/>
    </row>
    <row r="334">
      <c r="A334" s="17" t="n"/>
      <c r="B334" s="17" t="n"/>
      <c r="C334" s="17" t="n"/>
      <c r="D334" s="17" t="n"/>
      <c r="E334" s="17" t="n"/>
      <c r="F334" s="17" t="n"/>
      <c r="G334" s="17" t="n"/>
      <c r="H334" s="17" t="n"/>
      <c r="I334" s="17" t="n"/>
      <c r="J334" s="17" t="n"/>
      <c r="K334" s="17" t="n"/>
      <c r="L334" s="17" t="n"/>
    </row>
    <row r="335">
      <c r="A335" s="18" t="n"/>
      <c r="B335" s="18" t="n"/>
      <c r="C335" s="18" t="n"/>
      <c r="D335" s="18" t="n"/>
      <c r="E335" s="18" t="n"/>
      <c r="F335" s="18" t="n"/>
      <c r="G335" s="18" t="n"/>
      <c r="H335" s="18" t="n"/>
      <c r="I335" s="18" t="n"/>
      <c r="J335" s="18" t="n"/>
      <c r="K335" s="18" t="n"/>
      <c r="L335" s="18" t="n"/>
    </row>
    <row r="336">
      <c r="A336" s="17" t="n"/>
      <c r="B336" s="17" t="n"/>
      <c r="C336" s="17" t="n"/>
      <c r="D336" s="17" t="n"/>
      <c r="E336" s="17" t="n"/>
      <c r="F336" s="17" t="n"/>
      <c r="G336" s="17" t="n"/>
      <c r="H336" s="17" t="n"/>
      <c r="I336" s="17" t="n"/>
      <c r="J336" s="17" t="n"/>
      <c r="K336" s="17" t="n"/>
      <c r="L336" s="17" t="n"/>
    </row>
    <row r="337">
      <c r="A337" s="18" t="n"/>
      <c r="B337" s="18" t="n"/>
      <c r="C337" s="18" t="n"/>
      <c r="D337" s="18" t="n"/>
      <c r="E337" s="18" t="n"/>
      <c r="F337" s="18" t="n"/>
      <c r="G337" s="18" t="n"/>
      <c r="H337" s="18" t="n"/>
      <c r="I337" s="18" t="n"/>
      <c r="J337" s="18" t="n"/>
      <c r="K337" s="18" t="n"/>
      <c r="L337" s="18" t="n"/>
    </row>
    <row r="338">
      <c r="A338" s="17" t="n"/>
      <c r="B338" s="17" t="n"/>
      <c r="C338" s="17" t="n"/>
      <c r="D338" s="17" t="n"/>
      <c r="E338" s="17" t="n"/>
      <c r="F338" s="17" t="n"/>
      <c r="G338" s="17" t="n"/>
      <c r="H338" s="17" t="n"/>
      <c r="I338" s="17" t="n"/>
      <c r="J338" s="17" t="n"/>
      <c r="K338" s="17" t="n"/>
      <c r="L338" s="17" t="n"/>
    </row>
    <row r="339">
      <c r="A339" s="18" t="n"/>
      <c r="B339" s="18" t="n"/>
      <c r="C339" s="18" t="n"/>
      <c r="D339" s="18" t="n"/>
      <c r="E339" s="18" t="n"/>
      <c r="F339" s="18" t="n"/>
      <c r="G339" s="18" t="n"/>
      <c r="H339" s="18" t="n"/>
      <c r="I339" s="18" t="n"/>
      <c r="J339" s="18" t="n"/>
      <c r="K339" s="18" t="n"/>
      <c r="L339" s="18" t="n"/>
    </row>
    <row r="340">
      <c r="A340" s="17" t="n"/>
      <c r="B340" s="17" t="n"/>
      <c r="C340" s="17" t="n"/>
      <c r="D340" s="17" t="n"/>
      <c r="E340" s="17" t="n"/>
      <c r="F340" s="17" t="n"/>
      <c r="G340" s="17" t="n"/>
      <c r="H340" s="17" t="n"/>
      <c r="I340" s="17" t="n"/>
      <c r="J340" s="17" t="n"/>
      <c r="K340" s="17" t="n"/>
      <c r="L340" s="17" t="n"/>
    </row>
    <row r="341">
      <c r="A341" s="18" t="n"/>
      <c r="B341" s="18" t="n"/>
      <c r="C341" s="18" t="n"/>
      <c r="D341" s="18" t="n"/>
      <c r="E341" s="18" t="n"/>
      <c r="F341" s="18" t="n"/>
      <c r="G341" s="18" t="n"/>
      <c r="H341" s="18" t="n"/>
      <c r="I341" s="18" t="n"/>
      <c r="J341" s="18" t="n"/>
      <c r="K341" s="18" t="n"/>
      <c r="L341" s="18" t="n"/>
    </row>
    <row r="342">
      <c r="A342" s="17" t="n"/>
      <c r="B342" s="17" t="n"/>
      <c r="C342" s="17" t="n"/>
      <c r="D342" s="17" t="n"/>
      <c r="E342" s="17" t="n"/>
      <c r="F342" s="17" t="n"/>
      <c r="G342" s="17" t="n"/>
      <c r="H342" s="17" t="n"/>
      <c r="I342" s="17" t="n"/>
      <c r="J342" s="17" t="n"/>
      <c r="K342" s="17" t="n"/>
      <c r="L342" s="17" t="n"/>
    </row>
    <row r="343">
      <c r="A343" s="18" t="n"/>
      <c r="B343" s="18" t="n"/>
      <c r="C343" s="18" t="n"/>
      <c r="D343" s="18" t="n"/>
      <c r="E343" s="18" t="n"/>
      <c r="F343" s="18" t="n"/>
      <c r="G343" s="18" t="n"/>
      <c r="H343" s="18" t="n"/>
      <c r="I343" s="18" t="n"/>
      <c r="J343" s="18" t="n"/>
      <c r="K343" s="18" t="n"/>
      <c r="L343" s="18" t="n"/>
    </row>
    <row r="344">
      <c r="A344" s="17" t="n"/>
      <c r="B344" s="17" t="n"/>
      <c r="C344" s="17" t="n"/>
      <c r="D344" s="17" t="n"/>
      <c r="E344" s="17" t="n"/>
      <c r="F344" s="17" t="n"/>
      <c r="G344" s="17" t="n"/>
      <c r="H344" s="17" t="n"/>
      <c r="I344" s="17" t="n"/>
      <c r="J344" s="17" t="n"/>
      <c r="K344" s="17" t="n"/>
      <c r="L344" s="17" t="n"/>
    </row>
    <row r="345">
      <c r="A345" s="18" t="n"/>
      <c r="B345" s="18" t="n"/>
      <c r="C345" s="18" t="n"/>
      <c r="D345" s="18" t="n"/>
      <c r="E345" s="18" t="n"/>
      <c r="F345" s="18" t="n"/>
      <c r="G345" s="18" t="n"/>
      <c r="H345" s="18" t="n"/>
      <c r="I345" s="18" t="n"/>
      <c r="J345" s="18" t="n"/>
      <c r="K345" s="18" t="n"/>
      <c r="L345" s="18" t="n"/>
    </row>
    <row r="346">
      <c r="A346" s="17" t="n"/>
      <c r="B346" s="17" t="n"/>
      <c r="C346" s="17" t="n"/>
      <c r="D346" s="17" t="n"/>
      <c r="E346" s="17" t="n"/>
      <c r="F346" s="17" t="n"/>
      <c r="G346" s="17" t="n"/>
      <c r="H346" s="17" t="n"/>
      <c r="I346" s="17" t="n"/>
      <c r="J346" s="17" t="n"/>
      <c r="K346" s="17" t="n"/>
      <c r="L346" s="17" t="n"/>
    </row>
    <row r="347">
      <c r="A347" s="18" t="n"/>
      <c r="B347" s="18" t="n"/>
      <c r="C347" s="18" t="n"/>
      <c r="D347" s="18" t="n"/>
      <c r="E347" s="18" t="n"/>
      <c r="F347" s="18" t="n"/>
      <c r="G347" s="18" t="n"/>
      <c r="H347" s="18" t="n"/>
      <c r="I347" s="18" t="n"/>
      <c r="J347" s="18" t="n"/>
      <c r="K347" s="18" t="n"/>
      <c r="L347" s="18" t="n"/>
    </row>
    <row r="348">
      <c r="A348" s="17" t="n"/>
      <c r="B348" s="17" t="n"/>
      <c r="C348" s="17" t="n"/>
      <c r="D348" s="17" t="n"/>
      <c r="E348" s="17" t="n"/>
      <c r="F348" s="17" t="n"/>
      <c r="G348" s="17" t="n"/>
      <c r="H348" s="17" t="n"/>
      <c r="I348" s="17" t="n"/>
      <c r="J348" s="17" t="n"/>
      <c r="K348" s="17" t="n"/>
      <c r="L348" s="17" t="n"/>
    </row>
    <row r="349">
      <c r="A349" s="18" t="n"/>
      <c r="B349" s="18" t="n"/>
      <c r="C349" s="18" t="n"/>
      <c r="D349" s="18" t="n"/>
      <c r="E349" s="18" t="n"/>
      <c r="F349" s="18" t="n"/>
      <c r="G349" s="18" t="n"/>
      <c r="H349" s="18" t="n"/>
      <c r="I349" s="18" t="n"/>
      <c r="J349" s="18" t="n"/>
      <c r="K349" s="18" t="n"/>
      <c r="L349" s="18" t="n"/>
    </row>
    <row r="350">
      <c r="A350" s="17" t="n"/>
      <c r="B350" s="17" t="n"/>
      <c r="C350" s="17" t="n"/>
      <c r="D350" s="17" t="n"/>
      <c r="E350" s="17" t="n"/>
      <c r="F350" s="17" t="n"/>
      <c r="G350" s="17" t="n"/>
      <c r="H350" s="17" t="n"/>
      <c r="I350" s="17" t="n"/>
      <c r="J350" s="17" t="n"/>
      <c r="K350" s="17" t="n"/>
      <c r="L350" s="17" t="n"/>
    </row>
    <row r="351">
      <c r="A351" s="18" t="n"/>
      <c r="B351" s="18" t="n"/>
      <c r="C351" s="18" t="n"/>
      <c r="D351" s="18" t="n"/>
      <c r="E351" s="18" t="n"/>
      <c r="F351" s="18" t="n"/>
      <c r="G351" s="18" t="n"/>
      <c r="H351" s="18" t="n"/>
      <c r="I351" s="18" t="n"/>
      <c r="J351" s="18" t="n"/>
      <c r="K351" s="18" t="n"/>
      <c r="L351" s="18" t="n"/>
    </row>
    <row r="352">
      <c r="A352" s="17" t="n"/>
      <c r="B352" s="17" t="n"/>
      <c r="C352" s="17" t="n"/>
      <c r="D352" s="17" t="n"/>
      <c r="E352" s="17" t="n"/>
      <c r="F352" s="17" t="n"/>
      <c r="G352" s="17" t="n"/>
      <c r="H352" s="17" t="n"/>
      <c r="I352" s="17" t="n"/>
      <c r="J352" s="17" t="n"/>
      <c r="K352" s="17" t="n"/>
      <c r="L352" s="17" t="n"/>
    </row>
    <row r="353">
      <c r="A353" s="18" t="n"/>
      <c r="B353" s="18" t="n"/>
      <c r="C353" s="18" t="n"/>
      <c r="D353" s="18" t="n"/>
      <c r="E353" s="18" t="n"/>
      <c r="F353" s="18" t="n"/>
      <c r="G353" s="18" t="n"/>
      <c r="H353" s="18" t="n"/>
      <c r="I353" s="18" t="n"/>
      <c r="J353" s="18" t="n"/>
      <c r="K353" s="18" t="n"/>
      <c r="L353" s="18" t="n"/>
    </row>
    <row r="354">
      <c r="A354" s="17" t="n"/>
      <c r="B354" s="17" t="n"/>
      <c r="C354" s="17" t="n"/>
      <c r="D354" s="17" t="n"/>
      <c r="E354" s="17" t="n"/>
      <c r="F354" s="17" t="n"/>
      <c r="G354" s="17" t="n"/>
      <c r="H354" s="17" t="n"/>
      <c r="I354" s="17" t="n"/>
      <c r="J354" s="17" t="n"/>
      <c r="K354" s="17" t="n"/>
      <c r="L354" s="17" t="n"/>
    </row>
    <row r="355">
      <c r="A355" s="18" t="n"/>
      <c r="B355" s="18" t="n"/>
      <c r="C355" s="18" t="n"/>
      <c r="D355" s="18" t="n"/>
      <c r="E355" s="18" t="n"/>
      <c r="F355" s="18" t="n"/>
      <c r="G355" s="18" t="n"/>
      <c r="H355" s="18" t="n"/>
      <c r="I355" s="18" t="n"/>
      <c r="J355" s="18" t="n"/>
      <c r="K355" s="18" t="n"/>
      <c r="L355" s="18" t="n"/>
    </row>
    <row r="356">
      <c r="A356" s="17" t="n"/>
      <c r="B356" s="17" t="n"/>
      <c r="C356" s="17" t="n"/>
      <c r="D356" s="17" t="n"/>
      <c r="E356" s="17" t="n"/>
      <c r="F356" s="17" t="n"/>
      <c r="G356" s="17" t="n"/>
      <c r="H356" s="17" t="n"/>
      <c r="I356" s="17" t="n"/>
      <c r="J356" s="17" t="n"/>
      <c r="K356" s="17" t="n"/>
      <c r="L356" s="17" t="n"/>
    </row>
    <row r="357">
      <c r="A357" s="18" t="n"/>
      <c r="B357" s="18" t="n"/>
      <c r="C357" s="18" t="n"/>
      <c r="D357" s="18" t="n"/>
      <c r="E357" s="18" t="n"/>
      <c r="F357" s="18" t="n"/>
      <c r="G357" s="18" t="n"/>
      <c r="H357" s="18" t="n"/>
      <c r="I357" s="18" t="n"/>
      <c r="J357" s="18" t="n"/>
      <c r="K357" s="18" t="n"/>
      <c r="L357" s="18" t="n"/>
    </row>
    <row r="358">
      <c r="A358" s="17" t="n"/>
      <c r="B358" s="17" t="n"/>
      <c r="C358" s="17" t="n"/>
      <c r="D358" s="17" t="n"/>
      <c r="E358" s="17" t="n"/>
      <c r="F358" s="17" t="n"/>
      <c r="G358" s="17" t="n"/>
      <c r="H358" s="17" t="n"/>
      <c r="I358" s="17" t="n"/>
      <c r="J358" s="17" t="n"/>
      <c r="K358" s="17" t="n"/>
      <c r="L358" s="17" t="n"/>
    </row>
    <row r="359">
      <c r="A359" s="18" t="n"/>
      <c r="B359" s="18" t="n"/>
      <c r="C359" s="18" t="n"/>
      <c r="D359" s="18" t="n"/>
      <c r="E359" s="18" t="n"/>
      <c r="F359" s="18" t="n"/>
      <c r="G359" s="18" t="n"/>
      <c r="H359" s="18" t="n"/>
      <c r="I359" s="18" t="n"/>
      <c r="J359" s="18" t="n"/>
      <c r="K359" s="18" t="n"/>
      <c r="L359" s="18" t="n"/>
    </row>
    <row r="360">
      <c r="A360" s="17" t="n"/>
      <c r="B360" s="17" t="n"/>
      <c r="C360" s="17" t="n"/>
      <c r="D360" s="17" t="n"/>
      <c r="E360" s="17" t="n"/>
      <c r="F360" s="17" t="n"/>
      <c r="G360" s="17" t="n"/>
      <c r="H360" s="17" t="n"/>
      <c r="I360" s="17" t="n"/>
      <c r="J360" s="17" t="n"/>
      <c r="K360" s="17" t="n"/>
      <c r="L360" s="17" t="n"/>
    </row>
    <row r="361">
      <c r="A361" s="18" t="n"/>
      <c r="B361" s="18" t="n"/>
      <c r="C361" s="18" t="n"/>
      <c r="D361" s="18" t="n"/>
      <c r="E361" s="18" t="n"/>
      <c r="F361" s="18" t="n"/>
      <c r="G361" s="18" t="n"/>
      <c r="H361" s="18" t="n"/>
      <c r="I361" s="18" t="n"/>
      <c r="J361" s="18" t="n"/>
      <c r="K361" s="18" t="n"/>
      <c r="L361" s="18" t="n"/>
    </row>
    <row r="362">
      <c r="A362" s="17" t="n"/>
      <c r="B362" s="17" t="n"/>
      <c r="C362" s="17" t="n"/>
      <c r="D362" s="17" t="n"/>
      <c r="E362" s="17" t="n"/>
      <c r="F362" s="17" t="n"/>
      <c r="G362" s="17" t="n"/>
      <c r="H362" s="17" t="n"/>
      <c r="I362" s="17" t="n"/>
      <c r="J362" s="17" t="n"/>
      <c r="K362" s="17" t="n"/>
      <c r="L362" s="17" t="n"/>
    </row>
    <row r="363">
      <c r="A363" s="18" t="n"/>
      <c r="B363" s="18" t="n"/>
      <c r="C363" s="18" t="n"/>
      <c r="D363" s="18" t="n"/>
      <c r="E363" s="18" t="n"/>
      <c r="F363" s="18" t="n"/>
      <c r="G363" s="18" t="n"/>
      <c r="H363" s="18" t="n"/>
      <c r="I363" s="18" t="n"/>
      <c r="J363" s="18" t="n"/>
      <c r="K363" s="18" t="n"/>
      <c r="L363" s="18" t="n"/>
    </row>
    <row r="364">
      <c r="A364" s="17" t="n"/>
      <c r="B364" s="17" t="n"/>
      <c r="C364" s="17" t="n"/>
      <c r="D364" s="17" t="n"/>
      <c r="E364" s="17" t="n"/>
      <c r="F364" s="17" t="n"/>
      <c r="G364" s="17" t="n"/>
      <c r="H364" s="17" t="n"/>
      <c r="I364" s="17" t="n"/>
      <c r="J364" s="17" t="n"/>
      <c r="K364" s="17" t="n"/>
      <c r="L364" s="17" t="n"/>
    </row>
    <row r="365">
      <c r="A365" s="18" t="n"/>
      <c r="B365" s="18" t="n"/>
      <c r="C365" s="18" t="n"/>
      <c r="D365" s="18" t="n"/>
      <c r="E365" s="18" t="n"/>
      <c r="F365" s="18" t="n"/>
      <c r="G365" s="18" t="n"/>
      <c r="H365" s="18" t="n"/>
      <c r="I365" s="18" t="n"/>
      <c r="J365" s="18" t="n"/>
      <c r="K365" s="18" t="n"/>
      <c r="L365" s="18" t="n"/>
    </row>
    <row r="366">
      <c r="A366" s="17" t="n"/>
      <c r="B366" s="17" t="n"/>
      <c r="C366" s="17" t="n"/>
      <c r="D366" s="17" t="n"/>
      <c r="E366" s="17" t="n"/>
      <c r="F366" s="17" t="n"/>
      <c r="G366" s="17" t="n"/>
      <c r="H366" s="17" t="n"/>
      <c r="I366" s="17" t="n"/>
      <c r="J366" s="17" t="n"/>
      <c r="K366" s="17" t="n"/>
      <c r="L366" s="17" t="n"/>
    </row>
    <row r="367">
      <c r="A367" s="18" t="n"/>
      <c r="B367" s="18" t="n"/>
      <c r="C367" s="18" t="n"/>
      <c r="D367" s="18" t="n"/>
      <c r="E367" s="18" t="n"/>
      <c r="F367" s="18" t="n"/>
      <c r="G367" s="18" t="n"/>
      <c r="H367" s="18" t="n"/>
      <c r="I367" s="18" t="n"/>
      <c r="J367" s="18" t="n"/>
      <c r="K367" s="18" t="n"/>
      <c r="L367" s="18" t="n"/>
    </row>
    <row r="368">
      <c r="A368" s="17" t="n"/>
      <c r="B368" s="17" t="n"/>
      <c r="C368" s="17" t="n"/>
      <c r="D368" s="17" t="n"/>
      <c r="E368" s="17" t="n"/>
      <c r="F368" s="17" t="n"/>
      <c r="G368" s="17" t="n"/>
      <c r="H368" s="17" t="n"/>
      <c r="I368" s="17" t="n"/>
      <c r="J368" s="17" t="n"/>
      <c r="K368" s="17" t="n"/>
      <c r="L368" s="17" t="n"/>
    </row>
    <row r="369">
      <c r="A369" s="18" t="n"/>
      <c r="B369" s="18" t="n"/>
      <c r="C369" s="18" t="n"/>
      <c r="D369" s="18" t="n"/>
      <c r="E369" s="18" t="n"/>
      <c r="F369" s="18" t="n"/>
      <c r="G369" s="18" t="n"/>
      <c r="H369" s="18" t="n"/>
      <c r="I369" s="18" t="n"/>
      <c r="J369" s="18" t="n"/>
      <c r="K369" s="18" t="n"/>
      <c r="L369" s="18" t="n"/>
    </row>
    <row r="370">
      <c r="A370" s="17" t="n"/>
      <c r="B370" s="17" t="n"/>
      <c r="C370" s="17" t="n"/>
      <c r="D370" s="17" t="n"/>
      <c r="E370" s="17" t="n"/>
      <c r="F370" s="17" t="n"/>
      <c r="G370" s="17" t="n"/>
      <c r="H370" s="17" t="n"/>
      <c r="I370" s="17" t="n"/>
      <c r="J370" s="17" t="n"/>
      <c r="K370" s="17" t="n"/>
      <c r="L370" s="17" t="n"/>
    </row>
    <row r="371">
      <c r="A371" s="18" t="n"/>
      <c r="B371" s="18" t="n"/>
      <c r="C371" s="18" t="n"/>
      <c r="D371" s="18" t="n"/>
      <c r="E371" s="18" t="n"/>
      <c r="F371" s="18" t="n"/>
      <c r="G371" s="18" t="n"/>
      <c r="H371" s="18" t="n"/>
      <c r="I371" s="18" t="n"/>
      <c r="J371" s="18" t="n"/>
      <c r="K371" s="18" t="n"/>
      <c r="L371" s="18" t="n"/>
    </row>
    <row r="372">
      <c r="A372" s="17" t="n"/>
      <c r="B372" s="17" t="n"/>
      <c r="C372" s="17" t="n"/>
      <c r="D372" s="17" t="n"/>
      <c r="E372" s="17" t="n"/>
      <c r="F372" s="17" t="n"/>
      <c r="G372" s="17" t="n"/>
      <c r="H372" s="17" t="n"/>
      <c r="I372" s="17" t="n"/>
      <c r="J372" s="17" t="n"/>
      <c r="K372" s="17" t="n"/>
      <c r="L372" s="17" t="n"/>
    </row>
    <row r="373">
      <c r="A373" s="18" t="n"/>
      <c r="B373" s="18" t="n"/>
      <c r="C373" s="18" t="n"/>
      <c r="D373" s="18" t="n"/>
      <c r="E373" s="18" t="n"/>
      <c r="F373" s="18" t="n"/>
      <c r="G373" s="18" t="n"/>
      <c r="H373" s="18" t="n"/>
      <c r="I373" s="18" t="n"/>
      <c r="J373" s="18" t="n"/>
      <c r="K373" s="18" t="n"/>
      <c r="L373" s="18" t="n"/>
    </row>
    <row r="374">
      <c r="A374" s="17" t="n"/>
      <c r="B374" s="17" t="n"/>
      <c r="C374" s="17" t="n"/>
      <c r="D374" s="17" t="n"/>
      <c r="E374" s="17" t="n"/>
      <c r="F374" s="17" t="n"/>
      <c r="G374" s="17" t="n"/>
      <c r="H374" s="17" t="n"/>
      <c r="I374" s="17" t="n"/>
      <c r="J374" s="17" t="n"/>
      <c r="K374" s="17" t="n"/>
      <c r="L374" s="17" t="n"/>
    </row>
    <row r="375">
      <c r="A375" s="18" t="n"/>
      <c r="B375" s="18" t="n"/>
      <c r="C375" s="18" t="n"/>
      <c r="D375" s="18" t="n"/>
      <c r="E375" s="18" t="n"/>
      <c r="F375" s="18" t="n"/>
      <c r="G375" s="18" t="n"/>
      <c r="H375" s="18" t="n"/>
      <c r="I375" s="18" t="n"/>
      <c r="J375" s="18" t="n"/>
      <c r="K375" s="18" t="n"/>
      <c r="L375" s="18" t="n"/>
    </row>
    <row r="376">
      <c r="A376" s="17" t="n"/>
      <c r="B376" s="17" t="n"/>
      <c r="C376" s="17" t="n"/>
      <c r="D376" s="17" t="n"/>
      <c r="E376" s="17" t="n"/>
      <c r="F376" s="17" t="n"/>
      <c r="G376" s="17" t="n"/>
      <c r="H376" s="17" t="n"/>
      <c r="I376" s="17" t="n"/>
      <c r="J376" s="17" t="n"/>
      <c r="K376" s="17" t="n"/>
      <c r="L376" s="17" t="n"/>
    </row>
    <row r="377">
      <c r="A377" s="18" t="n"/>
      <c r="B377" s="18" t="n"/>
      <c r="C377" s="18" t="n"/>
      <c r="D377" s="18" t="n"/>
      <c r="E377" s="18" t="n"/>
      <c r="F377" s="18" t="n"/>
      <c r="G377" s="18" t="n"/>
      <c r="H377" s="18" t="n"/>
      <c r="I377" s="18" t="n"/>
      <c r="J377" s="18" t="n"/>
      <c r="K377" s="18" t="n"/>
      <c r="L377" s="18" t="n"/>
    </row>
    <row r="378">
      <c r="A378" s="17" t="n"/>
      <c r="B378" s="17" t="n"/>
      <c r="C378" s="17" t="n"/>
      <c r="D378" s="17" t="n"/>
      <c r="E378" s="17" t="n"/>
      <c r="F378" s="17" t="n"/>
      <c r="G378" s="17" t="n"/>
      <c r="H378" s="17" t="n"/>
      <c r="I378" s="17" t="n"/>
      <c r="J378" s="17" t="n"/>
      <c r="K378" s="17" t="n"/>
      <c r="L378" s="17" t="n"/>
    </row>
    <row r="379">
      <c r="A379" s="18" t="n"/>
      <c r="B379" s="18" t="n"/>
      <c r="C379" s="18" t="n"/>
      <c r="D379" s="18" t="n"/>
      <c r="E379" s="18" t="n"/>
      <c r="F379" s="18" t="n"/>
      <c r="G379" s="18" t="n"/>
      <c r="H379" s="18" t="n"/>
      <c r="I379" s="18" t="n"/>
      <c r="J379" s="18" t="n"/>
      <c r="K379" s="18" t="n"/>
      <c r="L379" s="18" t="n"/>
    </row>
    <row r="380">
      <c r="A380" s="17" t="n"/>
      <c r="B380" s="17" t="n"/>
      <c r="C380" s="17" t="n"/>
      <c r="D380" s="17" t="n"/>
      <c r="E380" s="17" t="n"/>
      <c r="F380" s="17" t="n"/>
      <c r="G380" s="17" t="n"/>
      <c r="H380" s="17" t="n"/>
      <c r="I380" s="17" t="n"/>
      <c r="J380" s="17" t="n"/>
      <c r="K380" s="17" t="n"/>
      <c r="L380" s="17" t="n"/>
    </row>
    <row r="381">
      <c r="A381" s="18" t="n"/>
      <c r="B381" s="18" t="n"/>
      <c r="C381" s="18" t="n"/>
      <c r="D381" s="18" t="n"/>
      <c r="E381" s="18" t="n"/>
      <c r="F381" s="18" t="n"/>
      <c r="G381" s="18" t="n"/>
      <c r="H381" s="18" t="n"/>
      <c r="I381" s="18" t="n"/>
      <c r="J381" s="18" t="n"/>
      <c r="K381" s="18" t="n"/>
      <c r="L381" s="18" t="n"/>
    </row>
    <row r="382">
      <c r="A382" s="17" t="n"/>
      <c r="B382" s="17" t="n"/>
      <c r="C382" s="17" t="n"/>
      <c r="D382" s="17" t="n"/>
      <c r="E382" s="17" t="n"/>
      <c r="F382" s="17" t="n"/>
      <c r="G382" s="17" t="n"/>
      <c r="H382" s="17" t="n"/>
      <c r="I382" s="17" t="n"/>
      <c r="J382" s="17" t="n"/>
      <c r="K382" s="17" t="n"/>
      <c r="L382" s="17" t="n"/>
    </row>
    <row r="383">
      <c r="A383" s="18" t="n"/>
      <c r="B383" s="18" t="n"/>
      <c r="C383" s="18" t="n"/>
      <c r="D383" s="18" t="n"/>
      <c r="E383" s="18" t="n"/>
      <c r="F383" s="18" t="n"/>
      <c r="G383" s="18" t="n"/>
      <c r="H383" s="18" t="n"/>
      <c r="I383" s="18" t="n"/>
      <c r="J383" s="18" t="n"/>
      <c r="K383" s="18" t="n"/>
      <c r="L383" s="18" t="n"/>
    </row>
    <row r="384">
      <c r="A384" s="17" t="n"/>
      <c r="B384" s="17" t="n"/>
      <c r="C384" s="17" t="n"/>
      <c r="D384" s="17" t="n"/>
      <c r="E384" s="17" t="n"/>
      <c r="F384" s="17" t="n"/>
      <c r="G384" s="17" t="n"/>
      <c r="H384" s="17" t="n"/>
      <c r="I384" s="17" t="n"/>
      <c r="J384" s="17" t="n"/>
      <c r="K384" s="17" t="n"/>
      <c r="L384" s="17" t="n"/>
    </row>
    <row r="385">
      <c r="A385" s="18" t="n"/>
      <c r="B385" s="18" t="n"/>
      <c r="C385" s="18" t="n"/>
      <c r="D385" s="18" t="n"/>
      <c r="E385" s="18" t="n"/>
      <c r="F385" s="18" t="n"/>
      <c r="G385" s="18" t="n"/>
      <c r="H385" s="18" t="n"/>
      <c r="I385" s="18" t="n"/>
      <c r="J385" s="18" t="n"/>
      <c r="K385" s="18" t="n"/>
      <c r="L385" s="18" t="n"/>
    </row>
    <row r="386">
      <c r="A386" s="17" t="n"/>
      <c r="B386" s="17" t="n"/>
      <c r="C386" s="17" t="n"/>
      <c r="D386" s="17" t="n"/>
      <c r="E386" s="17" t="n"/>
      <c r="F386" s="17" t="n"/>
      <c r="G386" s="17" t="n"/>
      <c r="H386" s="17" t="n"/>
      <c r="I386" s="17" t="n"/>
      <c r="J386" s="17" t="n"/>
      <c r="K386" s="17" t="n"/>
      <c r="L386" s="17" t="n"/>
    </row>
    <row r="387">
      <c r="A387" s="18" t="n"/>
      <c r="B387" s="18" t="n"/>
      <c r="C387" s="18" t="n"/>
      <c r="D387" s="18" t="n"/>
      <c r="E387" s="18" t="n"/>
      <c r="F387" s="18" t="n"/>
      <c r="G387" s="18" t="n"/>
      <c r="H387" s="18" t="n"/>
      <c r="I387" s="18" t="n"/>
      <c r="J387" s="18" t="n"/>
      <c r="K387" s="18" t="n"/>
      <c r="L387" s="18" t="n"/>
    </row>
    <row r="388">
      <c r="A388" s="17" t="n"/>
      <c r="B388" s="17" t="n"/>
      <c r="C388" s="17" t="n"/>
      <c r="D388" s="17" t="n"/>
      <c r="E388" s="17" t="n"/>
      <c r="F388" s="17" t="n"/>
      <c r="G388" s="17" t="n"/>
      <c r="H388" s="17" t="n"/>
      <c r="I388" s="17" t="n"/>
      <c r="J388" s="17" t="n"/>
      <c r="K388" s="17" t="n"/>
      <c r="L388" s="17" t="n"/>
    </row>
    <row r="389">
      <c r="A389" s="18" t="n"/>
      <c r="B389" s="18" t="n"/>
      <c r="C389" s="18" t="n"/>
      <c r="D389" s="18" t="n"/>
      <c r="E389" s="18" t="n"/>
      <c r="F389" s="18" t="n"/>
      <c r="G389" s="18" t="n"/>
      <c r="H389" s="18" t="n"/>
      <c r="I389" s="18" t="n"/>
      <c r="J389" s="18" t="n"/>
      <c r="K389" s="18" t="n"/>
      <c r="L389" s="18" t="n"/>
    </row>
    <row r="390">
      <c r="A390" s="17" t="n"/>
      <c r="B390" s="17" t="n"/>
      <c r="C390" s="17" t="n"/>
      <c r="D390" s="17" t="n"/>
      <c r="E390" s="17" t="n"/>
      <c r="F390" s="17" t="n"/>
      <c r="G390" s="17" t="n"/>
      <c r="H390" s="17" t="n"/>
      <c r="I390" s="17" t="n"/>
      <c r="J390" s="17" t="n"/>
      <c r="K390" s="17" t="n"/>
      <c r="L390" s="17" t="n"/>
    </row>
    <row r="391">
      <c r="A391" s="18" t="n"/>
      <c r="B391" s="18" t="n"/>
      <c r="C391" s="18" t="n"/>
      <c r="D391" s="18" t="n"/>
      <c r="E391" s="18" t="n"/>
      <c r="F391" s="18" t="n"/>
      <c r="G391" s="18" t="n"/>
      <c r="H391" s="18" t="n"/>
      <c r="I391" s="18" t="n"/>
      <c r="J391" s="18" t="n"/>
      <c r="K391" s="18" t="n"/>
      <c r="L391" s="18" t="n"/>
    </row>
    <row r="392">
      <c r="A392" s="17" t="n"/>
      <c r="B392" s="17" t="n"/>
      <c r="C392" s="17" t="n"/>
      <c r="D392" s="17" t="n"/>
      <c r="E392" s="17" t="n"/>
      <c r="F392" s="17" t="n"/>
      <c r="G392" s="17" t="n"/>
      <c r="H392" s="17" t="n"/>
      <c r="I392" s="17" t="n"/>
      <c r="J392" s="17" t="n"/>
      <c r="K392" s="17" t="n"/>
      <c r="L392" s="17" t="n"/>
    </row>
    <row r="393">
      <c r="A393" s="18" t="n"/>
      <c r="B393" s="18" t="n"/>
      <c r="C393" s="18" t="n"/>
      <c r="D393" s="18" t="n"/>
      <c r="E393" s="18" t="n"/>
      <c r="F393" s="18" t="n"/>
      <c r="G393" s="18" t="n"/>
      <c r="H393" s="18" t="n"/>
      <c r="I393" s="18" t="n"/>
      <c r="J393" s="18" t="n"/>
      <c r="K393" s="18" t="n"/>
      <c r="L393" s="18" t="n"/>
    </row>
    <row r="394">
      <c r="A394" s="17" t="n"/>
      <c r="B394" s="17" t="n"/>
      <c r="C394" s="17" t="n"/>
      <c r="D394" s="17" t="n"/>
      <c r="E394" s="17" t="n"/>
      <c r="F394" s="17" t="n"/>
      <c r="G394" s="17" t="n"/>
      <c r="H394" s="17" t="n"/>
      <c r="I394" s="17" t="n"/>
      <c r="J394" s="17" t="n"/>
      <c r="K394" s="17" t="n"/>
      <c r="L394" s="17" t="n"/>
    </row>
    <row r="395">
      <c r="A395" s="18" t="n"/>
      <c r="B395" s="18" t="n"/>
      <c r="C395" s="18" t="n"/>
      <c r="D395" s="18" t="n"/>
      <c r="E395" s="18" t="n"/>
      <c r="F395" s="18" t="n"/>
      <c r="G395" s="18" t="n"/>
      <c r="H395" s="18" t="n"/>
      <c r="I395" s="18" t="n"/>
      <c r="J395" s="18" t="n"/>
      <c r="K395" s="18" t="n"/>
      <c r="L395" s="18" t="n"/>
    </row>
    <row r="396">
      <c r="A396" s="17" t="n"/>
      <c r="B396" s="17" t="n"/>
      <c r="C396" s="17" t="n"/>
      <c r="D396" s="17" t="n"/>
      <c r="E396" s="17" t="n"/>
      <c r="F396" s="17" t="n"/>
      <c r="G396" s="17" t="n"/>
      <c r="H396" s="17" t="n"/>
      <c r="I396" s="17" t="n"/>
      <c r="J396" s="17" t="n"/>
      <c r="K396" s="17" t="n"/>
      <c r="L396" s="17" t="n"/>
    </row>
    <row r="397">
      <c r="A397" s="18" t="n"/>
      <c r="B397" s="18" t="n"/>
      <c r="C397" s="18" t="n"/>
      <c r="D397" s="18" t="n"/>
      <c r="E397" s="18" t="n"/>
      <c r="F397" s="18" t="n"/>
      <c r="G397" s="18" t="n"/>
      <c r="H397" s="18" t="n"/>
      <c r="I397" s="18" t="n"/>
      <c r="J397" s="18" t="n"/>
      <c r="K397" s="18" t="n"/>
      <c r="L397" s="18" t="n"/>
    </row>
    <row r="398">
      <c r="A398" s="17" t="n"/>
      <c r="B398" s="17" t="n"/>
      <c r="C398" s="17" t="n"/>
      <c r="D398" s="17" t="n"/>
      <c r="E398" s="17" t="n"/>
      <c r="F398" s="17" t="n"/>
      <c r="G398" s="17" t="n"/>
      <c r="H398" s="17" t="n"/>
      <c r="I398" s="17" t="n"/>
      <c r="J398" s="17" t="n"/>
      <c r="K398" s="17" t="n"/>
      <c r="L398" s="17" t="n"/>
    </row>
    <row r="399">
      <c r="A399" s="18" t="n"/>
      <c r="B399" s="18" t="n"/>
      <c r="C399" s="18" t="n"/>
      <c r="D399" s="18" t="n"/>
      <c r="E399" s="18" t="n"/>
      <c r="F399" s="18" t="n"/>
      <c r="G399" s="18" t="n"/>
      <c r="H399" s="18" t="n"/>
      <c r="I399" s="18" t="n"/>
      <c r="J399" s="18" t="n"/>
      <c r="K399" s="18" t="n"/>
      <c r="L399" s="18" t="n"/>
    </row>
    <row r="400">
      <c r="A400" s="17" t="n"/>
      <c r="B400" s="17" t="n"/>
      <c r="C400" s="17" t="n"/>
      <c r="D400" s="17" t="n"/>
      <c r="E400" s="17" t="n"/>
      <c r="F400" s="17" t="n"/>
      <c r="G400" s="17" t="n"/>
      <c r="H400" s="17" t="n"/>
      <c r="I400" s="17" t="n"/>
      <c r="J400" s="17" t="n"/>
      <c r="K400" s="17" t="n"/>
      <c r="L400" s="17" t="n"/>
    </row>
  </sheetData>
  <autoFilter ref="A1:L400"/>
  <conditionalFormatting sqref="E2:E400">
    <cfRule type="cellIs" priority="1" operator="equal" dxfId="0">
      <formula>"Blocker"</formula>
    </cfRule>
    <cfRule type="cellIs" priority="2" operator="equal" dxfId="1">
      <formula>"Major"</formula>
    </cfRule>
    <cfRule type="cellIs" priority="3" operator="equal" dxfId="2">
      <formula>"Minor"</formula>
    </cfRule>
    <cfRule type="cellIs" priority="4" operator="equal" dxfId="3">
      <formula>"Nit"</formula>
    </cfRule>
  </conditionalFormatting>
  <dataValidations count="3">
    <dataValidation sqref="D2:D400" showDropDown="0" showInputMessage="0" showErrorMessage="0" allowBlank="0" type="list">
      <formula1>"Blocker,Major,Minor,Nit"</formula1>
    </dataValidation>
    <dataValidation sqref="C2:C400" showDropDown="0" showInputMessage="0" showErrorMessage="0" allowBlank="0" type="list">
      <formula1>"Layout &amp; Spacing,Color &amp; Token,Typography,Components &amp; States,Content &amp; Iconography,Responsive &amp; A11y"</formula1>
    </dataValidation>
    <dataValidation sqref="I2:I400" showDropDown="0" showInputMessage="0" showErrorMessage="0" allowBlank="0" type="list">
      <formula1>"Open,In Progress,Fixed,Won't Fix,Verified"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20" customWidth="1" min="3" max="3"/>
    <col width="10" customWidth="1" min="4" max="4"/>
    <col width="78" customWidth="1" min="5" max="5"/>
    <col width="66" customWidth="1" min="6" max="6"/>
    <col width="30" customWidth="1" min="7" max="7"/>
    <col width="30" customWidth="1" min="8" max="8"/>
    <col width="10" customWidth="1" min="9" max="9"/>
    <col width="12" customWidth="1" min="10" max="10"/>
    <col width="12" customWidth="1" min="11" max="11"/>
    <col width="34" customWidth="1" min="12" max="12"/>
    <col width="10" customWidth="1" min="13" max="13"/>
  </cols>
  <sheetData>
    <row r="1">
      <c r="A1" s="26" t="inlineStr">
        <is>
          <t>ID</t>
        </is>
      </c>
      <c r="B1" s="26" t="inlineStr">
        <is>
          <t>Screen</t>
        </is>
      </c>
      <c r="C1" s="26" t="inlineStr">
        <is>
          <t>Category</t>
        </is>
      </c>
      <c r="D1" s="26" t="inlineStr">
        <is>
          <t>Severity</t>
        </is>
      </c>
      <c r="E1" s="26" t="inlineStr">
        <is>
          <t>Issue (Design → Built)</t>
        </is>
      </c>
      <c r="F1" s="26" t="inlineStr">
        <is>
          <t>Recommended Fix (Dev)</t>
        </is>
      </c>
      <c r="G1" s="26" t="inlineStr">
        <is>
          <t>Figma URL</t>
        </is>
      </c>
      <c r="H1" s="26" t="inlineStr">
        <is>
          <t>Live URL</t>
        </is>
      </c>
      <c r="I1" s="26" t="inlineStr">
        <is>
          <t>Status</t>
        </is>
      </c>
      <c r="J1" s="26" t="inlineStr">
        <is>
          <t>Assignee</t>
        </is>
      </c>
      <c r="K1" s="26" t="inlineStr">
        <is>
          <t>Date</t>
        </is>
      </c>
      <c r="L1" s="26" t="inlineStr">
        <is>
          <t>Notes</t>
        </is>
      </c>
      <c r="M1" s="26" t="inlineStr">
        <is>
          <t>Scope</t>
        </is>
      </c>
    </row>
    <row r="2">
      <c r="A2" s="27" t="inlineStr">
        <is>
          <t>SMB-GLOBAL-001</t>
        </is>
      </c>
      <c r="B2" s="28" t="inlineStr">
        <is>
          <t>Global · The current page is a solid gold chip; the design outlines it in navy</t>
        </is>
      </c>
      <c r="C2" s="28" t="inlineStr">
        <is>
          <t>Color &amp; Token</t>
        </is>
      </c>
      <c r="D2" s="28" t="inlineStr">
        <is>
          <t>Major</t>
        </is>
      </c>
      <c r="E2" s="28" t="inlineStr">
        <is>
          <t>Figma: The active page is a white chip with a 1px navy #003366 outline and radius 8, its number in #1F2937. Every other page number is plain text on no fill. (Measured on the Users frame's own .page instances.)
Built: The active page is a solid gold #F5BE14 chip with black text. Gold appears nowhere else in the interface as a selected state, and it is not among the colours the SMILE Figma variables publish for an active control.</t>
        </is>
      </c>
      <c r="F2" s="28" t="inlineStr">
        <is>
          <t>Draw the active page as the design does — white fill, 1px #003366 outline, radius 8 — or, if a filled active state is wanted, fill it with the primary navy and set the number in white. Gold reads as a warning beside the Awaited and Pending chips these same tables carry. (Corrected 2026-09-10: an earlier draft of this finding called the build chip saffron/orange and the design chip navy-filled; measured, the build is #F5BE14 and the design is white with a navy outline.)</t>
        </is>
      </c>
      <c r="G2" s="28" t="inlineStr">
        <is>
          <t>https://www.figma.com/design/evmNmlK8g4VYwJVu2FwSGV/MoSJE-Portal--Handoff-?node-id=8664-51029</t>
        </is>
      </c>
      <c r="H2" s="28" t="inlineStr">
        <is>
          <t>https://smile-admin-dev.mosje.in/users</t>
        </is>
      </c>
      <c r="I2" s="28" t="inlineStr">
        <is>
          <t>Open</t>
        </is>
      </c>
      <c r="J2" s="28" t="n"/>
      <c r="K2" s="28" t="n"/>
      <c r="L2" s="28" t="inlineStr">
        <is>
          <t>env: dev  ·  Scope: Global — fix once, lands everywhere</t>
        </is>
      </c>
      <c r="M2" s="28" t="inlineStr">
        <is>
          <t>Global</t>
        </is>
      </c>
    </row>
    <row r="3">
      <c r="A3" s="27" t="inlineStr">
        <is>
          <t>SMB-GLOBAL-002</t>
        </is>
      </c>
      <c r="B3" s="28" t="inlineStr">
        <is>
          <t>Global · The two halves of the pagination row are swapped</t>
        </is>
      </c>
      <c r="C3" s="28" t="inlineStr">
        <is>
          <t>Layout &amp; Spacing</t>
        </is>
      </c>
      <c r="D3" s="28" t="inlineStr">
        <is>
          <t>Major</t>
        </is>
      </c>
      <c r="E3" s="28" t="inlineStr">
        <is>
          <t>Figma: Page numbers sit on the left, the record count and per-page selector on the right.
Built: The record count is on the left and the page numbers plus per-page selector are on the right — the mirror image, on every list screen.</t>
        </is>
      </c>
      <c r="F3" s="28" t="inlineStr">
        <is>
          <t>Return to the design's order: page numbers left, count and per-page right, so the control a reader reaches for is in the same place on every list in the estate.</t>
        </is>
      </c>
      <c r="G3" s="28" t="inlineStr">
        <is>
          <t>https://www.figma.com/design/evmNmlK8g4VYwJVu2FwSGV/MoSJE-Portal--Handoff-?node-id=8664-51029</t>
        </is>
      </c>
      <c r="H3" s="28" t="inlineStr">
        <is>
          <t>https://smile-admin-dev.mosje.in/users</t>
        </is>
      </c>
      <c r="I3" s="28" t="inlineStr">
        <is>
          <t>Open</t>
        </is>
      </c>
      <c r="J3" s="28" t="n"/>
      <c r="K3" s="28" t="n"/>
      <c r="L3" s="28" t="inlineStr">
        <is>
          <t>env: dev  ·  Scope: Global — fix once, lands everywhere</t>
        </is>
      </c>
      <c r="M3" s="28" t="inlineStr">
        <is>
          <t>Global</t>
        </is>
      </c>
    </row>
    <row r="4">
      <c r="A4" s="27" t="inlineStr">
        <is>
          <t>SMB-GLOBAL-003</t>
        </is>
      </c>
      <c r="B4" s="28" t="inlineStr">
        <is>
          <t>Global · The same table header is three different sizes depending on the screen</t>
        </is>
      </c>
      <c r="C4" s="28" t="inlineStr">
        <is>
          <t>Typography</t>
        </is>
      </c>
      <c r="D4" s="28" t="inlineStr">
        <is>
          <t>Major</t>
        </is>
      </c>
      <c r="E4" s="28" t="inlineStr">
        <is>
          <t>Figma: One column-header style: Title Case at the body size in the primary navy, semibold.
Built: Measured across all 17 list screens: the header cell renders at 12px on fourteen of them, 14px on Users and City Profiling, and 11px on Performance Statistics. All of them are uppercased by text-transform and letterspaced, so the DOM says 'Name' and the screen says 'NAME'. On Notifications the twelve headers wrap onto two lines to fit.</t>
        </is>
      </c>
      <c r="F4" s="28" t="inlineStr">
        <is>
          <t>Pick one column-header style and bind every table to it — label-1 (14/20 Medium) is the closest published match. Three sizes for one element is what makes a set of list screens read as three different products; the uppercase is a separate decision to make deliberately, since it costs legibility and is what forces the two-line wrap.</t>
        </is>
      </c>
      <c r="G4" s="28" t="inlineStr">
        <is>
          <t>https://www.figma.com/design/evmNmlK8g4VYwJVu2FwSGV/MoSJE-Portal--Handoff-?node-id=8664-51029</t>
        </is>
      </c>
      <c r="H4" s="28" t="inlineStr">
        <is>
          <t>https://smile-admin-dev.mosje.in/users</t>
        </is>
      </c>
      <c r="I4" s="28" t="inlineStr">
        <is>
          <t>Open</t>
        </is>
      </c>
      <c r="J4" s="28" t="n"/>
      <c r="K4" s="28" t="n"/>
      <c r="L4" s="28" t="inlineStr">
        <is>
          <t>env: dev  ·  Scope: Global — fix once, lands everywhere</t>
        </is>
      </c>
      <c r="M4" s="28" t="inlineStr">
        <is>
          <t>Global</t>
        </is>
      </c>
    </row>
    <row r="5">
      <c r="A5" s="27" t="inlineStr">
        <is>
          <t>SMB-GLOBAL-004</t>
        </is>
      </c>
      <c r="B5" s="28" t="inlineStr">
        <is>
          <t>Global · The sidebar is a different typeface and size from the design</t>
        </is>
      </c>
      <c r="C5" s="28" t="inlineStr">
        <is>
          <t>Typography</t>
        </is>
      </c>
      <c r="D5" s="28" t="inlineStr">
        <is>
          <t>Major</t>
        </is>
      </c>
      <c r="E5" s="28" t="inlineStr">
        <is>
          <t>Figma: Every navigation label is Noto Sans at 14px — measured off the design frame's own text nodes (Dashboard, City Profiling, Performance Statistics, Users, Roles all report 14).
Built: The build renders the sidebar in the system stack (-apple-system) at 15px. Measured on Users, 48 of the 181 on-canvas elements are in that stack and every one of them is a navigation item; across all 51 captures it is 2,128 elements.</t>
        </is>
      </c>
      <c r="F5" s="28" t="inlineStr">
        <is>
          <t>Set the sidebar to Noto Sans at 14px to match the design. The likely cause is a navigation component left on the framework's default sans stack rather than the app's.</t>
        </is>
      </c>
      <c r="G5" s="28" t="inlineStr">
        <is>
          <t>https://www.figma.com/design/evmNmlK8g4VYwJVu2FwSGV/MoSJE-Portal--Handoff-?node-id=8664-51029</t>
        </is>
      </c>
      <c r="H5" s="28" t="inlineStr">
        <is>
          <t>https://smile-admin-dev.mosje.in/users</t>
        </is>
      </c>
      <c r="I5" s="28" t="inlineStr">
        <is>
          <t>Open</t>
        </is>
      </c>
      <c r="J5" s="28" t="n"/>
      <c r="K5" s="28" t="n"/>
      <c r="L5" s="28" t="inlineStr">
        <is>
          <t>env: dev  ·  Scope: Global — fix once, lands everywhere</t>
        </is>
      </c>
      <c r="M5" s="28" t="inlineStr">
        <is>
          <t>Global</t>
        </is>
      </c>
    </row>
    <row r="6">
      <c r="A6" s="27" t="inlineStr">
        <is>
          <t>SMB-GLOBAL-005</t>
        </is>
      </c>
      <c r="B6" s="28" t="inlineStr">
        <is>
          <t>Global · Every page title is smaller, heavier and a different colour than the design</t>
        </is>
      </c>
      <c r="C6" s="28" t="inlineStr">
        <is>
          <t>Typography</t>
        </is>
      </c>
      <c r="D6" s="28" t="inlineStr">
        <is>
          <t>Major</t>
        </is>
      </c>
      <c r="E6" s="28" t="inlineStr">
        <is>
          <t>Figma: The page heading is 28px Medium in the ink colour #1f2937.
Built: 24px Bold in #111827 — measured identically on Users, Roles, Permissions, Notifications, Fund Monitoring, Consent Forms, Audit Log, Swashraya and IA List. Bold at a smaller size reads as a different level in the hierarchy from the one the design set.</t>
        </is>
      </c>
      <c r="F6" s="28" t="inlineStr">
        <is>
          <t>Set the page heading to 28px Medium #1f2937 in the shared page-header component, which fixes it everywhere at once.</t>
        </is>
      </c>
      <c r="G6" s="28" t="inlineStr">
        <is>
          <t>https://www.figma.com/design/evmNmlK8g4VYwJVu2FwSGV/MoSJE-Portal--Handoff-?node-id=8664-51029</t>
        </is>
      </c>
      <c r="H6" s="28" t="inlineStr">
        <is>
          <t>https://smile-admin-dev.mosje.in/users</t>
        </is>
      </c>
      <c r="I6" s="28" t="inlineStr">
        <is>
          <t>Open</t>
        </is>
      </c>
      <c r="J6" s="28" t="n"/>
      <c r="K6" s="28" t="n"/>
      <c r="L6" s="28" t="inlineStr">
        <is>
          <t>env: dev  ·  Scope: Global — fix once, lands everywhere</t>
        </is>
      </c>
      <c r="M6" s="28" t="inlineStr">
        <is>
          <t>Global</t>
        </is>
      </c>
    </row>
    <row r="7">
      <c r="A7" s="27" t="inlineStr">
        <is>
          <t>SMB-GLOBAL-006</t>
        </is>
      </c>
      <c r="B7" s="28" t="inlineStr">
        <is>
          <t>Global · KPI card labels are uppercase, and some are truncated</t>
        </is>
      </c>
      <c r="C7" s="28" t="inlineStr">
        <is>
          <t>Typography</t>
        </is>
      </c>
      <c r="D7" s="28" t="inlineStr">
        <is>
          <t>Minor</t>
        </is>
      </c>
      <c r="E7" s="28" t="inlineStr">
        <is>
          <t>Figma: Card labels are Title Case at the label size, sitting above the figure — 'Total Users', 'Identified/Surveyed', 'Total Notification'.
Built: Labels are uppercase and smaller, and where the label is long it is cut off with an ellipsis: the Notifications page reads 'TOTAL NOTIFIC…'.</t>
        </is>
      </c>
      <c r="F7" s="28" t="inlineStr">
        <is>
          <t>Set the label to Title Case at label-1 (14/20 Medium) and let the card grow to its content. A truncated label is a label the reader cannot use.</t>
        </is>
      </c>
      <c r="G7" s="28" t="inlineStr">
        <is>
          <t>https://www.figma.com/design/evmNmlK8g4VYwJVu2FwSGV/MoSJE-Portal--Handoff-?node-id=51830-237991</t>
        </is>
      </c>
      <c r="H7" s="28" t="inlineStr">
        <is>
          <t>https://smile-admin-dev.mosje.in/notifications</t>
        </is>
      </c>
      <c r="I7" s="28" t="inlineStr">
        <is>
          <t>Open</t>
        </is>
      </c>
      <c r="J7" s="28" t="n"/>
      <c r="K7" s="28" t="n"/>
      <c r="L7" s="28" t="inlineStr">
        <is>
          <t>env: dev  ·  Scope: Global — fix once, lands everywhere</t>
        </is>
      </c>
      <c r="M7" s="28" t="inlineStr">
        <is>
          <t>Global</t>
        </is>
      </c>
    </row>
    <row r="8">
      <c r="A8" s="27" t="inlineStr">
        <is>
          <t>SMB-GLOBAL-007</t>
        </is>
      </c>
      <c r="B8" s="28" t="inlineStr">
        <is>
          <t>Global · The KPI icon tile is 36px where the design draws 56px</t>
        </is>
      </c>
      <c r="C8" s="28" t="inlineStr">
        <is>
          <t>Layout &amp; Spacing</t>
        </is>
      </c>
      <c r="D8" s="28" t="inlineStr">
        <is>
          <t>Minor</t>
        </is>
      </c>
      <c r="E8" s="28" t="inlineStr">
        <is>
          <t>Figma: The icon sits in a rounded tile filled with a light tint of that metric's colour, measured at 56 x 56 on the Beneficiary List frame.
Built: The same tinted tile is there, at 36 x 36 — about a third of the drawn area. With the label also dropping to 11px uppercase (G05), the whole card reads a size smaller than designed.</t>
        </is>
      </c>
      <c r="F8" s="28" t="inlineStr">
        <is>
          <t>Set the icon tile to 56 x 56 with the same tint. (Corrected 2026-09-10: an earlier draft of this finding said the build had no tinted chip at all. It has one; it is smaller. The claim came from a text-only extraction that does not see the icon element — the screenshots do.)</t>
        </is>
      </c>
      <c r="G8" s="28" t="inlineStr">
        <is>
          <t>https://www.figma.com/design/evmNmlK8g4VYwJVu2FwSGV/MoSJE-Portal--Handoff-?node-id=8664-57337</t>
        </is>
      </c>
      <c r="H8" s="28" t="inlineStr">
        <is>
          <t>https://smile-admin-dev.mosje.in/persons</t>
        </is>
      </c>
      <c r="I8" s="28" t="inlineStr">
        <is>
          <t>Open</t>
        </is>
      </c>
      <c r="J8" s="28" t="n"/>
      <c r="K8" s="28" t="n"/>
      <c r="L8" s="28" t="inlineStr">
        <is>
          <t>env: dev  ·  Scope: Global — fix once, lands everywhere</t>
        </is>
      </c>
      <c r="M8" s="28" t="inlineStr">
        <is>
          <t>Global</t>
        </is>
      </c>
    </row>
    <row r="9">
      <c r="A9" s="27" t="inlineStr">
        <is>
          <t>SMB-GLOBAL-008</t>
        </is>
      </c>
      <c r="B9" s="28" t="inlineStr">
        <is>
          <t>Global · The page-level export moved out of the header and became two buttons</t>
        </is>
      </c>
      <c r="C9" s="28" t="inlineStr">
        <is>
          <t>Components &amp; States</t>
        </is>
      </c>
      <c r="D9" s="28" t="inlineStr">
        <is>
          <t>Minor</t>
        </is>
      </c>
      <c r="E9" s="28" t="inlineStr">
        <is>
          <t>Figma: One 'Export' control sits on the header row at x=1349, level with the page title — on Beneficiary List, Consent Forms, Notifications, Survey Locations, Surveyor Mappings and the Dashboard. Users and Roles carry no export in the design at all.
Built: Two buttons, 'CSV' and 'PDF', sit above the title row at the top-right of the content area, out of line with the heading — including on Users and Roles, where the design draws none. The Beneficiary List has three: Download All (CSV), CSV and PDF.</t>
        </is>
      </c>
      <c r="F9" s="28" t="inlineStr">
        <is>
          <t>Return a single Export control to the header row aligned with the H1, and put the format choice inside it, so the header's action slot reads the same on every screen. Where the design has no export and the build does (Users, Roles), decide which is right and make both say so.</t>
        </is>
      </c>
      <c r="G9" s="28" t="inlineStr">
        <is>
          <t>https://www.figma.com/design/evmNmlK8g4VYwJVu2FwSGV/MoSJE-Portal--Handoff-?node-id=8664-57337</t>
        </is>
      </c>
      <c r="H9" s="28" t="inlineStr">
        <is>
          <t>https://smile-admin-dev.mosje.in/persons</t>
        </is>
      </c>
      <c r="I9" s="28" t="inlineStr">
        <is>
          <t>Open</t>
        </is>
      </c>
      <c r="J9" s="28" t="n"/>
      <c r="K9" s="28" t="n"/>
      <c r="L9" s="28" t="inlineStr">
        <is>
          <t>env: dev  ·  Scope: Global — fix once, lands everywhere</t>
        </is>
      </c>
      <c r="M9" s="28" t="inlineStr">
        <is>
          <t>Global</t>
        </is>
      </c>
    </row>
    <row r="10">
      <c r="A10" s="27" t="inlineStr">
        <is>
          <t>SMB-GLOBAL-009</t>
        </is>
      </c>
      <c r="B10" s="28" t="inlineStr">
        <is>
          <t>Global · The masthead's contrast control is now a light/dark toggle</t>
        </is>
      </c>
      <c r="C10" s="28" t="inlineStr">
        <is>
          <t>Components &amp; States</t>
        </is>
      </c>
      <c r="D10" s="28" t="inlineStr">
        <is>
          <t>Minor</t>
        </is>
      </c>
      <c r="E10" s="28" t="inlineStr">
        <is>
          <t>Figma: The accessibility bar carries a contrast control (the half-filled circle) beside the accessibility icon.
Built: That slot is a crescent moon labelled 'Light-Dark'; the neighbouring control is labelled 'Invert Colors'. A theme switch and a contrast control are different affordances.</t>
        </is>
      </c>
      <c r="F10" s="28" t="inlineStr">
        <is>
          <t>Confirm the intent. GIGW expects a contrast affordance in the masthead; if light/dark replaces it, the contrast requirement needs to be met somewhere the reader can find it, and the design should be updated to match.</t>
        </is>
      </c>
      <c r="G10" s="28" t="inlineStr">
        <is>
          <t>https://www.figma.com/design/evmNmlK8g4VYwJVu2FwSGV/MoSJE-Portal--Handoff-?node-id=8664-51029</t>
        </is>
      </c>
      <c r="H10" s="28" t="inlineStr">
        <is>
          <t>https://smile-admin-dev.mosje.in/users</t>
        </is>
      </c>
      <c r="I10" s="28" t="inlineStr">
        <is>
          <t>Open</t>
        </is>
      </c>
      <c r="J10" s="28" t="n"/>
      <c r="K10" s="28" t="n"/>
      <c r="L10" s="28" t="inlineStr">
        <is>
          <t>env: dev  ·  Scope: Global — fix once, lands everywhere</t>
        </is>
      </c>
      <c r="M10" s="28" t="inlineStr">
        <is>
          <t>Global</t>
        </is>
      </c>
    </row>
    <row r="11">
      <c r="A11" s="27" t="inlineStr">
        <is>
          <t>SMB-GLOBAL-010</t>
        </is>
      </c>
      <c r="B11" s="28" t="inlineStr">
        <is>
          <t>Global · The line under every page title is a size down and a lighter grey</t>
        </is>
      </c>
      <c r="C11" s="28" t="inlineStr">
        <is>
          <t>Typography</t>
        </is>
      </c>
      <c r="D11" s="28" t="inlineStr">
        <is>
          <t>Minor</t>
        </is>
      </c>
      <c r="E11" s="28" t="inlineStr">
        <is>
          <t>Figma: The description under the heading is 16px Regular in #374151.
Built: 14px Regular in #6b7280, on every screen measured.</t>
        </is>
      </c>
      <c r="F11" s="28" t="inlineStr">
        <is>
          <t>Set it to 16px #374151 in the same page-header component.</t>
        </is>
      </c>
      <c r="G11" s="28" t="inlineStr">
        <is>
          <t>https://www.figma.com/design/evmNmlK8g4VYwJVu2FwSGV/MoSJE-Portal--Handoff-?node-id=8664-51029</t>
        </is>
      </c>
      <c r="H11" s="28" t="inlineStr">
        <is>
          <t>https://smile-admin-dev.mosje.in/users</t>
        </is>
      </c>
      <c r="I11" s="28" t="inlineStr">
        <is>
          <t>Open</t>
        </is>
      </c>
      <c r="J11" s="28" t="n"/>
      <c r="K11" s="28" t="n"/>
      <c r="L11" s="28" t="inlineStr">
        <is>
          <t>env: dev  ·  Scope: Global — fix once, lands everywhere</t>
        </is>
      </c>
      <c r="M11" s="28" t="inlineStr">
        <is>
          <t>Global</t>
        </is>
      </c>
    </row>
    <row r="12">
      <c r="A12" s="27" t="inlineStr">
        <is>
          <t>SMB-GLOBAL-011</t>
        </is>
      </c>
      <c r="B12" s="28" t="inlineStr">
        <is>
          <t>Global · Breadcrumbs are 12px where the design says 14px</t>
        </is>
      </c>
      <c r="C12" s="28" t="inlineStr">
        <is>
          <t>Typography</t>
        </is>
      </c>
      <c r="D12" s="28" t="inlineStr">
        <is>
          <t>Minor</t>
        </is>
      </c>
      <c r="E12" s="28" t="inlineStr">
        <is>
          <t>Figma: The breadcrumb is 14px — its trail in #374151, the current page in #1f2937.
Built: 12px, with the trail in #6b7280 and the current page in #374151. Two steps lighter and a size down, on every screen that has a breadcrumb.</t>
        </is>
      </c>
      <c r="F12" s="28" t="inlineStr">
        <is>
          <t>Set the breadcrumb to 14px and restore the two colours.</t>
        </is>
      </c>
      <c r="G12" s="28" t="inlineStr">
        <is>
          <t>https://www.figma.com/design/evmNmlK8g4VYwJVu2FwSGV/MoSJE-Portal--Handoff-?node-id=8664-51029</t>
        </is>
      </c>
      <c r="H12" s="28" t="inlineStr">
        <is>
          <t>https://smile-admin-dev.mosje.in/users</t>
        </is>
      </c>
      <c r="I12" s="28" t="inlineStr">
        <is>
          <t>Open</t>
        </is>
      </c>
      <c r="J12" s="28" t="n"/>
      <c r="K12" s="28" t="n"/>
      <c r="L12" s="28" t="inlineStr">
        <is>
          <t>env: dev  ·  Scope: Global — fix once, lands everywhere</t>
        </is>
      </c>
      <c r="M12" s="28" t="inlineStr">
        <is>
          <t>Global</t>
        </is>
      </c>
    </row>
    <row r="13">
      <c r="A13" s="27" t="inlineStr">
        <is>
          <t>SMB-GLOBAL-012</t>
        </is>
      </c>
      <c r="B13" s="28" t="inlineStr">
        <is>
          <t>Global · Footer links are smaller and lighter than drawn</t>
        </is>
      </c>
      <c r="C13" s="28" t="inlineStr">
        <is>
          <t>Typography</t>
        </is>
      </c>
      <c r="D13" s="28" t="inlineStr">
        <is>
          <t>Minor</t>
        </is>
      </c>
      <c r="E13" s="28" t="inlineStr">
        <is>
          <t>Figma: Terms &amp; Conditions and Privacy Policy are 14px Medium.
Built: 12px Regular, on every screen.</t>
        </is>
      </c>
      <c r="F13" s="28" t="inlineStr">
        <is>
          <t>Set the footer links to 14px Medium.</t>
        </is>
      </c>
      <c r="G13" s="28" t="inlineStr">
        <is>
          <t>https://www.figma.com/design/evmNmlK8g4VYwJVu2FwSGV/MoSJE-Portal--Handoff-?node-id=8664-51029</t>
        </is>
      </c>
      <c r="H13" s="28" t="inlineStr">
        <is>
          <t>https://smile-admin-dev.mosje.in/users</t>
        </is>
      </c>
      <c r="I13" s="28" t="inlineStr">
        <is>
          <t>Open</t>
        </is>
      </c>
      <c r="J13" s="28" t="n"/>
      <c r="K13" s="28" t="n"/>
      <c r="L13" s="28" t="inlineStr">
        <is>
          <t>env: dev  ·  Scope: Global — fix once, lands everywhere</t>
        </is>
      </c>
      <c r="M13" s="28" t="inlineStr">
        <is>
          <t>Global</t>
        </is>
      </c>
    </row>
    <row r="14">
      <c r="A14" s="27" t="inlineStr">
        <is>
          <t>SMB-GLOBAL-013</t>
        </is>
      </c>
      <c r="B14" s="28" t="inlineStr">
        <is>
          <t>Global · Status chips are a size up, a weight heavier, and different colours</t>
        </is>
      </c>
      <c r="C14" s="28" t="inlineStr">
        <is>
          <t>Color &amp; Token</t>
        </is>
      </c>
      <c r="D14" s="28" t="inlineStr">
        <is>
          <t>Minor</t>
        </is>
      </c>
      <c r="E14" s="28" t="inlineStr">
        <is>
          <t>Figma: A status chip is 11px Medium — green #27682a for a positive state, amber #8c571f for a waiting one.
Built: 12px SemiBold in #047857 and #b45309. Measured on Consent Forms (Uploaded / Awaited), Swashraya (Active) and the Audit Log's action chips.</t>
        </is>
      </c>
      <c r="F14" s="28" t="inlineStr">
        <is>
          <t>Set chips to 11px Medium and bind the two states to the greens and ambers the design uses, so a chip means the same thing and looks the same on every screen.</t>
        </is>
      </c>
      <c r="G14" s="28" t="inlineStr">
        <is>
          <t>https://www.figma.com/design/evmNmlK8g4VYwJVu2FwSGV/MoSJE-Portal--Handoff-?node-id=51873-194809</t>
        </is>
      </c>
      <c r="H14" s="28" t="inlineStr">
        <is>
          <t>https://smile-admin-dev.mosje.in/consent</t>
        </is>
      </c>
      <c r="I14" s="28" t="inlineStr">
        <is>
          <t>Open</t>
        </is>
      </c>
      <c r="J14" s="28" t="n"/>
      <c r="K14" s="28" t="n"/>
      <c r="L14" s="28" t="inlineStr">
        <is>
          <t>env: dev  ·  Scope: Global — fix once, lands everywhere</t>
        </is>
      </c>
      <c r="M14" s="28" t="inlineStr">
        <is>
          <t>Global</t>
        </is>
      </c>
    </row>
    <row r="15">
      <c r="A15" s="27" t="inlineStr">
        <is>
          <t>SMB-GLOBAL-014</t>
        </is>
      </c>
      <c r="B15" s="28" t="inlineStr">
        <is>
          <t>Global · The data-version selector lost its label</t>
        </is>
      </c>
      <c r="C15" s="28" t="inlineStr">
        <is>
          <t>Components &amp; States</t>
        </is>
      </c>
      <c r="D15" s="28" t="inlineStr">
        <is>
          <t>Minor</t>
        </is>
      </c>
      <c r="E15" s="28" t="inlineStr">
        <is>
          <t>Figma: A labelled control reading 'Data: Consolidate (All)' at 14px Medium in the primary navy, on the header row of IA List, Beneficiary List, Survey Locations, Surveyor Mappings and Notifications.
Built: A bare 'Data:' at 12px SemiBold in grey with an unlabelled dropdown beside it. The reader is told the word 'Data' and left to open the menu to find out what it does.</t>
        </is>
      </c>
      <c r="F15" s="28" t="inlineStr">
        <is>
          <t>Restore the full label at 14px Medium in the primary navy.</t>
        </is>
      </c>
      <c r="G15" s="28" t="inlineStr">
        <is>
          <t>https://www.figma.com/design/evmNmlK8g4VYwJVu2FwSGV/MoSJE-Portal--Handoff-?node-id=8664-57337</t>
        </is>
      </c>
      <c r="H15" s="28" t="inlineStr">
        <is>
          <t>https://smile-admin-dev.mosje.in/persons</t>
        </is>
      </c>
      <c r="I15" s="28" t="inlineStr">
        <is>
          <t>Open</t>
        </is>
      </c>
      <c r="J15" s="28" t="n"/>
      <c r="K15" s="28" t="n"/>
      <c r="L15" s="28" t="inlineStr">
        <is>
          <t>env: dev  ·  Scope: Global — fix once, lands everywhere</t>
        </is>
      </c>
      <c r="M15" s="28" t="inlineStr">
        <is>
          <t>Global</t>
        </is>
      </c>
    </row>
    <row r="16">
      <c r="A16" s="27" t="inlineStr">
        <is>
          <t>SMB-GLOBAL-015</t>
        </is>
      </c>
      <c r="B16" s="28" t="inlineStr">
        <is>
          <t>Global · The filter row does not match the design's</t>
        </is>
      </c>
      <c r="C16" s="28" t="inlineStr">
        <is>
          <t>Components &amp; States</t>
        </is>
      </c>
      <c r="D16" s="28" t="inlineStr">
        <is>
          <t>Minor</t>
        </is>
      </c>
      <c r="E16" s="28" t="inlineStr">
        <is>
          <t>Figma: Each list screen carries a named filter row — All States/UT, All Districts, All IAs/NGOs, All Statuses, and where relevant All Genders and All Ages. Measured on IA List, Beneficiary List, Survey Locations and Surveyor Mappings.
Built: The filter sets differ from screen to screen and from the design: some screens offer a search box and one or two unlabelled dropdowns, Users has two filters the design does not, and Notifications filters by Type and Channel where the design filters by geography.</t>
        </is>
      </c>
      <c r="F16" s="28" t="inlineStr">
        <is>
          <t>Use the relevant filter options for each screen and follow the design where it applies. This is one note for the whole portal, not a demand that every screen match the designed list exactly — the filter sets are still being settled.</t>
        </is>
      </c>
      <c r="G16" s="28" t="inlineStr">
        <is>
          <t>https://www.figma.com/design/evmNmlK8g4VYwJVu2FwSGV/MoSJE-Portal--Handoff-?node-id=51699-165683</t>
        </is>
      </c>
      <c r="H16" s="28" t="inlineStr">
        <is>
          <t>https://smile-admin-dev.mosje.in/surveyor-mapped</t>
        </is>
      </c>
      <c r="I16" s="28" t="inlineStr">
        <is>
          <t>Open</t>
        </is>
      </c>
      <c r="J16" s="28" t="n"/>
      <c r="K16" s="28" t="n"/>
      <c r="L16" s="28" t="inlineStr">
        <is>
          <t>env: dev  ·  Scope: Global — fix once, lands everywhere</t>
        </is>
      </c>
      <c r="M16" s="28" t="inlineStr">
        <is>
          <t>Global</t>
        </is>
      </c>
    </row>
    <row r="17">
      <c r="A17" s="27" t="inlineStr">
        <is>
          <t>SMB-GLOBAL-016</t>
        </is>
      </c>
      <c r="B17" s="28" t="inlineStr">
        <is>
          <t>Global · The text-size controls gained plus and minus signs</t>
        </is>
      </c>
      <c r="C17" s="28" t="inlineStr">
        <is>
          <t>Content &amp; Iconography</t>
        </is>
      </c>
      <c r="D17" s="28" t="inlineStr">
        <is>
          <t>Nit</t>
        </is>
      </c>
      <c r="E17" s="28" t="inlineStr">
        <is>
          <t>Figma: Three plain A glyphs at graduated sizes; size alone carries the meaning.
Built: The A glyphs carry superscript minus and plus signs.</t>
        </is>
      </c>
      <c r="F17" s="28" t="inlineStr">
        <is>
          <t>Confirm which is intended. If the signs stay, they belong in both the design and the build so the masthead is one specification.</t>
        </is>
      </c>
      <c r="G17" s="28" t="inlineStr">
        <is>
          <t>https://www.figma.com/design/evmNmlK8g4VYwJVu2FwSGV/MoSJE-Portal--Handoff-?node-id=8664-51029</t>
        </is>
      </c>
      <c r="H17" s="28" t="inlineStr">
        <is>
          <t>https://smile-admin-dev.mosje.in/users</t>
        </is>
      </c>
      <c r="I17" s="28" t="inlineStr">
        <is>
          <t>Open</t>
        </is>
      </c>
      <c r="J17" s="28" t="n"/>
      <c r="K17" s="28" t="n"/>
      <c r="L17" s="28" t="inlineStr">
        <is>
          <t>env: dev  ·  Scope: Global — fix once, lands everywhere</t>
        </is>
      </c>
      <c r="M17" s="28" t="inlineStr">
        <is>
          <t>Global</t>
        </is>
      </c>
    </row>
    <row r="18">
      <c r="A18" s="27" t="inlineStr">
        <is>
          <t>SMB-SA-DASHBOARD-001</t>
        </is>
      </c>
      <c r="B18" s="28" t="inlineStr">
        <is>
          <t>Dashboard</t>
        </is>
      </c>
      <c r="C18" s="28" t="inlineStr">
        <is>
          <t>Components &amp; States</t>
        </is>
      </c>
      <c r="D18" s="28" t="inlineStr">
        <is>
          <t>Major</t>
        </is>
      </c>
      <c r="E18" s="28" t="inlineStr">
        <is>
          <t>Figma: Three cards across: Gender Distribution as a donut, Age Distribution as horizontal bars, and Beggar Type as a horizontal stacked bar, each with its own Export link and a one-line reading beneath it.
Built: Two wider cards: gender is drawn as a vertical bar chart behind Identification / Rehabilitation / Mobilisation tabs, and the second card is a Swashraya donut. Age Distribution and Beggar Type are not on this row.</t>
        </is>
      </c>
      <c r="F18" s="28" t="inlineStr">
        <is>
          <t>Confirm the restructure is intended. If it is, the design frame needs to be brought up to it; if it is not, the three designed cards and their chart types should be restored.</t>
        </is>
      </c>
      <c r="G18" s="28" t="inlineStr">
        <is>
          <t>https://www.figma.com/design/evmNmlK8g4VYwJVu2FwSGV/MoSJE-Portal--Handoff-?node-id=8664-49264</t>
        </is>
      </c>
      <c r="H18" s="28" t="inlineStr">
        <is>
          <t>https://smile-admin-dev.mosje.in/dashboard</t>
        </is>
      </c>
      <c r="I18" s="28" t="inlineStr">
        <is>
          <t>Open</t>
        </is>
      </c>
      <c r="J18" s="28" t="n"/>
      <c r="K18" s="28" t="n"/>
      <c r="L18" s="28" t="inlineStr">
        <is>
          <t>env: dev</t>
        </is>
      </c>
      <c r="M18" s="28" t="inlineStr">
        <is>
          <t>Screen</t>
        </is>
      </c>
    </row>
    <row r="19">
      <c r="A19" s="27" t="inlineStr">
        <is>
          <t>SMB-SA-DASHBOARD-002</t>
        </is>
      </c>
      <c r="B19" s="28" t="inlineStr">
        <is>
          <t>Dashboard</t>
        </is>
      </c>
      <c r="C19" s="28" t="inlineStr">
        <is>
          <t>Components &amp; States</t>
        </is>
      </c>
      <c r="D19" s="28" t="inlineStr">
        <is>
          <t>Minor</t>
        </is>
      </c>
      <c r="E19" s="28" t="inlineStr">
        <is>
          <t>Figma: Six cells in a three-by-two grid: Identified/Surveyed, Mobilised, Shelter Assigned, Rehabilitated, Fund Disbursed, Fund Utilised.
Built: Six cells too, but the third holds TWO figures under one heading — 'Shelter &amp; Rehabilitation', carrying Shelter Assigned 564 and Child Rehab 306 — and 'Rehabilitated' is renamed 'Combined Total Rehab'. So the build reports seven figures in six cells, and Child Rehab appears in neither the design nor its own cell. (Corrected 2026-09-10: an earlier draft said the row dropped to five cards. It has six.)</t>
        </is>
      </c>
      <c r="F19" s="28" t="inlineStr">
        <is>
          <t>Confirm the merge is intended and update the design frame to match, so the dashboard has one specification. A card holding two figures needs its own treatment in the design, not an improvised split.</t>
        </is>
      </c>
      <c r="G19" s="28" t="inlineStr">
        <is>
          <t>https://www.figma.com/design/evmNmlK8g4VYwJVu2FwSGV/MoSJE-Portal--Handoff-?node-id=8664-49264</t>
        </is>
      </c>
      <c r="H19" s="28" t="inlineStr">
        <is>
          <t>https://smile-admin-dev.mosje.in/dashboard</t>
        </is>
      </c>
      <c r="I19" s="28" t="inlineStr">
        <is>
          <t>Open</t>
        </is>
      </c>
      <c r="J19" s="28" t="n"/>
      <c r="K19" s="28" t="n"/>
      <c r="L19" s="28" t="inlineStr">
        <is>
          <t>env: dev</t>
        </is>
      </c>
      <c r="M19" s="28" t="inlineStr">
        <is>
          <t>Screen</t>
        </is>
      </c>
    </row>
    <row r="20">
      <c r="A20" s="27" t="inlineStr">
        <is>
          <t>SMB-SA-DASHBOARD-003</t>
        </is>
      </c>
      <c r="B20" s="28" t="inlineStr">
        <is>
          <t>Dashboard</t>
        </is>
      </c>
      <c r="C20" s="28" t="inlineStr">
        <is>
          <t>Components &amp; States</t>
        </is>
      </c>
      <c r="D20" s="28" t="inlineStr">
        <is>
          <t>Minor</t>
        </is>
      </c>
      <c r="E20" s="28" t="inlineStr">
        <is>
          <t>Figma: Rows sit flat on the navy panel; only the small leading icon has a lighter ground.
Built: Each row is a filled lighter-blue bar, and the longest label wraps onto two lines.</t>
        </is>
      </c>
      <c r="F20" s="28" t="inlineStr">
        <is>
          <t>Return the rows to flat-on-navy with the icon chip only, and keep the label on one line.</t>
        </is>
      </c>
      <c r="G20" s="28" t="inlineStr">
        <is>
          <t>https://www.figma.com/design/evmNmlK8g4VYwJVu2FwSGV/MoSJE-Portal--Handoff-?node-id=8664-49264</t>
        </is>
      </c>
      <c r="H20" s="28" t="inlineStr">
        <is>
          <t>https://smile-admin-dev.mosje.in/dashboard</t>
        </is>
      </c>
      <c r="I20" s="28" t="inlineStr">
        <is>
          <t>Open</t>
        </is>
      </c>
      <c r="J20" s="28" t="n"/>
      <c r="K20" s="28" t="n"/>
      <c r="L20" s="28" t="inlineStr">
        <is>
          <t>env: dev</t>
        </is>
      </c>
      <c r="M20" s="28" t="inlineStr">
        <is>
          <t>Screen</t>
        </is>
      </c>
    </row>
    <row r="21">
      <c r="A21" s="27" t="inlineStr">
        <is>
          <t>SMB-SA-USERS-001</t>
        </is>
      </c>
      <c r="B21" s="28" t="inlineStr">
        <is>
          <t>Users</t>
        </is>
      </c>
      <c r="C21" s="28" t="inlineStr">
        <is>
          <t>Components &amp; States</t>
        </is>
      </c>
      <c r="D21" s="28" t="inlineStr">
        <is>
          <t>Minor</t>
        </is>
      </c>
      <c r="E21" s="28" t="inlineStr">
        <is>
          <t>Figma: Users carries two header actions: a secondary 'View Catalog' and the primary 'Onboard New User'.
Built: On Users that slot holds CSV and PDF instead. View Catalog is NOT missing from the build — it is on the ROLES screen, in the same header position (x=1154, y=158), on both super-admin and central-authority. The Roles design frame does not show it there.</t>
        </is>
      </c>
      <c r="F21" s="28" t="inlineStr">
        <is>
          <t>Confirm which screen owns View Catalog. If Users is right per the design, move it back and add it to the Roles frame's removal; if Roles is right, update both design frames to match. (Corrected 2026-09-10: an earlier draft of this finding said the action was absent from the build. It is not — it is on another screen.)</t>
        </is>
      </c>
      <c r="G21" s="28" t="inlineStr">
        <is>
          <t>https://www.figma.com/design/evmNmlK8g4VYwJVu2FwSGV/MoSJE-Portal--Handoff-?node-id=8664-51029</t>
        </is>
      </c>
      <c r="H21" s="28" t="inlineStr">
        <is>
          <t>https://smile-admin-dev.mosje.in/users</t>
        </is>
      </c>
      <c r="I21" s="28" t="inlineStr">
        <is>
          <t>Open</t>
        </is>
      </c>
      <c r="J21" s="28" t="n"/>
      <c r="K21" s="28" t="n"/>
      <c r="L21" s="28" t="inlineStr">
        <is>
          <t>env: dev</t>
        </is>
      </c>
      <c r="M21" s="28" t="inlineStr">
        <is>
          <t>Screen</t>
        </is>
      </c>
    </row>
    <row r="22">
      <c r="A22" s="27" t="inlineStr">
        <is>
          <t>SMB-SA-USERS-002</t>
        </is>
      </c>
      <c r="B22" s="28" t="inlineStr">
        <is>
          <t>Users</t>
        </is>
      </c>
      <c r="C22" s="28" t="inlineStr">
        <is>
          <t>Typography</t>
        </is>
      </c>
      <c r="D22" s="28" t="inlineStr">
        <is>
          <t>Minor</t>
        </is>
      </c>
      <c r="E22" s="28" t="inlineStr">
        <is>
          <t>Figma: The person's name is set semibold, which is what lets a reader scan the column.
Built: The name is set at the same weight as every other cell.</t>
        </is>
      </c>
      <c r="F22" s="28" t="inlineStr">
        <is>
          <t>Set the Name cell to weight 600, matching the design and the body-2-semibold style the variables publish.</t>
        </is>
      </c>
      <c r="G22" s="28" t="inlineStr">
        <is>
          <t>https://www.figma.com/design/evmNmlK8g4VYwJVu2FwSGV/MoSJE-Portal--Handoff-?node-id=8664-51029</t>
        </is>
      </c>
      <c r="H22" s="28" t="inlineStr">
        <is>
          <t>https://smile-admin-dev.mosje.in/users</t>
        </is>
      </c>
      <c r="I22" s="28" t="inlineStr">
        <is>
          <t>Open</t>
        </is>
      </c>
      <c r="J22" s="28" t="n"/>
      <c r="K22" s="28" t="n"/>
      <c r="L22" s="28" t="inlineStr">
        <is>
          <t>env: dev</t>
        </is>
      </c>
      <c r="M22" s="28" t="inlineStr">
        <is>
          <t>Screen</t>
        </is>
      </c>
    </row>
    <row r="23">
      <c r="A23" s="27" t="inlineStr">
        <is>
          <t>SMB-SA-USERS-003</t>
        </is>
      </c>
      <c r="B23" s="28" t="inlineStr">
        <is>
          <t>Users</t>
        </is>
      </c>
      <c r="C23" s="28" t="inlineStr">
        <is>
          <t>Color &amp; Token</t>
        </is>
      </c>
      <c r="D23" s="28" t="inlineStr">
        <is>
          <t>Minor</t>
        </is>
      </c>
      <c r="E23" s="28" t="inlineStr">
        <is>
          <t>Figma: The header row sits on #f9fafb, the same near-white as every other list screen.
Built: It sits on #b7ccf3, a mid blue. Measured on all six list screens captured: Consent Forms, Beneficiary List, Shelter Occupants, Rehab Data and Master Settings are all #f9fafb; only Users is blue. Its header is also 14px where most are 12px (G04).</t>
        </is>
      </c>
      <c r="F23" s="28" t="inlineStr">
        <is>
          <t>Set the Users header band to #f9fafb. One list screen styled differently from the other sixteen is the clearest sign a table component was forked.</t>
        </is>
      </c>
      <c r="G23" s="28" t="inlineStr">
        <is>
          <t>https://www.figma.com/design/evmNmlK8g4VYwJVu2FwSGV/MoSJE-Portal--Handoff-?node-id=8664-51029</t>
        </is>
      </c>
      <c r="H23" s="28" t="inlineStr">
        <is>
          <t>https://smile-admin-dev.mosje.in/users</t>
        </is>
      </c>
      <c r="I23" s="28" t="inlineStr">
        <is>
          <t>Open</t>
        </is>
      </c>
      <c r="J23" s="28" t="n"/>
      <c r="K23" s="28" t="n"/>
      <c r="L23" s="28" t="inlineStr">
        <is>
          <t>env: dev</t>
        </is>
      </c>
      <c r="M23" s="28" t="inlineStr">
        <is>
          <t>Screen</t>
        </is>
      </c>
    </row>
    <row r="24">
      <c r="A24" s="27" t="inlineStr">
        <is>
          <t>SMB-SA-CONSENT-001</t>
        </is>
      </c>
      <c r="B24" s="28" t="inlineStr">
        <is>
          <t>Consent Forms</t>
        </is>
      </c>
      <c r="C24" s="28" t="inlineStr">
        <is>
          <t>Components &amp; States</t>
        </is>
      </c>
      <c r="D24" s="28" t="inlineStr">
        <is>
          <t>Minor</t>
        </is>
      </c>
      <c r="E24" s="28" t="inlineStr">
        <is>
          <t>Figma: Six columns end at Submitted On, the last of them finishing inside the 1440 frame.
Built: Eight columns run to x=1630. Document is the last one fully visible; Submitted On starts at x=1418 and Action at x=1548, so both sit outside the 1440 viewport and are reachable only by scrolling the table sideways. (Corrected 2026-09-10: an earlier draft said Submitted On was not built at all. It is built — it is off-screen, which is why it was missed.)</t>
        </is>
      </c>
      <c r="F24" s="28" t="inlineStr">
        <is>
          <t>Fit the columns inside the viewport. A consent record whose date cannot be seen without a sideways scroll is the same problem as one with no date.</t>
        </is>
      </c>
      <c r="G24" s="28" t="inlineStr">
        <is>
          <t>https://www.figma.com/design/evmNmlK8g4VYwJVu2FwSGV/MoSJE-Portal--Handoff-?node-id=51873-194809</t>
        </is>
      </c>
      <c r="H24" s="28" t="inlineStr">
        <is>
          <t>https://smile-admin-dev.mosje.in/consent</t>
        </is>
      </c>
      <c r="I24" s="28" t="inlineStr">
        <is>
          <t>Open</t>
        </is>
      </c>
      <c r="J24" s="28" t="n"/>
      <c r="K24" s="28" t="n"/>
      <c r="L24" s="28" t="inlineStr">
        <is>
          <t>env: dev</t>
        </is>
      </c>
      <c r="M24" s="28" t="inlineStr">
        <is>
          <t>Screen</t>
        </is>
      </c>
    </row>
    <row r="25">
      <c r="A25" s="27" t="inlineStr">
        <is>
          <t>SMB-SA-CONSENT-002</t>
        </is>
      </c>
      <c r="B25" s="28" t="inlineStr">
        <is>
          <t>Consent Forms</t>
        </is>
      </c>
      <c r="C25" s="28" t="inlineStr">
        <is>
          <t>Color &amp; Token</t>
        </is>
      </c>
      <c r="D25" s="28" t="inlineStr">
        <is>
          <t>Minor</t>
        </is>
      </c>
      <c r="E25" s="28" t="inlineStr">
        <is>
          <t>Figma: The Implementing Agency / NGO value is plain body text in #1f2937, like every other cell.
Built: The value is a link in the primary navy #003366. Nothing else in the row is a link, and the column gives no indication of where the link goes. (Corrected 2026-09-10: an earlier draft called the link orange. Measured, it is #003366.)</t>
        </is>
      </c>
      <c r="F25" s="28" t="inlineStr">
        <is>
          <t>Decide whether the agency name opens anything. If it does, keep the navy and give it an affordance a reader can see; if it does not, set it as body text.</t>
        </is>
      </c>
      <c r="G25" s="28" t="inlineStr">
        <is>
          <t>https://www.figma.com/design/evmNmlK8g4VYwJVu2FwSGV/MoSJE-Portal--Handoff-?node-id=51873-194809</t>
        </is>
      </c>
      <c r="H25" s="28" t="inlineStr">
        <is>
          <t>https://smile-admin-dev.mosje.in/consent</t>
        </is>
      </c>
      <c r="I25" s="28" t="inlineStr">
        <is>
          <t>Open</t>
        </is>
      </c>
      <c r="J25" s="28" t="n"/>
      <c r="K25" s="28" t="n"/>
      <c r="L25" s="28" t="inlineStr">
        <is>
          <t>env: dev</t>
        </is>
      </c>
      <c r="M25" s="28" t="inlineStr">
        <is>
          <t>Screen</t>
        </is>
      </c>
    </row>
    <row r="26">
      <c r="A26" s="27" t="inlineStr">
        <is>
          <t>SMB-SA-NOTIF-001</t>
        </is>
      </c>
      <c r="B26" s="28" t="inlineStr">
        <is>
          <t>Notifications</t>
        </is>
      </c>
      <c r="C26" s="28" t="inlineStr">
        <is>
          <t>Components &amp; States</t>
        </is>
      </c>
      <c r="D26" s="28" t="inlineStr">
        <is>
          <t>Minor</t>
        </is>
      </c>
      <c r="E26" s="28" t="inlineStr">
        <is>
          <t>Figma: The empty card stands alone under the filters, with no header row above it.
Built: The full header row is drawn above the empty card, and its twelve labels wrap onto two lines.</t>
        </is>
      </c>
      <c r="F26" s="28" t="inlineStr">
        <is>
          <t>Hide the column header when there are no rows, as the design does, so the empty state reads as an answer rather than a broken table.</t>
        </is>
      </c>
      <c r="G26" s="28" t="inlineStr">
        <is>
          <t>https://www.figma.com/design/evmNmlK8g4VYwJVu2FwSGV/MoSJE-Portal--Handoff-?node-id=51830-237991</t>
        </is>
      </c>
      <c r="H26" s="28" t="inlineStr">
        <is>
          <t>https://smile-admin-dev.mosje.in/notifications</t>
        </is>
      </c>
      <c r="I26" s="28" t="inlineStr">
        <is>
          <t>Open</t>
        </is>
      </c>
      <c r="J26" s="28" t="n"/>
      <c r="K26" s="28" t="n"/>
      <c r="L26" s="28" t="inlineStr">
        <is>
          <t>env: dev</t>
        </is>
      </c>
      <c r="M26" s="28" t="inlineStr">
        <is>
          <t>Screen</t>
        </is>
      </c>
    </row>
    <row r="27">
      <c r="A27" s="27" t="inlineStr">
        <is>
          <t>SMB-SA-PERSONS-001</t>
        </is>
      </c>
      <c r="B27" s="28" t="inlineStr">
        <is>
          <t>Beneficiary List</t>
        </is>
      </c>
      <c r="C27" s="28" t="inlineStr">
        <is>
          <t>Components &amp; States</t>
        </is>
      </c>
      <c r="D27" s="28" t="inlineStr">
        <is>
          <t>Major</t>
        </is>
      </c>
      <c r="E27" s="28" t="inlineStr">
        <is>
          <t>Figma: The Figma section draws only the populated list — five KPI cards with figures and rows with colour-coded status pills. There is no frame for what the screen looks like while the data is on its way.
Built: On the live build the KPI figures and every table row are grey placeholder bars for a noticeable stretch before the data arrives (timed at up to 25 seconds on a fast connection). Shelter Occupants behaves the same way. So the state a reader actually sees on arrival is one nobody designed.</t>
        </is>
      </c>
      <c r="F27" s="28" t="inlineStr">
        <is>
          <t>Design the loading state — a skeleton in the shape of the result, so the layout does not jump when the data lands — and add it to the Figma section for this screen and Shelter Occupants. How long the wait itself should be is an engineering question, recorded separately, not raised here.</t>
        </is>
      </c>
      <c r="G27" s="28" t="inlineStr">
        <is>
          <t>https://www.figma.com/design/evmNmlK8g4VYwJVu2FwSGV/MoSJE-Portal--Handoff-?node-id=8664-57337</t>
        </is>
      </c>
      <c r="H27" s="28" t="inlineStr">
        <is>
          <t>https://smile-admin-dev.mosje.in/persons</t>
        </is>
      </c>
      <c r="I27" s="28" t="inlineStr">
        <is>
          <t>Open</t>
        </is>
      </c>
      <c r="J27" s="28" t="n"/>
      <c r="K27" s="28" t="n"/>
      <c r="L27" s="28" t="inlineStr">
        <is>
          <t>env: dev</t>
        </is>
      </c>
      <c r="M27" s="28" t="inlineStr">
        <is>
          <t>Screen</t>
        </is>
      </c>
    </row>
    <row r="28">
      <c r="A28" s="27" t="inlineStr">
        <is>
          <t>SMB-SA-PERSONS-002</t>
        </is>
      </c>
      <c r="B28" s="28" t="inlineStr">
        <is>
          <t>Beneficiary List</t>
        </is>
      </c>
      <c r="C28" s="28" t="inlineStr">
        <is>
          <t>Color &amp; Token</t>
        </is>
      </c>
      <c r="D28" s="28" t="inlineStr">
        <is>
          <t>Major</t>
        </is>
      </c>
      <c r="E28" s="28" t="inlineStr">
        <is>
          <t>Figma: Status is colour-coded so the column can be scanned: IDENTIFIED blue #1558b0 on #d2e3fc, SUBMITTED navy #002b55 on #c8dbf0, REHABILITATION and MOBILIZED green #27682a on #c8e6c9, UNDER MOBILIZATION amber #8c571f on #ffe4bf.
Built: Every chip renders in the same blue — #1d4ed8 on #eff6ff — so IDENTIFIED, APPROVED_BY_IA, MOBILIZED and REHABILITATED are visually identical.</t>
        </is>
      </c>
      <c r="F28" s="28" t="inlineStr">
        <is>
          <t>Colour-code the statuses as the design does. A status column where every value looks the same cannot be scanned, which is the only reason it is a column.</t>
        </is>
      </c>
      <c r="G28" s="28" t="inlineStr">
        <is>
          <t>https://www.figma.com/design/evmNmlK8g4VYwJVu2FwSGV/MoSJE-Portal--Handoff-?node-id=8664-57337</t>
        </is>
      </c>
      <c r="H28" s="28" t="inlineStr">
        <is>
          <t>https://smile-admin-dev.mosje.in/persons</t>
        </is>
      </c>
      <c r="I28" s="28" t="inlineStr">
        <is>
          <t>Open</t>
        </is>
      </c>
      <c r="J28" s="28" t="n"/>
      <c r="K28" s="28" t="n"/>
      <c r="L28" s="28" t="inlineStr">
        <is>
          <t>env: dev</t>
        </is>
      </c>
      <c r="M28" s="28" t="inlineStr">
        <is>
          <t>Screen</t>
        </is>
      </c>
    </row>
    <row r="29">
      <c r="A29" s="27" t="inlineStr">
        <is>
          <t>SMB-SA-PERSONS-003</t>
        </is>
      </c>
      <c r="B29" s="28" t="inlineStr">
        <is>
          <t>Beneficiary List</t>
        </is>
      </c>
      <c r="C29" s="28" t="inlineStr">
        <is>
          <t>Color &amp; Token</t>
        </is>
      </c>
      <c r="D29" s="28" t="inlineStr">
        <is>
          <t>Nit</t>
        </is>
      </c>
      <c r="E29" s="28" t="inlineStr">
        <is>
          <t>Figma: IDENTIFIED is drawn twice on the frame: blue #1558b0 on #d2e3fc in the first row, and amber #8c571f on #ffe4bf in the sixth. Every other status is consistent — SUBMITTED navy, REHABILITATION and MOBILIZED green, UNDER MOBILIZATION amber.
Built: The build gives every status the same blue, so it does not reproduce the inconsistency; it loses the colour-coding instead (S16).</t>
        </is>
      </c>
      <c r="F29" s="28" t="inlineStr">
        <is>
          <t>Pick one colour for IDENTIFIED in the design frame before the colour-coding is built, or the same ambiguity is built in.</t>
        </is>
      </c>
      <c r="G29" s="28" t="inlineStr">
        <is>
          <t>https://www.figma.com/design/evmNmlK8g4VYwJVu2FwSGV/MoSJE-Portal--Handoff-?node-id=8664-57337</t>
        </is>
      </c>
      <c r="H29" s="28" t="inlineStr">
        <is>
          <t>https://smile-admin-dev.mosje.in/persons</t>
        </is>
      </c>
      <c r="I29" s="28" t="inlineStr">
        <is>
          <t>Open</t>
        </is>
      </c>
      <c r="J29" s="28" t="n"/>
      <c r="K29" s="28" t="n"/>
      <c r="L29" s="28" t="inlineStr">
        <is>
          <t>env: dev</t>
        </is>
      </c>
      <c r="M29" s="28" t="inlineStr">
        <is>
          <t>Screen</t>
        </is>
      </c>
    </row>
    <row r="30">
      <c r="A30" s="27" t="inlineStr">
        <is>
          <t>SMB-AUTH-001</t>
        </is>
      </c>
      <c r="B30" s="28" t="inlineStr">
        <is>
          <t>Sign In</t>
        </is>
      </c>
      <c r="C30" s="28" t="inlineStr">
        <is>
          <t>Typography</t>
        </is>
      </c>
      <c r="D30" s="28" t="inlineStr">
        <is>
          <t>Major</t>
        </is>
      </c>
      <c r="E30" s="28" t="inlineStr">
        <is>
          <t>Figma: Every string on the designed sign-in frames is Noto Sans.
Built: Four elements render in Plus Jakarta Sans — the 'Log in to your account' heading, the Log In button, 'Implementing Agency?' and 'Sign in with OTP' — measured on the live page. Everything around them is Noto Sans, so the panel is set in two typefaces at once.</t>
        </is>
      </c>
      <c r="F30" s="28" t="inlineStr">
        <is>
          <t>Set all four to Noto Sans. The estate mandates it on every government property, and this is the first screen anyone sees.</t>
        </is>
      </c>
      <c r="G30" s="28" t="inlineStr">
        <is>
          <t>https://www.figma.com/design/evmNmlK8g4VYwJVu2FwSGV/MoSJE-Portal--Handoff-?node-id=8383-55268</t>
        </is>
      </c>
      <c r="H30" s="28" t="inlineStr">
        <is>
          <t>https://smile-admin-dev.mosje.in/login</t>
        </is>
      </c>
      <c r="I30" s="28" t="inlineStr">
        <is>
          <t>Open</t>
        </is>
      </c>
      <c r="J30" s="28" t="n"/>
      <c r="K30" s="28" t="n"/>
      <c r="L30" s="28" t="inlineStr">
        <is>
          <t>env: dev</t>
        </is>
      </c>
      <c r="M30" s="28" t="inlineStr">
        <is>
          <t>Screen</t>
        </is>
      </c>
    </row>
    <row r="31">
      <c r="A31" s="27" t="inlineStr">
        <is>
          <t>SMB-AUTH-002</t>
        </is>
      </c>
      <c r="B31" s="28" t="inlineStr">
        <is>
          <t>Sign In</t>
        </is>
      </c>
      <c r="C31" s="28" t="inlineStr">
        <is>
          <t>Typography</t>
        </is>
      </c>
      <c r="D31" s="28" t="inlineStr">
        <is>
          <t>Major</t>
        </is>
      </c>
      <c r="E31" s="28" t="inlineStr">
        <is>
          <t>Figma: 56px Bold.
Built: 30px. The lock-up is the largest thing on the designed screen and is no longer.</t>
        </is>
      </c>
      <c r="F31" s="28" t="inlineStr">
        <is>
          <t>Set the wordmark to 56px Bold.</t>
        </is>
      </c>
      <c r="G31" s="28" t="inlineStr">
        <is>
          <t>https://www.figma.com/design/evmNmlK8g4VYwJVu2FwSGV/MoSJE-Portal--Handoff-?node-id=8383-55268</t>
        </is>
      </c>
      <c r="H31" s="28" t="inlineStr">
        <is>
          <t>https://smile-admin-dev.mosje.in/login</t>
        </is>
      </c>
      <c r="I31" s="28" t="inlineStr">
        <is>
          <t>Open</t>
        </is>
      </c>
      <c r="J31" s="28" t="n"/>
      <c r="K31" s="28" t="n"/>
      <c r="L31" s="28" t="inlineStr">
        <is>
          <t>env: dev</t>
        </is>
      </c>
      <c r="M31" s="28" t="inlineStr">
        <is>
          <t>Screen</t>
        </is>
      </c>
    </row>
    <row r="32">
      <c r="A32" s="27" t="inlineStr">
        <is>
          <t>SMB-AUTH-003</t>
        </is>
      </c>
      <c r="B32" s="28" t="inlineStr">
        <is>
          <t>Sign In</t>
        </is>
      </c>
      <c r="C32" s="28" t="inlineStr">
        <is>
          <t>Typography</t>
        </is>
      </c>
      <c r="D32" s="28" t="inlineStr">
        <is>
          <t>Major</t>
        </is>
      </c>
      <c r="E32" s="28" t="inlineStr">
        <is>
          <t>Figma: 18px Medium in the ink colour #1f2937.
Built: 13px Medium in the primary navy #003366.</t>
        </is>
      </c>
      <c r="F32" s="28" t="inlineStr">
        <is>
          <t>Set it to 18px. If it should read as a link rather than as text, that is a design decision to make in the frame — the build should not decide it alone.</t>
        </is>
      </c>
      <c r="G32" s="28" t="inlineStr">
        <is>
          <t>https://www.figma.com/design/evmNmlK8g4VYwJVu2FwSGV/MoSJE-Portal--Handoff-?node-id=8383-55268</t>
        </is>
      </c>
      <c r="H32" s="28" t="inlineStr">
        <is>
          <t>https://smile-admin-dev.mosje.in/login</t>
        </is>
      </c>
      <c r="I32" s="28" t="inlineStr">
        <is>
          <t>Open</t>
        </is>
      </c>
      <c r="J32" s="28" t="n"/>
      <c r="K32" s="28" t="n"/>
      <c r="L32" s="28" t="inlineStr">
        <is>
          <t>env: dev</t>
        </is>
      </c>
      <c r="M32" s="28" t="inlineStr">
        <is>
          <t>Screen</t>
        </is>
      </c>
    </row>
    <row r="33">
      <c r="A33" s="27" t="inlineStr">
        <is>
          <t>SMB-AUTH-005</t>
        </is>
      </c>
      <c r="B33" s="28" t="inlineStr">
        <is>
          <t>Sign In</t>
        </is>
      </c>
      <c r="C33" s="28" t="inlineStr">
        <is>
          <t>Typography</t>
        </is>
      </c>
      <c r="D33" s="28" t="inlineStr">
        <is>
          <t>Minor</t>
        </is>
      </c>
      <c r="E33" s="28" t="inlineStr">
        <is>
          <t>Figma: 'Justice. Equality. Dignity.' 28px Medium; the strapline beneath it 16px Regular.
Built: 24px Bold and 14px Regular.</t>
        </is>
      </c>
      <c r="F33" s="28" t="inlineStr">
        <is>
          <t>Restore 28px Medium and 16px Regular.</t>
        </is>
      </c>
      <c r="G33" s="28" t="inlineStr">
        <is>
          <t>https://www.figma.com/design/evmNmlK8g4VYwJVu2FwSGV/MoSJE-Portal--Handoff-?node-id=8383-55268</t>
        </is>
      </c>
      <c r="H33" s="28" t="inlineStr">
        <is>
          <t>https://smile-admin-dev.mosje.in/login</t>
        </is>
      </c>
      <c r="I33" s="28" t="inlineStr">
        <is>
          <t>Open</t>
        </is>
      </c>
      <c r="J33" s="28" t="n"/>
      <c r="K33" s="28" t="n"/>
      <c r="L33" s="28" t="inlineStr">
        <is>
          <t>env: dev</t>
        </is>
      </c>
      <c r="M33" s="28" t="inlineStr">
        <is>
          <t>Screen</t>
        </is>
      </c>
    </row>
    <row r="34">
      <c r="A34" s="27" t="inlineStr">
        <is>
          <t>SMB-AUTH-006</t>
        </is>
      </c>
      <c r="B34" s="28" t="inlineStr">
        <is>
          <t>Sign In</t>
        </is>
      </c>
      <c r="C34" s="28" t="inlineStr">
        <is>
          <t>Typography</t>
        </is>
      </c>
      <c r="D34" s="28" t="inlineStr">
        <is>
          <t>Minor</t>
        </is>
      </c>
      <c r="E34" s="28" t="inlineStr">
        <is>
          <t>Figma: SIGNING INTO 12px Medium, 'SMILE Beggary' 20px Bold, the description 14px Regular.
Built: 10px, 16px and 11px. The label also reads 'Signing into' rather than the design's uppercase SIGNING INTO.</t>
        </is>
      </c>
      <c r="F34" s="28" t="inlineStr">
        <is>
          <t>Restore 12 / 20 / 14 and settle the capitalisation in the frame.</t>
        </is>
      </c>
      <c r="G34" s="28" t="inlineStr">
        <is>
          <t>https://www.figma.com/design/evmNmlK8g4VYwJVu2FwSGV/MoSJE-Portal--Handoff-?node-id=8383-55268</t>
        </is>
      </c>
      <c r="H34" s="28" t="inlineStr">
        <is>
          <t>https://smile-admin-dev.mosje.in/login</t>
        </is>
      </c>
      <c r="I34" s="28" t="inlineStr">
        <is>
          <t>Open</t>
        </is>
      </c>
      <c r="J34" s="28" t="n"/>
      <c r="K34" s="28" t="n"/>
      <c r="L34" s="28" t="inlineStr">
        <is>
          <t>env: dev</t>
        </is>
      </c>
      <c r="M34" s="28" t="inlineStr">
        <is>
          <t>Screen</t>
        </is>
      </c>
    </row>
    <row r="35">
      <c r="A35" s="27" t="inlineStr">
        <is>
          <t>SMB-AUTH-007</t>
        </is>
      </c>
      <c r="B35" s="28" t="inlineStr">
        <is>
          <t>Sign In</t>
        </is>
      </c>
      <c r="C35" s="28" t="inlineStr">
        <is>
          <t>Typography</t>
        </is>
      </c>
      <c r="D35" s="28" t="inlineStr">
        <is>
          <t>Minor</t>
        </is>
      </c>
      <c r="E35" s="28" t="inlineStr">
        <is>
          <t>Figma: 'Email or Mobile Number' and 'Password' are 14px Medium in #1f2937.
Built: 13px SemiBold in #334155.</t>
        </is>
      </c>
      <c r="F35" s="28" t="inlineStr">
        <is>
          <t>Set both to 14px Medium #1f2937.</t>
        </is>
      </c>
      <c r="G35" s="28" t="inlineStr">
        <is>
          <t>https://www.figma.com/design/evmNmlK8g4VYwJVu2FwSGV/MoSJE-Portal--Handoff-?node-id=8383-55268</t>
        </is>
      </c>
      <c r="H35" s="28" t="inlineStr">
        <is>
          <t>https://smile-admin-dev.mosje.in/login</t>
        </is>
      </c>
      <c r="I35" s="28" t="inlineStr">
        <is>
          <t>Open</t>
        </is>
      </c>
      <c r="J35" s="28" t="n"/>
      <c r="K35" s="28" t="n"/>
      <c r="L35" s="28" t="inlineStr">
        <is>
          <t>env: dev</t>
        </is>
      </c>
      <c r="M35" s="28" t="inlineStr">
        <is>
          <t>Screen</t>
        </is>
      </c>
    </row>
    <row r="36">
      <c r="A36" s="27" t="inlineStr">
        <is>
          <t>SMB-AUTH-008</t>
        </is>
      </c>
      <c r="B36" s="28" t="inlineStr">
        <is>
          <t>Sign In</t>
        </is>
      </c>
      <c r="C36" s="28" t="inlineStr">
        <is>
          <t>Components &amp; States</t>
        </is>
      </c>
      <c r="D36" s="28" t="inlineStr">
        <is>
          <t>Minor</t>
        </is>
      </c>
      <c r="E36" s="28" t="inlineStr">
        <is>
          <t>Figma: The form is: two fields, Forgot Password, Log In, then the Implementing Agency link.
Built: The build adds a 'Remember me' checkbox and an 'OR' divider above the Implementing Agency link, plus a version and build stamp in the bottom corner.</t>
        </is>
      </c>
      <c r="F36" s="28" t="inlineStr">
        <is>
          <t>Confirm all three are intended. If they are, add them to the frame — a checkbox that stores a sign-in preference is a design decision, not an implementation detail.</t>
        </is>
      </c>
      <c r="G36" s="28" t="inlineStr">
        <is>
          <t>https://www.figma.com/design/evmNmlK8g4VYwJVu2FwSGV/MoSJE-Portal--Handoff-?node-id=8383-55268</t>
        </is>
      </c>
      <c r="H36" s="28" t="inlineStr">
        <is>
          <t>https://smile-admin-dev.mosje.in/login</t>
        </is>
      </c>
      <c r="I36" s="28" t="inlineStr">
        <is>
          <t>Open</t>
        </is>
      </c>
      <c r="J36" s="28" t="n"/>
      <c r="K36" s="28" t="n"/>
      <c r="L36" s="28" t="inlineStr">
        <is>
          <t>env: dev</t>
        </is>
      </c>
      <c r="M36" s="28" t="inlineStr">
        <is>
          <t>Screen</t>
        </is>
      </c>
    </row>
    <row r="37">
      <c r="A37" s="27" t="inlineStr">
        <is>
          <t>SMB-AUTH-004</t>
        </is>
      </c>
      <c r="B37" s="28" t="inlineStr">
        <is>
          <t>Choose Portal</t>
        </is>
      </c>
      <c r="C37" s="28" t="inlineStr">
        <is>
          <t>Components &amp; States</t>
        </is>
      </c>
      <c r="D37" s="28" t="inlineStr">
        <is>
          <t>Major</t>
        </is>
      </c>
      <c r="E37" s="28" t="inlineStr">
        <is>
          <t>Figma: The Choose Portal frame's login panel reads 'Log in to your account / Select your role to continue', with a 'Your role' field set to Super Admin above the email and password fields.
Built: There is no role selector. The panel goes straight from the heading to Email or Mobile Number. (The portal drawer itself matches — both design and build present the portals as a right-hand drawer with orange titles.)</t>
        </is>
      </c>
      <c r="F37" s="28" t="inlineStr">
        <is>
          <t>Confirm whether the role is chosen at sign-in or derived from the account. If it is derived, remove the selector from the design frame; if it is chosen, build it.</t>
        </is>
      </c>
      <c r="G37" s="28" t="inlineStr">
        <is>
          <t>https://www.figma.com/design/evmNmlK8g4VYwJVu2FwSGV/MoSJE-Portal--Handoff-?node-id=8383-55528</t>
        </is>
      </c>
      <c r="H37" s="28" t="inlineStr">
        <is>
          <t>https://smile-admin-dev.mosje.in/login</t>
        </is>
      </c>
      <c r="I37" s="28" t="inlineStr">
        <is>
          <t>Open</t>
        </is>
      </c>
      <c r="J37" s="28" t="n"/>
      <c r="K37" s="28" t="n"/>
      <c r="L37" s="28" t="inlineStr">
        <is>
          <t>env: dev</t>
        </is>
      </c>
      <c r="M37" s="28" t="inlineStr">
        <is>
          <t>Screen</t>
        </is>
      </c>
    </row>
    <row r="38">
      <c r="A38" s="27" t="inlineStr">
        <is>
          <t>SMB-SA-SURVEYORS-001</t>
        </is>
      </c>
      <c r="B38" s="28" t="inlineStr">
        <is>
          <t>Surveyor Mappings</t>
        </is>
      </c>
      <c r="C38" s="28" t="inlineStr">
        <is>
          <t>Content &amp; Iconography</t>
        </is>
      </c>
      <c r="D38" s="28" t="inlineStr">
        <is>
          <t>Nit</t>
        </is>
      </c>
      <c r="E38" s="28" t="inlineStr">
        <is>
          <t>Figma: The design frame reads 'Total Mapping' and 'Distinct Survey'.
Built: The build reads 'Total Mappings' and 'Distinct Surveyors' — the complete words.</t>
        </is>
      </c>
      <c r="F38" s="28" t="inlineStr">
        <is>
          <t>The build is right and the design frame is truncated. Fix the Figma labels so this does not get reported as a build defect at the next review.</t>
        </is>
      </c>
      <c r="G38" s="28" t="inlineStr">
        <is>
          <t>https://www.figma.com/design/evmNmlK8g4VYwJVu2FwSGV/MoSJE-Portal--Handoff-?node-id=51699-165683</t>
        </is>
      </c>
      <c r="H38" s="28" t="inlineStr">
        <is>
          <t>https://smile-admin-dev.mosje.in/surveyor-mapped</t>
        </is>
      </c>
      <c r="I38" s="28" t="inlineStr">
        <is>
          <t>Open</t>
        </is>
      </c>
      <c r="J38" s="28" t="n"/>
      <c r="K38" s="28" t="n"/>
      <c r="L38" s="28" t="inlineStr">
        <is>
          <t>env: dev</t>
        </is>
      </c>
      <c r="M38" s="28" t="inlineStr">
        <is>
          <t>Screen</t>
        </is>
      </c>
    </row>
    <row r="39">
      <c r="A39" s="27" t="inlineStr">
        <is>
          <t>SMB-SA-SHELTEROCC-001</t>
        </is>
      </c>
      <c r="B39" s="28" t="inlineStr">
        <is>
          <t>Shelter Occupants</t>
        </is>
      </c>
      <c r="C39" s="28" t="inlineStr">
        <is>
          <t>Components &amp; States</t>
        </is>
      </c>
      <c r="D39" s="28" t="inlineStr">
        <is>
          <t>Major</t>
        </is>
      </c>
      <c r="E39" s="28" t="inlineStr">
        <is>
          <t>Figma: Five columns render inside the 1440 frame — Beneficiary Name, Beneficiary ID, Beneficiary Type, Facility Status, Actions — and seven more sit OUTSIDE it at x=1274 to x=2849 (a second Actions, Gender, Age, Survey Location, State, Shelter Home Name, Shelter Home Type), along with a five-figure KPI strip. Nothing outside the frame renders, so a developer opening this frame sees five columns.
Built: Twelve columns: S.No., Beneficiary ID, Beneficiary Name, Gender, Age, Survey Location, Survey Date, State, Swashraya (Shelter Home) Type, Beneficiary Type, Swashraya (Shelter Home) Name, Facility Status. Most of them match the design's hidden set. Actions is not among them, so there is no per-row action at all.</t>
        </is>
      </c>
      <c r="F39" s="28" t="inlineStr">
        <is>
          <t>Two jobs. Bring the seven stray columns and the KPI strip inside the frame so the design says what it means, and build the Actions column or drop it deliberately. (Corrected 2026-09-10: an earlier draft read the frame as specifying five columns. It specifies twelve; seven of them are drawn where they cannot be seen.)</t>
        </is>
      </c>
      <c r="G39" s="28" t="inlineStr">
        <is>
          <t>https://www.figma.com/design/evmNmlK8g4VYwJVu2FwSGV/MoSJE-Portal--Handoff-?node-id=51712-164958</t>
        </is>
      </c>
      <c r="H39" s="28" t="inlineStr">
        <is>
          <t>https://smile-admin-dev.mosje.in/shelter-homes/beneficiaries</t>
        </is>
      </c>
      <c r="I39" s="28" t="inlineStr">
        <is>
          <t>Open</t>
        </is>
      </c>
      <c r="J39" s="28" t="n"/>
      <c r="K39" s="28" t="n"/>
      <c r="L39" s="28" t="inlineStr">
        <is>
          <t>env: dev</t>
        </is>
      </c>
      <c r="M39" s="28" t="inlineStr">
        <is>
          <t>Screen</t>
        </is>
      </c>
    </row>
    <row r="40">
      <c r="A40" s="27" t="inlineStr">
        <is>
          <t>SMB-SA-SHELTEROCC-002</t>
        </is>
      </c>
      <c r="B40" s="28" t="inlineStr">
        <is>
          <t>Shelter Occupants</t>
        </is>
      </c>
      <c r="C40" s="28" t="inlineStr">
        <is>
          <t>Layout &amp; Spacing</t>
        </is>
      </c>
      <c r="D40" s="28" t="inlineStr">
        <is>
          <t>Major</t>
        </is>
      </c>
      <c r="E40" s="28" t="inlineStr">
        <is>
          <t>Figma: Shelter Occupants holds seven table columns and a five-figure KPI strip at x=1274–2849; Rehab Data holds Status and District at x=1519 and x=1794; Skill &amp; Training holds Status and District at x=1540 and x=1805. The frames are 1440 wide, so none of it renders — it is invisible in the exported frame, in Dev Mode, and in any screenshot taken from Figma.
Built: The build shows most of those columns, which is how they were found: the build was reading a specification the design frame does not display.</t>
        </is>
      </c>
      <c r="F40" s="28" t="inlineStr">
        <is>
          <t>Move the stray content inside the frame, or delete it if it is superseded. Anything a developer cannot see is not a specification. This is a design-file defect, not a build one.</t>
        </is>
      </c>
      <c r="G40" s="28" t="inlineStr">
        <is>
          <t>https://www.figma.com/design/evmNmlK8g4VYwJVu2FwSGV/MoSJE-Portal--Handoff-?node-id=51712-164958</t>
        </is>
      </c>
      <c r="H40" s="28" t="inlineStr">
        <is>
          <t>https://smile-admin-dev.mosje.in/shelter-homes/beneficiaries</t>
        </is>
      </c>
      <c r="I40" s="28" t="inlineStr">
        <is>
          <t>Open</t>
        </is>
      </c>
      <c r="J40" s="28" t="n"/>
      <c r="K40" s="28" t="n"/>
      <c r="L40" s="28" t="inlineStr">
        <is>
          <t>env: dev</t>
        </is>
      </c>
      <c r="M40" s="28" t="inlineStr">
        <is>
          <t>Screen</t>
        </is>
      </c>
    </row>
    <row r="41">
      <c r="A41" s="27" t="inlineStr">
        <is>
          <t>SMB-SA-MASTER-001</t>
        </is>
      </c>
      <c r="B41" s="28" t="inlineStr">
        <is>
          <t>Master Settings</t>
        </is>
      </c>
      <c r="C41" s="28" t="inlineStr">
        <is>
          <t>Components &amp; States</t>
        </is>
      </c>
      <c r="D41" s="28" t="inlineStr">
        <is>
          <t>Major</t>
        </is>
      </c>
      <c r="E41" s="28" t="inlineStr">
        <is>
          <t>Figma: Heading, sub-line, then a rail of five tabs — Geography, Roles &amp; Permission, Survey Questionnaire, Agency, Operational — with an overflow control for the rest, then the table.
Built: The same rail carries all nine tabs at once, and above it sits a four-figure strip: Active Tab / Geography Masters, Records / 36, Mode / Read-only, Your Access / Full access. The strip is in no design frame.</t>
        </is>
      </c>
      <c r="F41" s="28" t="inlineStr">
        <is>
          <t>Decide whether the strip stays; if it does, draw it. Either show five tabs and an overflow as designed or widen the rail deliberately. 'Mode: Read-only' beside 'Your Access: Full access' also needs settling — on the same screen they say opposite things. (Corrected 2026-09-10: an earlier draft said the design had no tab rail. It has one; the query that reported otherwise had read a partly-loaded Figma page.)</t>
        </is>
      </c>
      <c r="G41" s="28" t="inlineStr">
        <is>
          <t>https://www.figma.com/design/evmNmlK8g4VYwJVu2FwSGV/MoSJE-Portal--Handoff-?node-id=51836-240081</t>
        </is>
      </c>
      <c r="H41" s="28" t="inlineStr">
        <is>
          <t>https://smile-admin-dev.mosje.in/master-setting</t>
        </is>
      </c>
      <c r="I41" s="28" t="inlineStr">
        <is>
          <t>Open</t>
        </is>
      </c>
      <c r="J41" s="28" t="n"/>
      <c r="K41" s="28" t="n"/>
      <c r="L41" s="28" t="inlineStr">
        <is>
          <t>env: dev</t>
        </is>
      </c>
      <c r="M41" s="28" t="inlineStr">
        <is>
          <t>Screen</t>
        </is>
      </c>
    </row>
    <row r="42">
      <c r="A42" s="27" t="inlineStr">
        <is>
          <t>SMB-SA-MASTER-002</t>
        </is>
      </c>
      <c r="B42" s="28" t="inlineStr">
        <is>
          <t>Master Settings</t>
        </is>
      </c>
      <c r="C42" s="28" t="inlineStr">
        <is>
          <t>Components &amp; States</t>
        </is>
      </c>
      <c r="D42" s="28" t="inlineStr">
        <is>
          <t>Minor</t>
        </is>
      </c>
      <c r="E42" s="28" t="inlineStr">
        <is>
          <t>Figma: Three columns: State Code, State Name, Local Name.
Built: Five: #, State Code, State Name, Local Name, Actions.</t>
        </is>
      </c>
      <c r="F42" s="28" t="inlineStr">
        <is>
          <t>Confirm both additions and add them to the design frame. A row number and an edit action are reasonable on a master list; they simply are not specified anywhere yet.</t>
        </is>
      </c>
      <c r="G42" s="28" t="inlineStr">
        <is>
          <t>https://www.figma.com/design/evmNmlK8g4VYwJVu2FwSGV/MoSJE-Portal--Handoff-?node-id=51836-240081</t>
        </is>
      </c>
      <c r="H42" s="28" t="inlineStr">
        <is>
          <t>https://smile-admin-dev.mosje.in/master-setting</t>
        </is>
      </c>
      <c r="I42" s="28" t="inlineStr">
        <is>
          <t>Open</t>
        </is>
      </c>
      <c r="J42" s="28" t="n"/>
      <c r="K42" s="28" t="n"/>
      <c r="L42" s="28" t="inlineStr">
        <is>
          <t>env: dev</t>
        </is>
      </c>
      <c r="M42" s="28" t="inlineStr">
        <is>
          <t>Screen</t>
        </is>
      </c>
    </row>
    <row r="43">
      <c r="A43" s="27" t="inlineStr">
        <is>
          <t>SMB-SA-REHAB-001</t>
        </is>
      </c>
      <c r="B43" s="28" t="inlineStr">
        <is>
          <t>Rehab Data</t>
        </is>
      </c>
      <c r="C43" s="28" t="inlineStr">
        <is>
          <t>Components &amp; States</t>
        </is>
      </c>
      <c r="D43" s="28" t="inlineStr">
        <is>
          <t>Major</t>
        </is>
      </c>
      <c r="E43" s="28" t="inlineStr">
        <is>
          <t>Figma: Seven columns: Beneficiary Name, Gender, Age, Type, Category/Specify, State/District, Follow-UP Status.
Built: Gender and Age are absent. 'Beneficiary Name' is shortened to 'Beneficiary', and a 'Captured On' column is added that the design does not have.</t>
        </is>
      </c>
      <c r="F43" s="28" t="inlineStr">
        <is>
          <t>Restore Gender and Age — on a rehabilitation register they are the two fields the design put first after the name. Keep the full 'Beneficiary Name' label, and add 'Captured On' to the design if it is staying.</t>
        </is>
      </c>
      <c r="G43" s="28" t="inlineStr">
        <is>
          <t>https://www.figma.com/design/evmNmlK8g4VYwJVu2FwSGV/MoSJE-Portal--Handoff-?node-id=51742-166982</t>
        </is>
      </c>
      <c r="H43" s="28" t="inlineStr">
        <is>
          <t>https://smile-admin-dev.mosje.in/comprehensive-rehab/data</t>
        </is>
      </c>
      <c r="I43" s="28" t="inlineStr">
        <is>
          <t>Open</t>
        </is>
      </c>
      <c r="J43" s="28" t="n"/>
      <c r="K43" s="28" t="n"/>
      <c r="L43" s="28" t="inlineStr">
        <is>
          <t>env: dev</t>
        </is>
      </c>
      <c r="M43" s="28" t="inlineStr">
        <is>
          <t>Screen</t>
        </is>
      </c>
    </row>
    <row r="44">
      <c r="A44" s="27" t="inlineStr">
        <is>
          <t>SMB-SA-SKILL-001</t>
        </is>
      </c>
      <c r="B44" s="28" t="inlineStr">
        <is>
          <t>Skill &amp; Training</t>
        </is>
      </c>
      <c r="C44" s="28" t="inlineStr">
        <is>
          <t>Components &amp; States</t>
        </is>
      </c>
      <c r="D44" s="28" t="inlineStr">
        <is>
          <t>Minor</t>
        </is>
      </c>
      <c r="E44" s="28" t="inlineStr">
        <is>
          <t>Figma: Seven columns render: Beneficiary ID, Beneficiary Name, Gender, Age, Duration of Skill and Training, Skill and Training Type, Survey Location. Two more — Status and District — sit outside the 1440 frame at x=1540 and x=1805, where they do not render.
Built: Twelve: the designed seven, the two strays, plus S.No., Shelter Name and State, which are in no design at all.</t>
        </is>
      </c>
      <c r="F44" s="28" t="inlineStr">
        <is>
          <t>Bring Status and District inside the frame, and confirm S.No., Shelter Name and State. Twelve columns at 1440 is what pushes this table into horizontal scrolling.</t>
        </is>
      </c>
      <c r="G44" s="28" t="inlineStr">
        <is>
          <t>https://www.figma.com/design/evmNmlK8g4VYwJVu2FwSGV/MoSJE-Portal--Handoff-?node-id=51742-164435</t>
        </is>
      </c>
      <c r="H44" s="28" t="inlineStr">
        <is>
          <t>https://smile-admin-dev.mosje.in/comprehensive-rehab/skill-training</t>
        </is>
      </c>
      <c r="I44" s="28" t="inlineStr">
        <is>
          <t>Open</t>
        </is>
      </c>
      <c r="J44" s="28" t="n"/>
      <c r="K44" s="28" t="n"/>
      <c r="L44" s="28" t="inlineStr">
        <is>
          <t>env: dev</t>
        </is>
      </c>
      <c r="M44" s="28" t="inlineStr">
        <is>
          <t>Screen</t>
        </is>
      </c>
    </row>
    <row r="45">
      <c r="A45" s="27" t="inlineStr">
        <is>
          <t>SMB-SA-SKILL-002</t>
        </is>
      </c>
      <c r="B45" s="28" t="inlineStr">
        <is>
          <t>Skill &amp; Training</t>
        </is>
      </c>
      <c r="C45" s="28" t="inlineStr">
        <is>
          <t>Layout &amp; Spacing</t>
        </is>
      </c>
      <c r="D45" s="28" t="inlineStr">
        <is>
          <t>Nit</t>
        </is>
      </c>
      <c r="E45" s="28" t="inlineStr">
        <is>
          <t>Figma: 'Duration of Skill and Training' and 'Skill and Training Type' are drawn at y=362 while Beneficiary ID, Beneficiary Name, Gender and Age are at y=372: the two long labels wrap to a second line and are top-aligned where the short ones are not.
Built: The build's header cells all share one baseline.</t>
        </is>
      </c>
      <c r="F45" s="28" t="inlineStr">
        <is>
          <t>The build is right. Align the design's header cells to one baseline so the frame stops disagreeing with itself.</t>
        </is>
      </c>
      <c r="G45" s="28" t="inlineStr">
        <is>
          <t>https://www.figma.com/design/evmNmlK8g4VYwJVu2FwSGV/MoSJE-Portal--Handoff-?node-id=51742-164435</t>
        </is>
      </c>
      <c r="H45" s="28" t="inlineStr">
        <is>
          <t>https://smile-admin-dev.mosje.in/comprehensive-rehab/skill-training</t>
        </is>
      </c>
      <c r="I45" s="28" t="inlineStr">
        <is>
          <t>Open</t>
        </is>
      </c>
      <c r="J45" s="28" t="n"/>
      <c r="K45" s="28" t="n"/>
      <c r="L45" s="28" t="inlineStr">
        <is>
          <t>env: dev</t>
        </is>
      </c>
      <c r="M45" s="28" t="inlineStr">
        <is>
          <t>Screen</t>
        </is>
      </c>
    </row>
    <row r="46">
      <c r="A46" s="27" t="inlineStr">
        <is>
          <t>SMB-SA-CITY-001</t>
        </is>
      </c>
      <c r="B46" s="28" t="inlineStr">
        <is>
          <t>City Profiling</t>
        </is>
      </c>
      <c r="C46" s="28" t="inlineStr">
        <is>
          <t>Layout &amp; Spacing</t>
        </is>
      </c>
      <c r="D46" s="28" t="inlineStr">
        <is>
          <t>Major</t>
        </is>
      </c>
      <c r="E46" s="28" t="inlineStr">
        <is>
          <t>Figma: Ten columns fit inside the 1440 frame, the last (Utilized (₹)) ending at about x=1400.
Built: The same ten columns run to x=1554, so Fund Utilised sits outside the 1440 viewport and can only be reached by scrolling the table sideways. Measured on the live page at a 1440 viewport.</t>
        </is>
      </c>
      <c r="F46" s="28" t="inlineStr">
        <is>
          <t>Fit the ten columns inside the viewport — the design does it by using short headers ('Cities', 'Identified', 'Released (₹)') where the build spells them out.</t>
        </is>
      </c>
      <c r="G46" s="28" t="inlineStr">
        <is>
          <t>https://www.figma.com/design/evmNmlK8g4VYwJVu2FwSGV/MoSJE-Portal--Handoff-?node-id=51891-441340</t>
        </is>
      </c>
      <c r="H46" s="28" t="inlineStr">
        <is>
          <t>https://smile-admin-dev.mosje.in/city-profiling</t>
        </is>
      </c>
      <c r="I46" s="28" t="inlineStr">
        <is>
          <t>Open</t>
        </is>
      </c>
      <c r="J46" s="28" t="n"/>
      <c r="K46" s="28" t="n"/>
      <c r="L46" s="28" t="inlineStr">
        <is>
          <t>env: dev</t>
        </is>
      </c>
      <c r="M46" s="28" t="inlineStr">
        <is>
          <t>Screen</t>
        </is>
      </c>
    </row>
    <row r="47">
      <c r="A47" s="27" t="inlineStr">
        <is>
          <t>SMB-SA-CITY-002</t>
        </is>
      </c>
      <c r="B47" s="28" t="inlineStr">
        <is>
          <t>City Profiling</t>
        </is>
      </c>
      <c r="C47" s="28" t="inlineStr">
        <is>
          <t>Components &amp; States</t>
        </is>
      </c>
      <c r="D47" s="28" t="inlineStr">
        <is>
          <t>Minor</t>
        </is>
      </c>
      <c r="E47" s="28" t="inlineStr">
        <is>
          <t>Figma: Four cards: States/UTs Onboarded, Total Cities Selected, Beneficiaries Identified, Funds Released. Each label sits on one line beside a 56px icon tile.
Built: Five: States/UTs Onboarded, Total Cities Selected, Beneficiary Identified/Surveyed, Fund Disbursed, Fund Utilised. Three of the five labels wrap onto two or three lines, so the figure sits at a different height on every card and the row no longer reads across.</t>
        </is>
      </c>
      <c r="F47" s="28" t="inlineStr">
        <is>
          <t>Add the fifth card to the design and agree the two renamed labels. Whatever the wording, size the cards so the label fits on one line — a row of figures a reader cannot compare across is the point of the row lost.</t>
        </is>
      </c>
      <c r="G47" s="28" t="inlineStr">
        <is>
          <t>https://www.figma.com/design/evmNmlK8g4VYwJVu2FwSGV/MoSJE-Portal--Handoff-?node-id=51891-441340</t>
        </is>
      </c>
      <c r="H47" s="28" t="inlineStr">
        <is>
          <t>https://smile-admin-dev.mosje.in/city-profiling</t>
        </is>
      </c>
      <c r="I47" s="28" t="inlineStr">
        <is>
          <t>Open</t>
        </is>
      </c>
      <c r="J47" s="28" t="n"/>
      <c r="K47" s="28" t="n"/>
      <c r="L47" s="28" t="inlineStr">
        <is>
          <t>env: dev</t>
        </is>
      </c>
      <c r="M47" s="28" t="inlineStr">
        <is>
          <t>Screen</t>
        </is>
      </c>
    </row>
    <row r="48">
      <c r="A48" s="27" t="inlineStr">
        <is>
          <t>SMB-SA-CITY-003</t>
        </is>
      </c>
      <c r="B48" s="28" t="inlineStr">
        <is>
          <t>City Profiling</t>
        </is>
      </c>
      <c r="C48" s="28" t="inlineStr">
        <is>
          <t>Color &amp; Token</t>
        </is>
      </c>
      <c r="D48" s="28" t="inlineStr">
        <is>
          <t>Minor</t>
        </is>
      </c>
      <c r="E48" s="28" t="inlineStr">
        <is>
          <t>Figma: Identified, Rehabilitated, Released (₹) and Utilized (₹) are drawn as tinted pills — blue, green, amber and red — so a reader can pick a state's performance out of the table at a glance.
Built: All four render as plain text in the body colour.</t>
        </is>
      </c>
      <c r="F48" s="28" t="inlineStr">
        <is>
          <t>Restore the four tinted pills. They are the only thing distinguishing ten numeric columns from each other.</t>
        </is>
      </c>
      <c r="G48" s="28" t="inlineStr">
        <is>
          <t>https://www.figma.com/design/evmNmlK8g4VYwJVu2FwSGV/MoSJE-Portal--Handoff-?node-id=51891-441340</t>
        </is>
      </c>
      <c r="H48" s="28" t="inlineStr">
        <is>
          <t>https://smile-admin-dev.mosje.in/city-profiling</t>
        </is>
      </c>
      <c r="I48" s="28" t="inlineStr">
        <is>
          <t>Open</t>
        </is>
      </c>
      <c r="J48" s="28" t="n"/>
      <c r="K48" s="28" t="n"/>
      <c r="L48" s="28" t="inlineStr">
        <is>
          <t>env: dev</t>
        </is>
      </c>
      <c r="M48" s="28" t="inlineStr">
        <is>
          <t>Screen</t>
        </is>
      </c>
    </row>
    <row r="49">
      <c r="A49" s="27" t="inlineStr">
        <is>
          <t>SMB-SA-PERF-001</t>
        </is>
      </c>
      <c r="B49" s="28" t="inlineStr">
        <is>
          <t>Performance Statistics</t>
        </is>
      </c>
      <c r="C49" s="28" t="inlineStr">
        <is>
          <t>Color &amp; Token</t>
        </is>
      </c>
      <c r="D49" s="28" t="inlineStr">
        <is>
          <t>Minor</t>
        </is>
      </c>
      <c r="E49" s="28" t="inlineStr">
        <is>
          <t>Figma: Each card has a pale blue band across the top carrying 'KPI n' and the KPI's name in navy, with the icon plain in the corner, and the card itself is outlined in blue.
Built: The header band is white and the card is outlined in the neutral grey used by every other card on the estate; the icon has gained a filled rounded tile. The name and description are present, as designed.</t>
        </is>
      </c>
      <c r="F49" s="28" t="inlineStr">
        <is>
          <t>Restore the tinted header band and the blue outline. They are what separate a KPI scorecard from an ordinary content card at a glance.</t>
        </is>
      </c>
      <c r="G49" s="28" t="inlineStr">
        <is>
          <t>https://www.figma.com/design/evmNmlK8g4VYwJVu2FwSGV/MoSJE-Portal--Handoff-?node-id=51563-156833</t>
        </is>
      </c>
      <c r="H49" s="28" t="inlineStr">
        <is>
          <t>https://smile-admin-dev.mosje.in/performance-stats</t>
        </is>
      </c>
      <c r="I49" s="28" t="inlineStr">
        <is>
          <t>Open</t>
        </is>
      </c>
      <c r="J49" s="28" t="n"/>
      <c r="K49" s="28" t="n"/>
      <c r="L49" s="28" t="inlineStr">
        <is>
          <t>env: dev</t>
        </is>
      </c>
      <c r="M49" s="28" t="inlineStr">
        <is>
          <t>Screen</t>
        </is>
      </c>
    </row>
    <row r="50">
      <c r="A50" s="27" t="inlineStr">
        <is>
          <t>SMB-SA-ADDUSER-001</t>
        </is>
      </c>
      <c r="B50" s="28" t="inlineStr">
        <is>
          <t>Onboard New User</t>
        </is>
      </c>
      <c r="C50" s="28" t="inlineStr">
        <is>
          <t>Components &amp; States</t>
        </is>
      </c>
      <c r="D50" s="28" t="inlineStr">
        <is>
          <t>Minor</t>
        </is>
      </c>
      <c r="E50" s="28" t="inlineStr">
        <is>
          <t>Figma: All five fields carry a red asterisk: Full Name, Last Name, Email Address, Contact Number, Select Role.
Built: Four carry one; Last Name does not, so the form does not say whether it is mandatory until submit. (The four labels are also worded differently — Full Name / Email Address / Contact Number against First Name / Email ID / Mobile Number — but wording is content and is not raised in this report.)</t>
        </is>
      </c>
      <c r="F50" s="28" t="inlineStr">
        <is>
          <t>Mark Last Name required, or make the design agree that it is optional.</t>
        </is>
      </c>
      <c r="G50" s="28" t="inlineStr">
        <is>
          <t>https://www.figma.com/design/evmNmlK8g4VYwJVu2FwSGV/MoSJE-Portal--Handoff-?node-id=8664-52311</t>
        </is>
      </c>
      <c r="H50" s="28" t="inlineStr">
        <is>
          <t>https://smile-admin-dev.mosje.in/users/onboard</t>
        </is>
      </c>
      <c r="I50" s="28" t="inlineStr">
        <is>
          <t>Open</t>
        </is>
      </c>
      <c r="J50" s="28" t="n"/>
      <c r="K50" s="28" t="n"/>
      <c r="L50" s="28" t="inlineStr">
        <is>
          <t>env: dev</t>
        </is>
      </c>
      <c r="M50" s="28" t="inlineStr">
        <is>
          <t>Screen</t>
        </is>
      </c>
    </row>
    <row r="51">
      <c r="A51" s="27" t="inlineStr">
        <is>
          <t>SMB-SA-ADDUSER-002</t>
        </is>
      </c>
      <c r="B51" s="28" t="inlineStr">
        <is>
          <t>Onboard New User</t>
        </is>
      </c>
      <c r="C51" s="28" t="inlineStr">
        <is>
          <t>Layout &amp; Spacing</t>
        </is>
      </c>
      <c r="D51" s="28" t="inlineStr">
        <is>
          <t>Minor</t>
        </is>
      </c>
      <c r="E51" s="28" t="inlineStr">
        <is>
          <t>Figma: The card spans the content column, about 1090px wide, with the two field columns at x=349 and x=880.
Built: About 730px wide and centred, so the first field starts 190px further right and the card leaves a wide empty margin on both sides.</t>
        </is>
      </c>
      <c r="F51" s="28" t="inlineStr">
        <is>
          <t>Let the form card fill the content column as the design does.</t>
        </is>
      </c>
      <c r="G51" s="28" t="inlineStr">
        <is>
          <t>https://www.figma.com/design/evmNmlK8g4VYwJVu2FwSGV/MoSJE-Portal--Handoff-?node-id=8664-52311</t>
        </is>
      </c>
      <c r="H51" s="28" t="inlineStr">
        <is>
          <t>https://smile-admin-dev.mosje.in/users/onboard</t>
        </is>
      </c>
      <c r="I51" s="28" t="inlineStr">
        <is>
          <t>Open</t>
        </is>
      </c>
      <c r="J51" s="28" t="n"/>
      <c r="K51" s="28" t="n"/>
      <c r="L51" s="28" t="inlineStr">
        <is>
          <t>env: dev</t>
        </is>
      </c>
      <c r="M51" s="28" t="inlineStr">
        <is>
          <t>Screen</t>
        </is>
      </c>
    </row>
    <row r="52">
      <c r="A52" s="27" t="inlineStr">
        <is>
          <t>SMB-SA-ADDUSER-003</t>
        </is>
      </c>
      <c r="B52" s="28" t="inlineStr">
        <is>
          <t>Onboard New User</t>
        </is>
      </c>
      <c r="C52" s="28" t="inlineStr">
        <is>
          <t>Components &amp; States</t>
        </is>
      </c>
      <c r="D52" s="28" t="inlineStr">
        <is>
          <t>Minor</t>
        </is>
      </c>
      <c r="E52" s="28" t="inlineStr">
        <is>
          <t>Figma: A small-caps 'BASIC DETAILS' label with a hairline rule runs across the top of the card.
Built: The card opens straight onto the first field.</t>
        </is>
      </c>
      <c r="F52" s="28" t="inlineStr">
        <is>
          <t>Restore the section header. It is the only thing naming the group, and the same pattern is used on the shelter-home form.</t>
        </is>
      </c>
      <c r="G52" s="28" t="inlineStr">
        <is>
          <t>https://www.figma.com/design/evmNmlK8g4VYwJVu2FwSGV/MoSJE-Portal--Handoff-?node-id=8664-52311</t>
        </is>
      </c>
      <c r="H52" s="28" t="inlineStr">
        <is>
          <t>https://smile-admin-dev.mosje.in/users/onboard</t>
        </is>
      </c>
      <c r="I52" s="28" t="inlineStr">
        <is>
          <t>Open</t>
        </is>
      </c>
      <c r="J52" s="28" t="n"/>
      <c r="K52" s="28" t="n"/>
      <c r="L52" s="28" t="inlineStr">
        <is>
          <t>env: dev</t>
        </is>
      </c>
      <c r="M52" s="28" t="inlineStr">
        <is>
          <t>Screen</t>
        </is>
      </c>
    </row>
    <row r="53">
      <c r="A53" s="27" t="inlineStr">
        <is>
          <t>SMB-SA-ADDSHELTER-001</t>
        </is>
      </c>
      <c r="B53" s="28" t="inlineStr">
        <is>
          <t>Add Shelter Home</t>
        </is>
      </c>
      <c r="C53" s="28" t="inlineStr">
        <is>
          <t>Components &amp; States</t>
        </is>
      </c>
      <c r="D53" s="28" t="inlineStr">
        <is>
          <t>Major</t>
        </is>
      </c>
      <c r="E53" s="28" t="inlineStr">
        <is>
          <t>Figma: Asterisks on Shelter Name, Capacity, Type, Contact Person, Address, Operational Status, Linked Implementing Agency and Skills &amp; Training Programmes. Three small-caps section headers divide the form: SHELTER HOME DETAILS, IMPLEMENTING AGENCY DETAILS, SHELTER HOME LOGIN ACCOUNT.
Built: Only Shelter Name and Capacity carry an asterisk. The three section headers are not there; the fields run continuously under one card title.</t>
        </is>
      </c>
      <c r="F53" s="28" t="inlineStr">
        <is>
          <t>Restore the required markers — a form that does not say which fields are mandatory fails at submit instead of before it — and the three section headers.</t>
        </is>
      </c>
      <c r="G53" s="28" t="inlineStr">
        <is>
          <t>https://www.figma.com/design/evmNmlK8g4VYwJVu2FwSGV/MoSJE-Portal--Handoff-?node-id=51712-166102</t>
        </is>
      </c>
      <c r="H53" s="28" t="inlineStr">
        <is>
          <t>https://smile-admin-dev.mosje.in/shelter-homes</t>
        </is>
      </c>
      <c r="I53" s="28" t="inlineStr">
        <is>
          <t>Open</t>
        </is>
      </c>
      <c r="J53" s="28" t="n"/>
      <c r="K53" s="28" t="n"/>
      <c r="L53" s="28" t="inlineStr">
        <is>
          <t>env: dev</t>
        </is>
      </c>
      <c r="M53" s="28" t="inlineStr">
        <is>
          <t>Screen</t>
        </is>
      </c>
    </row>
    <row r="54">
      <c r="A54" s="27" t="inlineStr">
        <is>
          <t>SMB-SA-ADDSHELTER-002</t>
        </is>
      </c>
      <c r="B54" s="28" t="inlineStr">
        <is>
          <t>Add Shelter Home</t>
        </is>
      </c>
      <c r="C54" s="28" t="inlineStr">
        <is>
          <t>Components &amp; States</t>
        </is>
      </c>
      <c r="D54" s="28" t="inlineStr">
        <is>
          <t>Major</t>
        </is>
      </c>
      <c r="E54" s="28" t="inlineStr">
        <is>
          <t>Figma: The field labelled 'Address' is drawn as a date control with a calendar icon reading 'Select Start and End Date'. 'Contact Person' is drawn as a dropdown.
Built: Address is a text input and Contact Person is a text input, which is what both fields are for.</t>
        </is>
      </c>
      <c r="F54" s="28" t="inlineStr">
        <is>
          <t>The build is right. Fix the Figma frame — this is a design-side defect, and it is the second of its kind on this page after 'Sanction DateDate'.</t>
        </is>
      </c>
      <c r="G54" s="28" t="inlineStr">
        <is>
          <t>https://www.figma.com/design/evmNmlK8g4VYwJVu2FwSGV/MoSJE-Portal--Handoff-?node-id=51712-166102</t>
        </is>
      </c>
      <c r="H54" s="28" t="inlineStr">
        <is>
          <t>https://smile-admin-dev.mosje.in/shelter-homes</t>
        </is>
      </c>
      <c r="I54" s="28" t="inlineStr">
        <is>
          <t>Open</t>
        </is>
      </c>
      <c r="J54" s="28" t="n"/>
      <c r="K54" s="28" t="n"/>
      <c r="L54" s="28" t="inlineStr">
        <is>
          <t>env: dev</t>
        </is>
      </c>
      <c r="M54" s="28" t="inlineStr">
        <is>
          <t>Screen</t>
        </is>
      </c>
    </row>
    <row r="55">
      <c r="A55" s="27" t="inlineStr">
        <is>
          <t>SMB-SA-ADDSHELTER-003</t>
        </is>
      </c>
      <c r="B55" s="28" t="inlineStr">
        <is>
          <t>Add Shelter Home</t>
        </is>
      </c>
      <c r="C55" s="28" t="inlineStr">
        <is>
          <t>Layout &amp; Spacing</t>
        </is>
      </c>
      <c r="D55" s="28" t="inlineStr">
        <is>
          <t>Minor</t>
        </is>
      </c>
      <c r="E55" s="28" t="inlineStr">
        <is>
          <t>Figma: Three across: Shelter Name | Capacity | Type, then Contact Person | Address | Operational Status.
Built: Two across, in a different order: Shelter Name | Capacity, then Contact Person | Address, then Type | Operational Status. The form is a third longer as a result.</t>
        </is>
      </c>
      <c r="F55" s="28" t="inlineStr">
        <is>
          <t>Use the designed three-column grid and the designed field order.</t>
        </is>
      </c>
      <c r="G55" s="28" t="inlineStr">
        <is>
          <t>https://www.figma.com/design/evmNmlK8g4VYwJVu2FwSGV/MoSJE-Portal--Handoff-?node-id=51712-166102</t>
        </is>
      </c>
      <c r="H55" s="28" t="inlineStr">
        <is>
          <t>https://smile-admin-dev.mosje.in/shelter-homes</t>
        </is>
      </c>
      <c r="I55" s="28" t="inlineStr">
        <is>
          <t>Open</t>
        </is>
      </c>
      <c r="J55" s="28" t="n"/>
      <c r="K55" s="28" t="n"/>
      <c r="L55" s="28" t="inlineStr">
        <is>
          <t>env: dev</t>
        </is>
      </c>
      <c r="M55" s="28" t="inlineStr">
        <is>
          <t>Screen</t>
        </is>
      </c>
    </row>
    <row r="56">
      <c r="A56" s="27" t="inlineStr">
        <is>
          <t>SMB-SA-ADDSHELTER-004</t>
        </is>
      </c>
      <c r="B56" s="28" t="inlineStr">
        <is>
          <t>Add Shelter Home</t>
        </is>
      </c>
      <c r="C56" s="28" t="inlineStr">
        <is>
          <t>Components &amp; States</t>
        </is>
      </c>
      <c r="D56" s="28" t="inlineStr">
        <is>
          <t>Minor</t>
        </is>
      </c>
      <c r="E56" s="28" t="inlineStr">
        <is>
          <t>Figma: No banner. The form opens on its fields.
Built: An amber banner reads 'Pick a State and District / City in the filter above (or link an Implementing Agency below) so this shelter lands in the right district.'</t>
        </is>
      </c>
      <c r="F56" s="28" t="inlineStr">
        <is>
          <t>The banner is doing real work — it explains a dependency the design never resolved. Keep it, and draw it in the design, or design the dependency out.</t>
        </is>
      </c>
      <c r="G56" s="28" t="inlineStr">
        <is>
          <t>https://www.figma.com/design/evmNmlK8g4VYwJVu2FwSGV/MoSJE-Portal--Handoff-?node-id=51712-166102</t>
        </is>
      </c>
      <c r="H56" s="28" t="inlineStr">
        <is>
          <t>https://smile-admin-dev.mosje.in/shelter-homes</t>
        </is>
      </c>
      <c r="I56" s="28" t="inlineStr">
        <is>
          <t>Open</t>
        </is>
      </c>
      <c r="J56" s="28" t="n"/>
      <c r="K56" s="28" t="n"/>
      <c r="L56" s="28" t="inlineStr">
        <is>
          <t>env: dev</t>
        </is>
      </c>
      <c r="M56" s="28" t="inlineStr">
        <is>
          <t>Screen</t>
        </is>
      </c>
    </row>
    <row r="57">
      <c r="A57" s="27" t="inlineStr">
        <is>
          <t>SMB-SA-NEWROLE-001</t>
        </is>
      </c>
      <c r="B57" s="28" t="inlineStr">
        <is>
          <t>Create New Role</t>
        </is>
      </c>
      <c r="C57" s="28" t="inlineStr">
        <is>
          <t>Typography</t>
        </is>
      </c>
      <c r="D57" s="28" t="inlineStr">
        <is>
          <t>Minor</t>
        </is>
      </c>
      <c r="E57" s="28" t="inlineStr">
        <is>
          <t>Figma: 'Role Name *' and 'Description *' in Title Case, dark, with a red asterisk.
Built: 'ROLE NAME' and 'DESCRIPTION' in 11px uppercase grey, no asterisk, though both fields are still required.</t>
        </is>
      </c>
      <c r="F57" s="28" t="inlineStr">
        <is>
          <t>Set the two labels to Title Case at the label size in the body colour and restore the asterisks.</t>
        </is>
      </c>
      <c r="G57" s="28" t="inlineStr">
        <is>
          <t>https://www.figma.com/design/evmNmlK8g4VYwJVu2FwSGV/MoSJE-Portal--Handoff-?node-id=51661-158685</t>
        </is>
      </c>
      <c r="H57" s="28" t="inlineStr">
        <is>
          <t>https://smile-admin-dev.mosje.in/roles</t>
        </is>
      </c>
      <c r="I57" s="28" t="inlineStr">
        <is>
          <t>Open</t>
        </is>
      </c>
      <c r="J57" s="28" t="n"/>
      <c r="K57" s="28" t="n"/>
      <c r="L57" s="28" t="inlineStr">
        <is>
          <t>env: dev</t>
        </is>
      </c>
      <c r="M57" s="28" t="inlineStr">
        <is>
          <t>Screen</t>
        </is>
      </c>
    </row>
    <row r="58">
      <c r="A58" s="27" t="inlineStr">
        <is>
          <t>SMB-SA-NEWROLE-002</t>
        </is>
      </c>
      <c r="B58" s="28" t="inlineStr">
        <is>
          <t>Create New Role</t>
        </is>
      </c>
      <c r="C58" s="28" t="inlineStr">
        <is>
          <t>Components &amp; States</t>
        </is>
      </c>
      <c r="D58" s="28" t="inlineStr">
        <is>
          <t>Minor</t>
        </is>
      </c>
      <c r="E58" s="28" t="inlineStr">
        <is>
          <t>Figma: An × sits in the top-right corner of the dialog.
Built: There is no ×. The only ways out are Cancel and the Escape key, and Escape is not signposted.</t>
        </is>
      </c>
      <c r="F58" s="28" t="inlineStr">
        <is>
          <t>Add the × to the dialog header.</t>
        </is>
      </c>
      <c r="G58" s="28" t="inlineStr">
        <is>
          <t>https://www.figma.com/design/evmNmlK8g4VYwJVu2FwSGV/MoSJE-Portal--Handoff-?node-id=51661-158685</t>
        </is>
      </c>
      <c r="H58" s="28" t="inlineStr">
        <is>
          <t>https://smile-admin-dev.mosje.in/roles</t>
        </is>
      </c>
      <c r="I58" s="28" t="inlineStr">
        <is>
          <t>Open</t>
        </is>
      </c>
      <c r="J58" s="28" t="n"/>
      <c r="K58" s="28" t="n"/>
      <c r="L58" s="28" t="inlineStr">
        <is>
          <t>env: dev</t>
        </is>
      </c>
      <c r="M58" s="28" t="inlineStr">
        <is>
          <t>Screen</t>
        </is>
      </c>
    </row>
    <row r="59">
      <c r="A59" s="27" t="inlineStr">
        <is>
          <t>SMB-SA-NEWROLE-003</t>
        </is>
      </c>
      <c r="B59" s="28" t="inlineStr">
        <is>
          <t>Create New Role</t>
        </is>
      </c>
      <c r="C59" s="28" t="inlineStr">
        <is>
          <t>Color &amp; Token</t>
        </is>
      </c>
      <c r="D59" s="28" t="inlineStr">
        <is>
          <t>Nit</t>
        </is>
      </c>
      <c r="E59" s="28" t="inlineStr">
        <is>
          <t>Figma: 'After creating the role you'll be redirected to the permission picker' sits in a pale amber panel, so it reads as a consequence of pressing the button.
Built: The same sentence is plain grey text with a small information icon, level with the field labels around it.</t>
        </is>
      </c>
      <c r="F59" s="28" t="inlineStr">
        <is>
          <t>Restore the amber panel.</t>
        </is>
      </c>
      <c r="G59" s="28" t="inlineStr">
        <is>
          <t>https://www.figma.com/design/evmNmlK8g4VYwJVu2FwSGV/MoSJE-Portal--Handoff-?node-id=51661-158685</t>
        </is>
      </c>
      <c r="H59" s="28" t="inlineStr">
        <is>
          <t>https://smile-admin-dev.mosje.in/roles</t>
        </is>
      </c>
      <c r="I59" s="28" t="inlineStr">
        <is>
          <t>Open</t>
        </is>
      </c>
      <c r="J59" s="28" t="n"/>
      <c r="K59" s="28" t="n"/>
      <c r="L59" s="28" t="inlineStr">
        <is>
          <t>env: dev</t>
        </is>
      </c>
      <c r="M59" s="28" t="inlineStr">
        <is>
          <t>Screen</t>
        </is>
      </c>
    </row>
    <row r="60">
      <c r="A60" s="27" t="inlineStr">
        <is>
          <t>SMB-SA-ROLES-001</t>
        </is>
      </c>
      <c r="B60" s="28" t="inlineStr">
        <is>
          <t>Roles</t>
        </is>
      </c>
      <c r="C60" s="28" t="inlineStr">
        <is>
          <t>Color &amp; Token</t>
        </is>
      </c>
      <c r="D60" s="28" t="inlineStr">
        <is>
          <t>Nit</t>
        </is>
      </c>
      <c r="E60" s="28" t="inlineStr">
        <is>
          <t>Figma: The card header is white: icon, role name, and an Active chip on the right.
Built: The header sits on a tinted band, and the chip reads ACTIVE in uppercase.</t>
        </is>
      </c>
      <c r="F60" s="28" t="inlineStr">
        <is>
          <t>Confirm the band. If it stays, draw it in the design and keep the chip in Title Case.</t>
        </is>
      </c>
      <c r="G60" s="28" t="inlineStr">
        <is>
          <t>https://www.figma.com/design/evmNmlK8g4VYwJVu2FwSGV/MoSJE-Portal--Handoff-?node-id=8664-52367</t>
        </is>
      </c>
      <c r="H60" s="28" t="inlineStr">
        <is>
          <t>https://smile-admin-dev.mosje.in/roles</t>
        </is>
      </c>
      <c r="I60" s="28" t="inlineStr">
        <is>
          <t>Open</t>
        </is>
      </c>
      <c r="J60" s="28" t="n"/>
      <c r="K60" s="28" t="n"/>
      <c r="L60" s="28" t="inlineStr">
        <is>
          <t>env: dev</t>
        </is>
      </c>
      <c r="M60" s="28" t="inlineStr">
        <is>
          <t>Screen</t>
        </is>
      </c>
    </row>
    <row r="61">
      <c r="A61" s="27" t="inlineStr">
        <is>
          <t>SMB-SA-CITYL2-001</t>
        </is>
      </c>
      <c r="B61" s="28" t="inlineStr">
        <is>
          <t>City Profiling — district list</t>
        </is>
      </c>
      <c r="C61" s="28" t="inlineStr">
        <is>
          <t>Components &amp; States</t>
        </is>
      </c>
      <c r="D61" s="28" t="inlineStr">
        <is>
          <t>Minor</t>
        </is>
      </c>
      <c r="E61" s="28" t="inlineStr">
        <is>
          <t>Figma: Three KPI cards (Cities Selected, Total Identified, Total Rehabilitated), and the table sits in a bordered card with a tinted, rounded header band.
Built: Five KPI cards — Fund Disbursed and Fund Utilised are added, as on the state list — and the table has no card border and a flat header band. City names are underlined links where the design draws them as plain navy.</t>
        </is>
      </c>
      <c r="F61" s="28" t="inlineStr">
        <is>
          <t>Same decision as the state list (S25): add the two cards to the design or drop them. Restore the table's card and its header band.</t>
        </is>
      </c>
      <c r="G61" s="28" t="inlineStr">
        <is>
          <t>https://www.figma.com/design/evmNmlK8g4VYwJVu2FwSGV/MoSJE-Portal--Handoff-?node-id=51891-441685</t>
        </is>
      </c>
      <c r="H61" s="28" t="inlineStr">
        <is>
          <t>https://smile-admin-dev.mosje.in/city-profiling/1</t>
        </is>
      </c>
      <c r="I61" s="28" t="inlineStr">
        <is>
          <t>Open</t>
        </is>
      </c>
      <c r="J61" s="28" t="n"/>
      <c r="K61" s="28" t="n"/>
      <c r="L61" s="28" t="inlineStr">
        <is>
          <t>env: dev</t>
        </is>
      </c>
      <c r="M61" s="28" t="inlineStr">
        <is>
          <t>Screen</t>
        </is>
      </c>
    </row>
  </sheetData>
  <autoFilter ref="A1:M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30" customWidth="1" min="3" max="3"/>
    <col width="12" customWidth="1" min="4" max="4"/>
    <col width="10" customWidth="1" min="5" max="5"/>
    <col width="14" customWidth="1" min="6" max="6"/>
    <col width="12" customWidth="1" min="7" max="7"/>
    <col width="46" customWidth="1" min="8" max="8"/>
  </cols>
  <sheetData>
    <row r="1">
      <c r="A1" s="26" t="inlineStr">
        <is>
          <t>Screen</t>
        </is>
      </c>
      <c r="B1" s="26" t="inlineStr">
        <is>
          <t>Section</t>
        </is>
      </c>
      <c r="C1" s="26" t="inlineStr">
        <is>
          <t>Figma URL</t>
        </is>
      </c>
      <c r="D1" s="26" t="inlineStr">
        <is>
          <t>Has Design?</t>
        </is>
      </c>
      <c r="E1" s="26" t="inlineStr">
        <is>
          <t>Built?</t>
        </is>
      </c>
      <c r="F1" s="26" t="inlineStr">
        <is>
          <t>QC Status</t>
        </is>
      </c>
      <c r="G1" s="26" t="inlineStr">
        <is>
          <t># Findings</t>
        </is>
      </c>
      <c r="H1" s="26" t="inlineStr">
        <is>
          <t>Notes</t>
        </is>
      </c>
    </row>
    <row r="2">
      <c r="A2" s="28" t="inlineStr">
        <is>
          <t>signin — Sign In</t>
        </is>
      </c>
      <c r="B2" s="28" t="inlineStr">
        <is>
          <t>signin</t>
        </is>
      </c>
      <c r="C2" s="28" t="inlineStr">
        <is>
          <t>https://www.figma.com/design/evmNmlK8g4VYwJVu2FwSGV/MoSJE-Portal--Handoff-?node-id=8383-55268</t>
        </is>
      </c>
      <c r="D2" s="28" t="inlineStr">
        <is>
          <t>Yes</t>
        </is>
      </c>
      <c r="E2" s="28" t="inlineStr">
        <is>
          <t>Yes</t>
        </is>
      </c>
      <c r="F2" s="28" t="inlineStr">
        <is>
          <t>In Review</t>
        </is>
      </c>
      <c r="G2" s="28">
        <f>COUNTIF('SMILE Beggary'!$B:$B,"Sign In")</f>
        <v/>
      </c>
      <c r="H2" s="28" t="n"/>
    </row>
    <row r="3">
      <c r="A3" s="28" t="inlineStr">
        <is>
          <t>signin — Sign In — Implementing Agency (OTP)</t>
        </is>
      </c>
      <c r="B3" s="28" t="inlineStr">
        <is>
          <t>signin</t>
        </is>
      </c>
      <c r="C3" s="28" t="inlineStr">
        <is>
          <t>https://www.figma.com/design/evmNmlK8g4VYwJVu2FwSGV/MoSJE-Portal--Handoff-?node-id=8383-54485</t>
        </is>
      </c>
      <c r="D3" s="28" t="inlineStr">
        <is>
          <t>Yes</t>
        </is>
      </c>
      <c r="E3" s="28" t="inlineStr">
        <is>
          <t>Yes</t>
        </is>
      </c>
      <c r="F3" s="28" t="inlineStr">
        <is>
          <t>In Review</t>
        </is>
      </c>
      <c r="G3" s="28">
        <f>COUNTIF('SMILE Beggary'!$B:$B,"Sign In — Implementing Agency (OTP)")</f>
        <v/>
      </c>
      <c r="H3" s="28" t="n"/>
    </row>
    <row r="4">
      <c r="A4" s="28" t="inlineStr">
        <is>
          <t>signin — Choose Portal</t>
        </is>
      </c>
      <c r="B4" s="28" t="inlineStr">
        <is>
          <t>signin</t>
        </is>
      </c>
      <c r="C4" s="28" t="inlineStr">
        <is>
          <t>https://www.figma.com/design/evmNmlK8g4VYwJVu2FwSGV/MoSJE-Portal--Handoff-?node-id=8383-55528</t>
        </is>
      </c>
      <c r="D4" s="28" t="inlineStr">
        <is>
          <t>Yes</t>
        </is>
      </c>
      <c r="E4" s="28" t="inlineStr">
        <is>
          <t>Yes</t>
        </is>
      </c>
      <c r="F4" s="28" t="inlineStr">
        <is>
          <t>In Review</t>
        </is>
      </c>
      <c r="G4" s="28">
        <f>COUNTIF('SMILE Beggary'!$B:$B,"Choose Portal")</f>
        <v/>
      </c>
      <c r="H4" s="28" t="n"/>
    </row>
    <row r="5">
      <c r="A5" s="28" t="inlineStr">
        <is>
          <t>signin — Sign In (landing)</t>
        </is>
      </c>
      <c r="B5" s="28" t="inlineStr">
        <is>
          <t>signin</t>
        </is>
      </c>
      <c r="C5" s="28" t="inlineStr">
        <is>
          <t>https://www.figma.com/design/evmNmlK8g4VYwJVu2FwSGV/MoSJE-Portal--Handoff-?node-id=8383-55268</t>
        </is>
      </c>
      <c r="D5" s="28" t="inlineStr">
        <is>
          <t>Yes</t>
        </is>
      </c>
      <c r="E5" s="28" t="inlineStr">
        <is>
          <t>Yes</t>
        </is>
      </c>
      <c r="F5" s="28" t="inlineStr">
        <is>
          <t>In Review</t>
        </is>
      </c>
      <c r="G5" s="28">
        <f>COUNTIF('SMILE Beggary'!$B:$B,"Sign In (landing)")</f>
        <v/>
      </c>
      <c r="H5" s="28" t="n"/>
    </row>
    <row r="6">
      <c r="A6" s="28" t="inlineStr">
        <is>
          <t>super-admin — Audit Log</t>
        </is>
      </c>
      <c r="B6" s="28" t="inlineStr">
        <is>
          <t>super-admin</t>
        </is>
      </c>
      <c r="C6" s="28" t="inlineStr">
        <is>
          <t>https://www.figma.com/design/evmNmlK8g4VYwJVu2FwSGV/MoSJE-Portal--Handoff-?node-id=51868-193450</t>
        </is>
      </c>
      <c r="D6" s="28" t="inlineStr">
        <is>
          <t>Yes</t>
        </is>
      </c>
      <c r="E6" s="28" t="inlineStr">
        <is>
          <t>Yes</t>
        </is>
      </c>
      <c r="F6" s="28" t="inlineStr">
        <is>
          <t>In Review</t>
        </is>
      </c>
      <c r="G6" s="28">
        <f>COUNTIF('SMILE Beggary'!$B:$B,"Audit Log")</f>
        <v/>
      </c>
      <c r="H6" s="28" t="n"/>
    </row>
    <row r="7">
      <c r="A7" s="28" t="inlineStr">
        <is>
          <t>super-admin — IA List</t>
        </is>
      </c>
      <c r="B7" s="28" t="inlineStr">
        <is>
          <t>super-admin</t>
        </is>
      </c>
      <c r="C7" s="28" t="inlineStr">
        <is>
          <t>https://www.figma.com/design/evmNmlK8g4VYwJVu2FwSGV/MoSJE-Portal--Handoff-?node-id=51699-172678</t>
        </is>
      </c>
      <c r="D7" s="28" t="inlineStr">
        <is>
          <t>Yes</t>
        </is>
      </c>
      <c r="E7" s="28" t="inlineStr">
        <is>
          <t>Yes</t>
        </is>
      </c>
      <c r="F7" s="28" t="inlineStr">
        <is>
          <t>In Review</t>
        </is>
      </c>
      <c r="G7" s="28">
        <f>COUNTIF('SMILE Beggary'!$B:$B,"IA List")</f>
        <v/>
      </c>
      <c r="H7" s="28" t="n"/>
    </row>
    <row r="8">
      <c r="A8" s="28" t="inlineStr">
        <is>
          <t>super-admin — City Profiling</t>
        </is>
      </c>
      <c r="B8" s="28" t="inlineStr">
        <is>
          <t>super-admin</t>
        </is>
      </c>
      <c r="C8" s="28" t="inlineStr">
        <is>
          <t>https://www.figma.com/design/evmNmlK8g4VYwJVu2FwSGV/MoSJE-Portal--Handoff-?node-id=51891-441340</t>
        </is>
      </c>
      <c r="D8" s="28" t="inlineStr">
        <is>
          <t>Yes</t>
        </is>
      </c>
      <c r="E8" s="28" t="inlineStr">
        <is>
          <t>Yes</t>
        </is>
      </c>
      <c r="F8" s="28" t="inlineStr">
        <is>
          <t>In Review</t>
        </is>
      </c>
      <c r="G8" s="28">
        <f>COUNTIF('SMILE Beggary'!$B:$B,"City Profiling")</f>
        <v/>
      </c>
      <c r="H8" s="28" t="n"/>
    </row>
    <row r="9">
      <c r="A9" s="28" t="inlineStr">
        <is>
          <t>super-admin — Rehab Data</t>
        </is>
      </c>
      <c r="B9" s="28" t="inlineStr">
        <is>
          <t>super-admin</t>
        </is>
      </c>
      <c r="C9" s="28" t="inlineStr">
        <is>
          <t>https://www.figma.com/design/evmNmlK8g4VYwJVu2FwSGV/MoSJE-Portal--Handoff-?node-id=51742-166982</t>
        </is>
      </c>
      <c r="D9" s="28" t="inlineStr">
        <is>
          <t>Yes</t>
        </is>
      </c>
      <c r="E9" s="28" t="inlineStr">
        <is>
          <t>Yes</t>
        </is>
      </c>
      <c r="F9" s="28" t="inlineStr">
        <is>
          <t>In Review</t>
        </is>
      </c>
      <c r="G9" s="28">
        <f>COUNTIF('SMILE Beggary'!$B:$B,"Rehab Data")</f>
        <v/>
      </c>
      <c r="H9" s="28" t="n"/>
    </row>
    <row r="10">
      <c r="A10" s="28" t="inlineStr">
        <is>
          <t>super-admin — Skill &amp; Training</t>
        </is>
      </c>
      <c r="B10" s="28" t="inlineStr">
        <is>
          <t>super-admin</t>
        </is>
      </c>
      <c r="C10" s="28" t="inlineStr">
        <is>
          <t>https://www.figma.com/design/evmNmlK8g4VYwJVu2FwSGV/MoSJE-Portal--Handoff-?node-id=51742-164435</t>
        </is>
      </c>
      <c r="D10" s="28" t="inlineStr">
        <is>
          <t>Yes</t>
        </is>
      </c>
      <c r="E10" s="28" t="inlineStr">
        <is>
          <t>Yes</t>
        </is>
      </c>
      <c r="F10" s="28" t="inlineStr">
        <is>
          <t>In Review</t>
        </is>
      </c>
      <c r="G10" s="28">
        <f>COUNTIF('SMILE Beggary'!$B:$B,"Skill &amp; Training")</f>
        <v/>
      </c>
      <c r="H10" s="28" t="n"/>
    </row>
    <row r="11">
      <c r="A11" s="28" t="inlineStr">
        <is>
          <t>super-admin — Consent Forms</t>
        </is>
      </c>
      <c r="B11" s="28" t="inlineStr">
        <is>
          <t>super-admin</t>
        </is>
      </c>
      <c r="C11" s="28" t="inlineStr">
        <is>
          <t>https://www.figma.com/design/evmNmlK8g4VYwJVu2FwSGV/MoSJE-Portal--Handoff-?node-id=51873-194809</t>
        </is>
      </c>
      <c r="D11" s="28" t="inlineStr">
        <is>
          <t>Yes</t>
        </is>
      </c>
      <c r="E11" s="28" t="inlineStr">
        <is>
          <t>Yes</t>
        </is>
      </c>
      <c r="F11" s="28" t="inlineStr">
        <is>
          <t>In Review</t>
        </is>
      </c>
      <c r="G11" s="28">
        <f>COUNTIF('SMILE Beggary'!$B:$B,"Consent Forms")</f>
        <v/>
      </c>
      <c r="H11" s="28" t="n"/>
    </row>
    <row r="12">
      <c r="A12" s="28" t="inlineStr">
        <is>
          <t>super-admin — Dashboard</t>
        </is>
      </c>
      <c r="B12" s="28" t="inlineStr">
        <is>
          <t>super-admin</t>
        </is>
      </c>
      <c r="C12" s="28" t="inlineStr">
        <is>
          <t>https://www.figma.com/design/evmNmlK8g4VYwJVu2FwSGV/MoSJE-Portal--Handoff-?node-id=8664-49264</t>
        </is>
      </c>
      <c r="D12" s="28" t="inlineStr">
        <is>
          <t>Yes</t>
        </is>
      </c>
      <c r="E12" s="28" t="inlineStr">
        <is>
          <t>Yes</t>
        </is>
      </c>
      <c r="F12" s="28" t="inlineStr">
        <is>
          <t>In Review</t>
        </is>
      </c>
      <c r="G12" s="28">
        <f>COUNTIF('SMILE Beggary'!$B:$B,"Dashboard")</f>
        <v/>
      </c>
      <c r="H12" s="28" t="n"/>
    </row>
    <row r="13">
      <c r="A13" s="28" t="inlineStr">
        <is>
          <t>super-admin — Fund Monitoring - Sanction Order Tracking</t>
        </is>
      </c>
      <c r="B13" s="28" t="inlineStr">
        <is>
          <t>super-admin</t>
        </is>
      </c>
      <c r="C13" s="28" t="inlineStr">
        <is>
          <t>https://www.figma.com/design/evmNmlK8g4VYwJVu2FwSGV/MoSJE-Portal--Handoff-?node-id=51751-165371</t>
        </is>
      </c>
      <c r="D13" s="28" t="inlineStr">
        <is>
          <t>Yes</t>
        </is>
      </c>
      <c r="E13" s="28" t="inlineStr">
        <is>
          <t>Yes</t>
        </is>
      </c>
      <c r="F13" s="28" t="inlineStr">
        <is>
          <t>In Review</t>
        </is>
      </c>
      <c r="G13" s="28">
        <f>COUNTIF('SMILE Beggary'!$B:$B,"Fund Monitoring - Sanction Order Tracking")</f>
        <v/>
      </c>
      <c r="H13" s="28" t="n"/>
    </row>
    <row r="14">
      <c r="A14" s="28" t="inlineStr">
        <is>
          <t>super-admin — Master Settings - Geography Masters</t>
        </is>
      </c>
      <c r="B14" s="28" t="inlineStr">
        <is>
          <t>super-admin</t>
        </is>
      </c>
      <c r="C14" s="28" t="inlineStr">
        <is>
          <t>https://www.figma.com/design/evmNmlK8g4VYwJVu2FwSGV/MoSJE-Portal--Handoff-?node-id=51836-240081</t>
        </is>
      </c>
      <c r="D14" s="28" t="inlineStr">
        <is>
          <t>Yes</t>
        </is>
      </c>
      <c r="E14" s="28" t="inlineStr">
        <is>
          <t>Yes</t>
        </is>
      </c>
      <c r="F14" s="28" t="inlineStr">
        <is>
          <t>In Review</t>
        </is>
      </c>
      <c r="G14" s="28">
        <f>COUNTIF('SMILE Beggary'!$B:$B,"Master Settings - Geography Masters")</f>
        <v/>
      </c>
      <c r="H14" s="28" t="n"/>
    </row>
    <row r="15">
      <c r="A15" s="28" t="inlineStr">
        <is>
          <t>super-admin — Notifications</t>
        </is>
      </c>
      <c r="B15" s="28" t="inlineStr">
        <is>
          <t>super-admin</t>
        </is>
      </c>
      <c r="C15" s="28" t="inlineStr">
        <is>
          <t>https://www.figma.com/design/evmNmlK8g4VYwJVu2FwSGV/MoSJE-Portal--Handoff-?node-id=51830-237991</t>
        </is>
      </c>
      <c r="D15" s="28" t="inlineStr">
        <is>
          <t>Yes</t>
        </is>
      </c>
      <c r="E15" s="28" t="inlineStr">
        <is>
          <t>Yes</t>
        </is>
      </c>
      <c r="F15" s="28" t="inlineStr">
        <is>
          <t>In Review</t>
        </is>
      </c>
      <c r="G15" s="28">
        <f>COUNTIF('SMILE Beggary'!$B:$B,"Notifications")</f>
        <v/>
      </c>
      <c r="H15" s="28" t="n"/>
    </row>
    <row r="16">
      <c r="A16" s="28" t="inlineStr">
        <is>
          <t>super-admin — Performance Statistics</t>
        </is>
      </c>
      <c r="B16" s="28" t="inlineStr">
        <is>
          <t>super-admin</t>
        </is>
      </c>
      <c r="C16" s="28" t="inlineStr">
        <is>
          <t>https://www.figma.com/design/evmNmlK8g4VYwJVu2FwSGV/MoSJE-Portal--Handoff-?node-id=51563-156833</t>
        </is>
      </c>
      <c r="D16" s="28" t="inlineStr">
        <is>
          <t>Yes</t>
        </is>
      </c>
      <c r="E16" s="28" t="inlineStr">
        <is>
          <t>Yes</t>
        </is>
      </c>
      <c r="F16" s="28" t="inlineStr">
        <is>
          <t>In Review</t>
        </is>
      </c>
      <c r="G16" s="28">
        <f>COUNTIF('SMILE Beggary'!$B:$B,"Performance Statistics")</f>
        <v/>
      </c>
      <c r="H16" s="28" t="n"/>
    </row>
    <row r="17">
      <c r="A17" s="28" t="inlineStr">
        <is>
          <t>super-admin — Permissions</t>
        </is>
      </c>
      <c r="B17" s="28" t="inlineStr">
        <is>
          <t>super-admin</t>
        </is>
      </c>
      <c r="C17" s="28" t="inlineStr">
        <is>
          <t>https://www.figma.com/design/evmNmlK8g4VYwJVu2FwSGV/MoSJE-Portal--Handoff-?node-id=51661-156038</t>
        </is>
      </c>
      <c r="D17" s="28" t="inlineStr">
        <is>
          <t>Yes</t>
        </is>
      </c>
      <c r="E17" s="28" t="inlineStr">
        <is>
          <t>Yes</t>
        </is>
      </c>
      <c r="F17" s="28" t="inlineStr">
        <is>
          <t>In Review</t>
        </is>
      </c>
      <c r="G17" s="28">
        <f>COUNTIF('SMILE Beggary'!$B:$B,"Permissions")</f>
        <v/>
      </c>
      <c r="H17" s="28" t="n"/>
    </row>
    <row r="18">
      <c r="A18" s="28" t="inlineStr">
        <is>
          <t>super-admin — Beneficiary List</t>
        </is>
      </c>
      <c r="B18" s="28" t="inlineStr">
        <is>
          <t>super-admin</t>
        </is>
      </c>
      <c r="C18" s="28" t="inlineStr">
        <is>
          <t>https://www.figma.com/design/evmNmlK8g4VYwJVu2FwSGV/MoSJE-Portal--Handoff-?node-id=8664-57337</t>
        </is>
      </c>
      <c r="D18" s="28" t="inlineStr">
        <is>
          <t>Yes</t>
        </is>
      </c>
      <c r="E18" s="28" t="inlineStr">
        <is>
          <t>Yes</t>
        </is>
      </c>
      <c r="F18" s="28" t="inlineStr">
        <is>
          <t>In Review</t>
        </is>
      </c>
      <c r="G18" s="28">
        <f>COUNTIF('SMILE Beggary'!$B:$B,"Beneficiary List")</f>
        <v/>
      </c>
      <c r="H18" s="28" t="n"/>
    </row>
    <row r="19">
      <c r="A19" s="28" t="inlineStr">
        <is>
          <t>super-admin — Roles</t>
        </is>
      </c>
      <c r="B19" s="28" t="inlineStr">
        <is>
          <t>super-admin</t>
        </is>
      </c>
      <c r="C19" s="28" t="inlineStr">
        <is>
          <t>https://www.figma.com/design/evmNmlK8g4VYwJVu2FwSGV/MoSJE-Portal--Handoff-?node-id=8664-52367</t>
        </is>
      </c>
      <c r="D19" s="28" t="inlineStr">
        <is>
          <t>Yes</t>
        </is>
      </c>
      <c r="E19" s="28" t="inlineStr">
        <is>
          <t>Yes</t>
        </is>
      </c>
      <c r="F19" s="28" t="inlineStr">
        <is>
          <t>In Review</t>
        </is>
      </c>
      <c r="G19" s="28">
        <f>COUNTIF('SMILE Beggary'!$B:$B,"Roles")</f>
        <v/>
      </c>
      <c r="H19" s="28" t="n"/>
    </row>
    <row r="20">
      <c r="A20" s="28" t="inlineStr">
        <is>
          <t>super-admin — Swashraya (Shelter Homes)</t>
        </is>
      </c>
      <c r="B20" s="28" t="inlineStr">
        <is>
          <t>super-admin</t>
        </is>
      </c>
      <c r="C20" s="28" t="inlineStr">
        <is>
          <t>https://www.figma.com/design/evmNmlK8g4VYwJVu2FwSGV/MoSJE-Portal--Handoff-?node-id=51723-161681</t>
        </is>
      </c>
      <c r="D20" s="28" t="inlineStr">
        <is>
          <t>Yes</t>
        </is>
      </c>
      <c r="E20" s="28" t="inlineStr">
        <is>
          <t>Yes</t>
        </is>
      </c>
      <c r="F20" s="28" t="inlineStr">
        <is>
          <t>In Review</t>
        </is>
      </c>
      <c r="G20" s="28">
        <f>COUNTIF('SMILE Beggary'!$B:$B,"Swashraya (Shelter Homes)")</f>
        <v/>
      </c>
      <c r="H20" s="28" t="n"/>
    </row>
    <row r="21">
      <c r="A21" s="28" t="inlineStr">
        <is>
          <t>super-admin — Shelter Occupants</t>
        </is>
      </c>
      <c r="B21" s="28" t="inlineStr">
        <is>
          <t>super-admin</t>
        </is>
      </c>
      <c r="C21" s="28" t="inlineStr">
        <is>
          <t>https://www.figma.com/design/evmNmlK8g4VYwJVu2FwSGV/MoSJE-Portal--Handoff-?node-id=51712-164958</t>
        </is>
      </c>
      <c r="D21" s="28" t="inlineStr">
        <is>
          <t>Yes</t>
        </is>
      </c>
      <c r="E21" s="28" t="inlineStr">
        <is>
          <t>Yes</t>
        </is>
      </c>
      <c r="F21" s="28" t="inlineStr">
        <is>
          <t>In Review</t>
        </is>
      </c>
      <c r="G21" s="28">
        <f>COUNTIF('SMILE Beggary'!$B:$B,"Shelter Occupants")</f>
        <v/>
      </c>
      <c r="H21" s="28" t="n"/>
    </row>
    <row r="22">
      <c r="A22" s="28" t="inlineStr">
        <is>
          <t>super-admin — Survey Locations</t>
        </is>
      </c>
      <c r="B22" s="28" t="inlineStr">
        <is>
          <t>super-admin</t>
        </is>
      </c>
      <c r="C22" s="28" t="inlineStr">
        <is>
          <t>https://www.figma.com/design/evmNmlK8g4VYwJVu2FwSGV/MoSJE-Portal--Handoff-?node-id=8664-55325</t>
        </is>
      </c>
      <c r="D22" s="28" t="inlineStr">
        <is>
          <t>Yes</t>
        </is>
      </c>
      <c r="E22" s="28" t="inlineStr">
        <is>
          <t>Yes</t>
        </is>
      </c>
      <c r="F22" s="28" t="inlineStr">
        <is>
          <t>In Review</t>
        </is>
      </c>
      <c r="G22" s="28">
        <f>COUNTIF('SMILE Beggary'!$B:$B,"Survey Locations")</f>
        <v/>
      </c>
      <c r="H22" s="28" t="n"/>
    </row>
    <row r="23">
      <c r="A23" s="28" t="inlineStr">
        <is>
          <t>super-admin — Surveyor Mappings</t>
        </is>
      </c>
      <c r="B23" s="28" t="inlineStr">
        <is>
          <t>super-admin</t>
        </is>
      </c>
      <c r="C23" s="28" t="inlineStr">
        <is>
          <t>https://www.figma.com/design/evmNmlK8g4VYwJVu2FwSGV/MoSJE-Portal--Handoff-?node-id=51699-165683</t>
        </is>
      </c>
      <c r="D23" s="28" t="inlineStr">
        <is>
          <t>Yes</t>
        </is>
      </c>
      <c r="E23" s="28" t="inlineStr">
        <is>
          <t>Yes</t>
        </is>
      </c>
      <c r="F23" s="28" t="inlineStr">
        <is>
          <t>In Review</t>
        </is>
      </c>
      <c r="G23" s="28">
        <f>COUNTIF('SMILE Beggary'!$B:$B,"Surveyor Mappings")</f>
        <v/>
      </c>
      <c r="H23" s="28" t="n"/>
    </row>
    <row r="24">
      <c r="A24" s="28" t="inlineStr">
        <is>
          <t>super-admin — Users</t>
        </is>
      </c>
      <c r="B24" s="28" t="inlineStr">
        <is>
          <t>super-admin</t>
        </is>
      </c>
      <c r="C24" s="28" t="inlineStr">
        <is>
          <t>https://www.figma.com/design/evmNmlK8g4VYwJVu2FwSGV/MoSJE-Portal--Handoff-?node-id=8664-51029</t>
        </is>
      </c>
      <c r="D24" s="28" t="inlineStr">
        <is>
          <t>Yes</t>
        </is>
      </c>
      <c r="E24" s="28" t="inlineStr">
        <is>
          <t>Yes</t>
        </is>
      </c>
      <c r="F24" s="28" t="inlineStr">
        <is>
          <t>In Review</t>
        </is>
      </c>
      <c r="G24" s="28">
        <f>COUNTIF('SMILE Beggary'!$B:$B,"Users")</f>
        <v/>
      </c>
      <c r="H24" s="28" t="n"/>
    </row>
    <row r="25">
      <c r="A25" s="28" t="inlineStr">
        <is>
          <t>super-admin — City Profiling - Level 2 City/District List</t>
        </is>
      </c>
      <c r="B25" s="28" t="inlineStr">
        <is>
          <t>super-admin</t>
        </is>
      </c>
      <c r="C25" s="28" t="inlineStr">
        <is>
          <t>https://www.figma.com/design/evmNmlK8g4VYwJVu2FwSGV/MoSJE-Portal--Handoff-?node-id=51891-441685</t>
        </is>
      </c>
      <c r="D25" s="28" t="inlineStr">
        <is>
          <t>Yes</t>
        </is>
      </c>
      <c r="E25" s="28" t="inlineStr">
        <is>
          <t>Yes</t>
        </is>
      </c>
      <c r="F25" s="28" t="inlineStr">
        <is>
          <t>In Review</t>
        </is>
      </c>
      <c r="G25" s="28">
        <f>COUNTIF('SMILE Beggary'!$B:$B,"City Profiling - Level 2 City/District List")</f>
        <v/>
      </c>
      <c r="H25" s="28" t="n"/>
    </row>
    <row r="26">
      <c r="A26" s="28" t="inlineStr">
        <is>
          <t>super-admin — Master Settings - Agency Masters</t>
        </is>
      </c>
      <c r="B26" s="28" t="inlineStr">
        <is>
          <t>super-admin</t>
        </is>
      </c>
      <c r="C26" s="28" t="inlineStr">
        <is>
          <t>https://www.figma.com/design/evmNmlK8g4VYwJVu2FwSGV/MoSJE-Portal--Handoff-?node-id=51845-184267</t>
        </is>
      </c>
      <c r="D26" s="28" t="inlineStr">
        <is>
          <t>Yes</t>
        </is>
      </c>
      <c r="E26" s="28" t="inlineStr">
        <is>
          <t>Yes</t>
        </is>
      </c>
      <c r="F26" s="28" t="inlineStr">
        <is>
          <t>In Review</t>
        </is>
      </c>
      <c r="G26" s="28">
        <f>COUNTIF('SMILE Beggary'!$B:$B,"Master Settings - Agency Masters")</f>
        <v/>
      </c>
      <c r="H26" s="28" t="n"/>
    </row>
    <row r="27">
      <c r="A27" s="28" t="inlineStr">
        <is>
          <t>super-admin — Master Settings - Fund Management Masters</t>
        </is>
      </c>
      <c r="B27" s="28" t="inlineStr">
        <is>
          <t>super-admin</t>
        </is>
      </c>
      <c r="C27" s="28" t="inlineStr">
        <is>
          <t>https://www.figma.com/design/evmNmlK8g4VYwJVu2FwSGV/MoSJE-Portal--Handoff-?node-id=51847-186355</t>
        </is>
      </c>
      <c r="D27" s="28" t="inlineStr">
        <is>
          <t>Yes</t>
        </is>
      </c>
      <c r="E27" s="28" t="inlineStr">
        <is>
          <t>Yes</t>
        </is>
      </c>
      <c r="F27" s="28" t="inlineStr">
        <is>
          <t>In Review</t>
        </is>
      </c>
      <c r="G27" s="28">
        <f>COUNTIF('SMILE Beggary'!$B:$B,"Master Settings - Fund Management Masters")</f>
        <v/>
      </c>
      <c r="H27" s="28" t="n"/>
    </row>
    <row r="28">
      <c r="A28" s="28" t="inlineStr">
        <is>
          <t>super-admin — Master Settings - Geography Masters</t>
        </is>
      </c>
      <c r="B28" s="28" t="inlineStr">
        <is>
          <t>super-admin</t>
        </is>
      </c>
      <c r="C28" s="28" t="inlineStr">
        <is>
          <t>https://www.figma.com/design/evmNmlK8g4VYwJVu2FwSGV/MoSJE-Portal--Handoff-?node-id=51836-240081</t>
        </is>
      </c>
      <c r="D28" s="28" t="inlineStr">
        <is>
          <t>Yes</t>
        </is>
      </c>
      <c r="E28" s="28" t="inlineStr">
        <is>
          <t>Yes</t>
        </is>
      </c>
      <c r="F28" s="28" t="inlineStr">
        <is>
          <t>In Review</t>
        </is>
      </c>
      <c r="G28" s="28">
        <f>COUNTIF('SMILE Beggary'!$B:$B,"Master Settings - Geography Masters")</f>
        <v/>
      </c>
      <c r="H28" s="28" t="n"/>
    </row>
    <row r="29">
      <c r="A29" s="28" t="inlineStr">
        <is>
          <t>super-admin — Master Settings - Operational Masters</t>
        </is>
      </c>
      <c r="B29" s="28" t="inlineStr">
        <is>
          <t>super-admin</t>
        </is>
      </c>
      <c r="C29" s="28" t="inlineStr">
        <is>
          <t>https://www.figma.com/design/evmNmlK8g4VYwJVu2FwSGV/MoSJE-Portal--Handoff-?node-id=51845-186361</t>
        </is>
      </c>
      <c r="D29" s="28" t="inlineStr">
        <is>
          <t>Yes</t>
        </is>
      </c>
      <c r="E29" s="28" t="inlineStr">
        <is>
          <t>Yes</t>
        </is>
      </c>
      <c r="F29" s="28" t="inlineStr">
        <is>
          <t>In Review</t>
        </is>
      </c>
      <c r="G29" s="28">
        <f>COUNTIF('SMILE Beggary'!$B:$B,"Master Settings - Operational Masters")</f>
        <v/>
      </c>
      <c r="H29" s="28" t="n"/>
    </row>
    <row r="30">
      <c r="A30" s="28" t="inlineStr">
        <is>
          <t>super-admin — Master Settings - Roles &amp; Permission Masters</t>
        </is>
      </c>
      <c r="B30" s="28" t="inlineStr">
        <is>
          <t>super-admin</t>
        </is>
      </c>
      <c r="C30" s="28" t="inlineStr">
        <is>
          <t>https://www.figma.com/design/evmNmlK8g4VYwJVu2FwSGV/MoSJE-Portal--Handoff-?node-id=51845-182519</t>
        </is>
      </c>
      <c r="D30" s="28" t="inlineStr">
        <is>
          <t>Yes</t>
        </is>
      </c>
      <c r="E30" s="28" t="inlineStr">
        <is>
          <t>Yes</t>
        </is>
      </c>
      <c r="F30" s="28" t="inlineStr">
        <is>
          <t>In Review</t>
        </is>
      </c>
      <c r="G30" s="28">
        <f>COUNTIF('SMILE Beggary'!$B:$B,"Master Settings - Roles &amp; Permission Masters")</f>
        <v/>
      </c>
      <c r="H30" s="28" t="n"/>
    </row>
    <row r="31">
      <c r="A31" s="28" t="inlineStr">
        <is>
          <t>super-admin — Master Settings - Survey Questionnaire Masters</t>
        </is>
      </c>
      <c r="B31" s="28" t="inlineStr">
        <is>
          <t>super-admin</t>
        </is>
      </c>
      <c r="C31" s="28" t="inlineStr">
        <is>
          <t>https://www.figma.com/design/evmNmlK8g4VYwJVu2FwSGV/MoSJE-Portal--Handoff-?node-id=51845-183410</t>
        </is>
      </c>
      <c r="D31" s="28" t="inlineStr">
        <is>
          <t>Yes</t>
        </is>
      </c>
      <c r="E31" s="28" t="inlineStr">
        <is>
          <t>Yes</t>
        </is>
      </c>
      <c r="F31" s="28" t="inlineStr">
        <is>
          <t>In Review</t>
        </is>
      </c>
      <c r="G31" s="28">
        <f>COUNTIF('SMILE Beggary'!$B:$B,"Master Settings - Survey Questionnaire Masters")</f>
        <v/>
      </c>
      <c r="H31" s="28" t="n"/>
    </row>
    <row r="32">
      <c r="A32" s="28" t="inlineStr">
        <is>
          <t>super-admin — Permissions</t>
        </is>
      </c>
      <c r="B32" s="28" t="inlineStr">
        <is>
          <t>super-admin</t>
        </is>
      </c>
      <c r="C32" s="28" t="inlineStr">
        <is>
          <t>https://www.figma.com/design/evmNmlK8g4VYwJVu2FwSGV/MoSJE-Portal--Handoff-?node-id=51661-156038</t>
        </is>
      </c>
      <c r="D32" s="28" t="inlineStr">
        <is>
          <t>Yes</t>
        </is>
      </c>
      <c r="E32" s="28" t="inlineStr">
        <is>
          <t>Yes</t>
        </is>
      </c>
      <c r="F32" s="28" t="inlineStr">
        <is>
          <t>In Review</t>
        </is>
      </c>
      <c r="G32" s="28">
        <f>COUNTIF('SMILE Beggary'!$B:$B,"Permissions")</f>
        <v/>
      </c>
      <c r="H32" s="28" t="n"/>
    </row>
    <row r="33">
      <c r="A33" s="28" t="inlineStr">
        <is>
          <t>super-admin — Roles</t>
        </is>
      </c>
      <c r="B33" s="28" t="inlineStr">
        <is>
          <t>super-admin</t>
        </is>
      </c>
      <c r="C33" s="28" t="inlineStr">
        <is>
          <t>https://www.figma.com/design/evmNmlK8g4VYwJVu2FwSGV/MoSJE-Portal--Handoff-?node-id=8664-52367</t>
        </is>
      </c>
      <c r="D33" s="28" t="inlineStr">
        <is>
          <t>Yes</t>
        </is>
      </c>
      <c r="E33" s="28" t="inlineStr">
        <is>
          <t>Yes</t>
        </is>
      </c>
      <c r="F33" s="28" t="inlineStr">
        <is>
          <t>In Review</t>
        </is>
      </c>
      <c r="G33" s="28">
        <f>COUNTIF('SMILE Beggary'!$B:$B,"Roles")</f>
        <v/>
      </c>
      <c r="H33" s="28" t="n"/>
    </row>
    <row r="34">
      <c r="A34" s="28" t="inlineStr">
        <is>
          <t>super-admin — Roles - Create New Role</t>
        </is>
      </c>
      <c r="B34" s="28" t="inlineStr">
        <is>
          <t>super-admin</t>
        </is>
      </c>
      <c r="C34" s="28" t="inlineStr">
        <is>
          <t>https://www.figma.com/design/evmNmlK8g4VYwJVu2FwSGV/MoSJE-Portal--Handoff-?node-id=51661-158685</t>
        </is>
      </c>
      <c r="D34" s="28" t="inlineStr">
        <is>
          <t>Yes</t>
        </is>
      </c>
      <c r="E34" s="28" t="inlineStr">
        <is>
          <t>Yes</t>
        </is>
      </c>
      <c r="F34" s="28" t="inlineStr">
        <is>
          <t>In Review</t>
        </is>
      </c>
      <c r="G34" s="28">
        <f>COUNTIF('SMILE Beggary'!$B:$B,"Roles - Create New Role")</f>
        <v/>
      </c>
      <c r="H34" s="28" t="n"/>
    </row>
    <row r="35">
      <c r="A35" s="28" t="inlineStr">
        <is>
          <t>super-admin — Beneficiary section - Add Shelter Homes</t>
        </is>
      </c>
      <c r="B35" s="28" t="inlineStr">
        <is>
          <t>super-admin</t>
        </is>
      </c>
      <c r="C35" s="28" t="inlineStr">
        <is>
          <t>https://www.figma.com/design/evmNmlK8g4VYwJVu2FwSGV/MoSJE-Portal--Handoff-?node-id=51712-166102</t>
        </is>
      </c>
      <c r="D35" s="28" t="inlineStr">
        <is>
          <t>Yes</t>
        </is>
      </c>
      <c r="E35" s="28" t="inlineStr">
        <is>
          <t>Yes</t>
        </is>
      </c>
      <c r="F35" s="28" t="inlineStr">
        <is>
          <t>In Review</t>
        </is>
      </c>
      <c r="G35" s="28">
        <f>COUNTIF('SMILE Beggary'!$B:$B,"Beneficiary section - Add Shelter Homes")</f>
        <v/>
      </c>
      <c r="H35" s="28" t="n"/>
    </row>
    <row r="36">
      <c r="A36" s="28" t="inlineStr">
        <is>
          <t>super-admin — Swashraya - Edit Shelter Home</t>
        </is>
      </c>
      <c r="B36" s="28" t="inlineStr">
        <is>
          <t>super-admin</t>
        </is>
      </c>
      <c r="C36" s="28" t="inlineStr">
        <is>
          <t>https://www.figma.com/design/evmNmlK8g4VYwJVu2FwSGV/MoSJE-Portal--Handoff-?node-id=51742-163249</t>
        </is>
      </c>
      <c r="D36" s="28" t="inlineStr">
        <is>
          <t>Yes</t>
        </is>
      </c>
      <c r="E36" s="28" t="inlineStr">
        <is>
          <t>Yes</t>
        </is>
      </c>
      <c r="F36" s="28" t="inlineStr">
        <is>
          <t>In Review</t>
        </is>
      </c>
      <c r="G36" s="28">
        <f>COUNTIF('SMILE Beggary'!$B:$B,"Swashraya - Edit Shelter Home")</f>
        <v/>
      </c>
      <c r="H36" s="28" t="n"/>
    </row>
    <row r="37">
      <c r="A37" s="28" t="inlineStr">
        <is>
          <t>super-admin — Survey Locations section - Surveyor</t>
        </is>
      </c>
      <c r="B37" s="28" t="inlineStr">
        <is>
          <t>super-admin</t>
        </is>
      </c>
      <c r="C37" s="28" t="inlineStr">
        <is>
          <t>https://www.figma.com/design/evmNmlK8g4VYwJVu2FwSGV/MoSJE-Portal--Handoff-?node-id=51687-156971</t>
        </is>
      </c>
      <c r="D37" s="28" t="inlineStr">
        <is>
          <t>Yes</t>
        </is>
      </c>
      <c r="E37" s="28" t="inlineStr">
        <is>
          <t>Yes</t>
        </is>
      </c>
      <c r="F37" s="28" t="inlineStr">
        <is>
          <t>In Review</t>
        </is>
      </c>
      <c r="G37" s="28">
        <f>COUNTIF('SMILE Beggary'!$B:$B,"Survey Locations section - Surveyor")</f>
        <v/>
      </c>
      <c r="H37" s="28" t="n"/>
    </row>
    <row r="38">
      <c r="A38" s="28" t="inlineStr">
        <is>
          <t>super-admin — Users</t>
        </is>
      </c>
      <c r="B38" s="28" t="inlineStr">
        <is>
          <t>super-admin</t>
        </is>
      </c>
      <c r="C38" s="28" t="inlineStr">
        <is>
          <t>https://www.figma.com/design/evmNmlK8g4VYwJVu2FwSGV/MoSJE-Portal--Handoff-?node-id=8664-51029</t>
        </is>
      </c>
      <c r="D38" s="28" t="inlineStr">
        <is>
          <t>Yes</t>
        </is>
      </c>
      <c r="E38" s="28" t="inlineStr">
        <is>
          <t>Yes</t>
        </is>
      </c>
      <c r="F38" s="28" t="inlineStr">
        <is>
          <t>In Review</t>
        </is>
      </c>
      <c r="G38" s="28">
        <f>COUNTIF('SMILE Beggary'!$B:$B,"Users")</f>
        <v/>
      </c>
      <c r="H38" s="28" t="n"/>
    </row>
    <row r="39">
      <c r="A39" s="28" t="inlineStr">
        <is>
          <t>super-admin — Users - Add User</t>
        </is>
      </c>
      <c r="B39" s="28" t="inlineStr">
        <is>
          <t>super-admin</t>
        </is>
      </c>
      <c r="C39" s="28" t="inlineStr">
        <is>
          <t>https://www.figma.com/design/evmNmlK8g4VYwJVu2FwSGV/MoSJE-Portal--Handoff-?node-id=8664-52311</t>
        </is>
      </c>
      <c r="D39" s="28" t="inlineStr">
        <is>
          <t>Yes</t>
        </is>
      </c>
      <c r="E39" s="28" t="inlineStr">
        <is>
          <t>Yes</t>
        </is>
      </c>
      <c r="F39" s="28" t="inlineStr">
        <is>
          <t>In Review</t>
        </is>
      </c>
      <c r="G39" s="28">
        <f>COUNTIF('SMILE Beggary'!$B:$B,"Users - Add User")</f>
        <v/>
      </c>
      <c r="H39" s="28" t="n"/>
    </row>
    <row r="40">
      <c r="A40" s="28" t="inlineStr">
        <is>
          <t>central-authority — Audit Log</t>
        </is>
      </c>
      <c r="B40" s="28" t="inlineStr">
        <is>
          <t>central-authority</t>
        </is>
      </c>
      <c r="C40" s="28" t="inlineStr">
        <is>
          <t>https://www.figma.com/design/evmNmlK8g4VYwJVu2FwSGV/MoSJE-Portal--Handoff-?node-id=51868-193450</t>
        </is>
      </c>
      <c r="D40" s="28" t="inlineStr">
        <is>
          <t>Yes</t>
        </is>
      </c>
      <c r="E40" s="28" t="inlineStr">
        <is>
          <t>Yes</t>
        </is>
      </c>
      <c r="F40" s="28" t="inlineStr">
        <is>
          <t>In Review</t>
        </is>
      </c>
      <c r="G40" s="28">
        <f>COUNTIF('SMILE Beggary'!$B:$B,"Audit Log")</f>
        <v/>
      </c>
      <c r="H40" s="28" t="n"/>
    </row>
    <row r="41">
      <c r="A41" s="28" t="inlineStr">
        <is>
          <t>central-authority — IA List</t>
        </is>
      </c>
      <c r="B41" s="28" t="inlineStr">
        <is>
          <t>central-authority</t>
        </is>
      </c>
      <c r="C41" s="28" t="inlineStr">
        <is>
          <t>https://www.figma.com/design/evmNmlK8g4VYwJVu2FwSGV/MoSJE-Portal--Handoff-?node-id=51699-172678</t>
        </is>
      </c>
      <c r="D41" s="28" t="inlineStr">
        <is>
          <t>Yes</t>
        </is>
      </c>
      <c r="E41" s="28" t="inlineStr">
        <is>
          <t>Yes</t>
        </is>
      </c>
      <c r="F41" s="28" t="inlineStr">
        <is>
          <t>In Review</t>
        </is>
      </c>
      <c r="G41" s="28">
        <f>COUNTIF('SMILE Beggary'!$B:$B,"IA List")</f>
        <v/>
      </c>
      <c r="H41" s="28" t="n"/>
    </row>
    <row r="42">
      <c r="A42" s="28" t="inlineStr">
        <is>
          <t>central-authority — City Profiling</t>
        </is>
      </c>
      <c r="B42" s="28" t="inlineStr">
        <is>
          <t>central-authority</t>
        </is>
      </c>
      <c r="C42" s="28" t="inlineStr">
        <is>
          <t>https://www.figma.com/design/evmNmlK8g4VYwJVu2FwSGV/MoSJE-Portal--Handoff-?node-id=51891-441340</t>
        </is>
      </c>
      <c r="D42" s="28" t="inlineStr">
        <is>
          <t>Yes</t>
        </is>
      </c>
      <c r="E42" s="28" t="inlineStr">
        <is>
          <t>Yes</t>
        </is>
      </c>
      <c r="F42" s="28" t="inlineStr">
        <is>
          <t>In Review</t>
        </is>
      </c>
      <c r="G42" s="28">
        <f>COUNTIF('SMILE Beggary'!$B:$B,"City Profiling")</f>
        <v/>
      </c>
      <c r="H42" s="28" t="n"/>
    </row>
    <row r="43">
      <c r="A43" s="28" t="inlineStr">
        <is>
          <t>central-authority — Rehab Data</t>
        </is>
      </c>
      <c r="B43" s="28" t="inlineStr">
        <is>
          <t>central-authority</t>
        </is>
      </c>
      <c r="C43" s="28" t="inlineStr">
        <is>
          <t>https://www.figma.com/design/evmNmlK8g4VYwJVu2FwSGV/MoSJE-Portal--Handoff-?node-id=51742-166982</t>
        </is>
      </c>
      <c r="D43" s="28" t="inlineStr">
        <is>
          <t>Yes</t>
        </is>
      </c>
      <c r="E43" s="28" t="inlineStr">
        <is>
          <t>Yes</t>
        </is>
      </c>
      <c r="F43" s="28" t="inlineStr">
        <is>
          <t>In Review</t>
        </is>
      </c>
      <c r="G43" s="28">
        <f>COUNTIF('SMILE Beggary'!$B:$B,"Rehab Data")</f>
        <v/>
      </c>
      <c r="H43" s="28" t="n"/>
    </row>
    <row r="44">
      <c r="A44" s="28" t="inlineStr">
        <is>
          <t>central-authority — Skill &amp; Training</t>
        </is>
      </c>
      <c r="B44" s="28" t="inlineStr">
        <is>
          <t>central-authority</t>
        </is>
      </c>
      <c r="C44" s="28" t="inlineStr">
        <is>
          <t>https://www.figma.com/design/evmNmlK8g4VYwJVu2FwSGV/MoSJE-Portal--Handoff-?node-id=51742-164435</t>
        </is>
      </c>
      <c r="D44" s="28" t="inlineStr">
        <is>
          <t>Yes</t>
        </is>
      </c>
      <c r="E44" s="28" t="inlineStr">
        <is>
          <t>Yes</t>
        </is>
      </c>
      <c r="F44" s="28" t="inlineStr">
        <is>
          <t>In Review</t>
        </is>
      </c>
      <c r="G44" s="28">
        <f>COUNTIF('SMILE Beggary'!$B:$B,"Skill &amp; Training")</f>
        <v/>
      </c>
      <c r="H44" s="28" t="n"/>
    </row>
    <row r="45">
      <c r="A45" s="28" t="inlineStr">
        <is>
          <t>central-authority — Consent Forms</t>
        </is>
      </c>
      <c r="B45" s="28" t="inlineStr">
        <is>
          <t>central-authority</t>
        </is>
      </c>
      <c r="C45" s="28" t="inlineStr">
        <is>
          <t>https://www.figma.com/design/evmNmlK8g4VYwJVu2FwSGV/MoSJE-Portal--Handoff-?node-id=51873-194809</t>
        </is>
      </c>
      <c r="D45" s="28" t="inlineStr">
        <is>
          <t>Yes</t>
        </is>
      </c>
      <c r="E45" s="28" t="inlineStr">
        <is>
          <t>Yes</t>
        </is>
      </c>
      <c r="F45" s="28" t="inlineStr">
        <is>
          <t>In Review</t>
        </is>
      </c>
      <c r="G45" s="28">
        <f>COUNTIF('SMILE Beggary'!$B:$B,"Consent Forms")</f>
        <v/>
      </c>
      <c r="H45" s="28" t="n"/>
    </row>
    <row r="46">
      <c r="A46" s="28" t="inlineStr">
        <is>
          <t>central-authority — Dashboard</t>
        </is>
      </c>
      <c r="B46" s="28" t="inlineStr">
        <is>
          <t>central-authority</t>
        </is>
      </c>
      <c r="C46" s="28" t="inlineStr">
        <is>
          <t>https://www.figma.com/design/evmNmlK8g4VYwJVu2FwSGV/MoSJE-Portal--Handoff-?node-id=8664-49264</t>
        </is>
      </c>
      <c r="D46" s="28" t="inlineStr">
        <is>
          <t>Yes</t>
        </is>
      </c>
      <c r="E46" s="28" t="inlineStr">
        <is>
          <t>Yes</t>
        </is>
      </c>
      <c r="F46" s="28" t="inlineStr">
        <is>
          <t>In Review</t>
        </is>
      </c>
      <c r="G46" s="28">
        <f>COUNTIF('SMILE Beggary'!$B:$B,"Dashboard")</f>
        <v/>
      </c>
      <c r="H46" s="28" t="n"/>
    </row>
    <row r="47">
      <c r="A47" s="28" t="inlineStr">
        <is>
          <t>central-authority — Fund Monitoring - Sanction Order Tracking</t>
        </is>
      </c>
      <c r="B47" s="28" t="inlineStr">
        <is>
          <t>central-authority</t>
        </is>
      </c>
      <c r="C47" s="28" t="inlineStr">
        <is>
          <t>https://www.figma.com/design/evmNmlK8g4VYwJVu2FwSGV/MoSJE-Portal--Handoff-?node-id=51751-165371</t>
        </is>
      </c>
      <c r="D47" s="28" t="inlineStr">
        <is>
          <t>Yes</t>
        </is>
      </c>
      <c r="E47" s="28" t="inlineStr">
        <is>
          <t>Yes</t>
        </is>
      </c>
      <c r="F47" s="28" t="inlineStr">
        <is>
          <t>In Review</t>
        </is>
      </c>
      <c r="G47" s="28">
        <f>COUNTIF('SMILE Beggary'!$B:$B,"Fund Monitoring - Sanction Order Tracking")</f>
        <v/>
      </c>
      <c r="H47" s="28" t="n"/>
    </row>
    <row r="48">
      <c r="A48" s="28" t="inlineStr">
        <is>
          <t>central-authority — Master Settings - Geography Masters</t>
        </is>
      </c>
      <c r="B48" s="28" t="inlineStr">
        <is>
          <t>central-authority</t>
        </is>
      </c>
      <c r="C48" s="28" t="inlineStr">
        <is>
          <t>https://www.figma.com/design/evmNmlK8g4VYwJVu2FwSGV/MoSJE-Portal--Handoff-?node-id=51836-240081</t>
        </is>
      </c>
      <c r="D48" s="28" t="inlineStr">
        <is>
          <t>Yes</t>
        </is>
      </c>
      <c r="E48" s="28" t="inlineStr">
        <is>
          <t>Yes</t>
        </is>
      </c>
      <c r="F48" s="28" t="inlineStr">
        <is>
          <t>In Review</t>
        </is>
      </c>
      <c r="G48" s="28">
        <f>COUNTIF('SMILE Beggary'!$B:$B,"Master Settings - Geography Masters")</f>
        <v/>
      </c>
      <c r="H48" s="28" t="n"/>
    </row>
    <row r="49">
      <c r="A49" s="28" t="inlineStr">
        <is>
          <t>central-authority — Notifications</t>
        </is>
      </c>
      <c r="B49" s="28" t="inlineStr">
        <is>
          <t>central-authority</t>
        </is>
      </c>
      <c r="C49" s="28" t="inlineStr">
        <is>
          <t>https://www.figma.com/design/evmNmlK8g4VYwJVu2FwSGV/MoSJE-Portal--Handoff-?node-id=51830-237991</t>
        </is>
      </c>
      <c r="D49" s="28" t="inlineStr">
        <is>
          <t>Yes</t>
        </is>
      </c>
      <c r="E49" s="28" t="inlineStr">
        <is>
          <t>Yes</t>
        </is>
      </c>
      <c r="F49" s="28" t="inlineStr">
        <is>
          <t>In Review</t>
        </is>
      </c>
      <c r="G49" s="28">
        <f>COUNTIF('SMILE Beggary'!$B:$B,"Notifications")</f>
        <v/>
      </c>
      <c r="H49" s="28" t="n"/>
    </row>
    <row r="50">
      <c r="A50" s="28" t="inlineStr">
        <is>
          <t>central-authority — Performance Statistics</t>
        </is>
      </c>
      <c r="B50" s="28" t="inlineStr">
        <is>
          <t>central-authority</t>
        </is>
      </c>
      <c r="C50" s="28" t="inlineStr">
        <is>
          <t>https://www.figma.com/design/evmNmlK8g4VYwJVu2FwSGV/MoSJE-Portal--Handoff-?node-id=51563-156833</t>
        </is>
      </c>
      <c r="D50" s="28" t="inlineStr">
        <is>
          <t>Yes</t>
        </is>
      </c>
      <c r="E50" s="28" t="inlineStr">
        <is>
          <t>Yes</t>
        </is>
      </c>
      <c r="F50" s="28" t="inlineStr">
        <is>
          <t>In Review</t>
        </is>
      </c>
      <c r="G50" s="28">
        <f>COUNTIF('SMILE Beggary'!$B:$B,"Performance Statistics")</f>
        <v/>
      </c>
      <c r="H50" s="28" t="n"/>
    </row>
    <row r="51">
      <c r="A51" s="28" t="inlineStr">
        <is>
          <t>central-authority — Permissions</t>
        </is>
      </c>
      <c r="B51" s="28" t="inlineStr">
        <is>
          <t>central-authority</t>
        </is>
      </c>
      <c r="C51" s="28" t="inlineStr">
        <is>
          <t>https://www.figma.com/design/evmNmlK8g4VYwJVu2FwSGV/MoSJE-Portal--Handoff-?node-id=51661-156038</t>
        </is>
      </c>
      <c r="D51" s="28" t="inlineStr">
        <is>
          <t>Yes</t>
        </is>
      </c>
      <c r="E51" s="28" t="inlineStr">
        <is>
          <t>Yes</t>
        </is>
      </c>
      <c r="F51" s="28" t="inlineStr">
        <is>
          <t>In Review</t>
        </is>
      </c>
      <c r="G51" s="28">
        <f>COUNTIF('SMILE Beggary'!$B:$B,"Permissions")</f>
        <v/>
      </c>
      <c r="H51" s="28" t="n"/>
    </row>
    <row r="52">
      <c r="A52" s="28" t="inlineStr">
        <is>
          <t>central-authority — Beneficiary List</t>
        </is>
      </c>
      <c r="B52" s="28" t="inlineStr">
        <is>
          <t>central-authority</t>
        </is>
      </c>
      <c r="C52" s="28" t="inlineStr">
        <is>
          <t>https://www.figma.com/design/evmNmlK8g4VYwJVu2FwSGV/MoSJE-Portal--Handoff-?node-id=8664-57337</t>
        </is>
      </c>
      <c r="D52" s="28" t="inlineStr">
        <is>
          <t>Yes</t>
        </is>
      </c>
      <c r="E52" s="28" t="inlineStr">
        <is>
          <t>Yes</t>
        </is>
      </c>
      <c r="F52" s="28" t="inlineStr">
        <is>
          <t>In Review</t>
        </is>
      </c>
      <c r="G52" s="28">
        <f>COUNTIF('SMILE Beggary'!$B:$B,"Beneficiary List")</f>
        <v/>
      </c>
      <c r="H52" s="28" t="n"/>
    </row>
    <row r="53">
      <c r="A53" s="28" t="inlineStr">
        <is>
          <t>central-authority — Roles</t>
        </is>
      </c>
      <c r="B53" s="28" t="inlineStr">
        <is>
          <t>central-authority</t>
        </is>
      </c>
      <c r="C53" s="28" t="inlineStr">
        <is>
          <t>https://www.figma.com/design/evmNmlK8g4VYwJVu2FwSGV/MoSJE-Portal--Handoff-?node-id=8664-52367</t>
        </is>
      </c>
      <c r="D53" s="28" t="inlineStr">
        <is>
          <t>Yes</t>
        </is>
      </c>
      <c r="E53" s="28" t="inlineStr">
        <is>
          <t>Yes</t>
        </is>
      </c>
      <c r="F53" s="28" t="inlineStr">
        <is>
          <t>In Review</t>
        </is>
      </c>
      <c r="G53" s="28">
        <f>COUNTIF('SMILE Beggary'!$B:$B,"Roles")</f>
        <v/>
      </c>
      <c r="H53" s="28" t="n"/>
    </row>
    <row r="54">
      <c r="A54" s="28" t="inlineStr">
        <is>
          <t>central-authority — Swashraya (Shelter Homes)</t>
        </is>
      </c>
      <c r="B54" s="28" t="inlineStr">
        <is>
          <t>central-authority</t>
        </is>
      </c>
      <c r="C54" s="28" t="inlineStr">
        <is>
          <t>https://www.figma.com/design/evmNmlK8g4VYwJVu2FwSGV/MoSJE-Portal--Handoff-?node-id=51723-161681</t>
        </is>
      </c>
      <c r="D54" s="28" t="inlineStr">
        <is>
          <t>Yes</t>
        </is>
      </c>
      <c r="E54" s="28" t="inlineStr">
        <is>
          <t>Yes</t>
        </is>
      </c>
      <c r="F54" s="28" t="inlineStr">
        <is>
          <t>In Review</t>
        </is>
      </c>
      <c r="G54" s="28">
        <f>COUNTIF('SMILE Beggary'!$B:$B,"Swashraya (Shelter Homes)")</f>
        <v/>
      </c>
      <c r="H54" s="28" t="n"/>
    </row>
    <row r="55">
      <c r="A55" s="28" t="inlineStr">
        <is>
          <t>central-authority — Shelter Occupants</t>
        </is>
      </c>
      <c r="B55" s="28" t="inlineStr">
        <is>
          <t>central-authority</t>
        </is>
      </c>
      <c r="C55" s="28" t="inlineStr">
        <is>
          <t>https://www.figma.com/design/evmNmlK8g4VYwJVu2FwSGV/MoSJE-Portal--Handoff-?node-id=51712-164958</t>
        </is>
      </c>
      <c r="D55" s="28" t="inlineStr">
        <is>
          <t>Yes</t>
        </is>
      </c>
      <c r="E55" s="28" t="inlineStr">
        <is>
          <t>Yes</t>
        </is>
      </c>
      <c r="F55" s="28" t="inlineStr">
        <is>
          <t>In Review</t>
        </is>
      </c>
      <c r="G55" s="28">
        <f>COUNTIF('SMILE Beggary'!$B:$B,"Shelter Occupants")</f>
        <v/>
      </c>
      <c r="H55" s="28" t="n"/>
    </row>
    <row r="56">
      <c r="A56" s="28" t="inlineStr">
        <is>
          <t>central-authority — Survey Locations</t>
        </is>
      </c>
      <c r="B56" s="28" t="inlineStr">
        <is>
          <t>central-authority</t>
        </is>
      </c>
      <c r="C56" s="28" t="inlineStr">
        <is>
          <t>https://www.figma.com/design/evmNmlK8g4VYwJVu2FwSGV/MoSJE-Portal--Handoff-?node-id=8664-55325</t>
        </is>
      </c>
      <c r="D56" s="28" t="inlineStr">
        <is>
          <t>Yes</t>
        </is>
      </c>
      <c r="E56" s="28" t="inlineStr">
        <is>
          <t>Yes</t>
        </is>
      </c>
      <c r="F56" s="28" t="inlineStr">
        <is>
          <t>In Review</t>
        </is>
      </c>
      <c r="G56" s="28">
        <f>COUNTIF('SMILE Beggary'!$B:$B,"Survey Locations")</f>
        <v/>
      </c>
      <c r="H56" s="28" t="n"/>
    </row>
    <row r="57">
      <c r="A57" s="28" t="inlineStr">
        <is>
          <t>central-authority — Surveyor Mappings</t>
        </is>
      </c>
      <c r="B57" s="28" t="inlineStr">
        <is>
          <t>central-authority</t>
        </is>
      </c>
      <c r="C57" s="28" t="inlineStr">
        <is>
          <t>https://www.figma.com/design/evmNmlK8g4VYwJVu2FwSGV/MoSJE-Portal--Handoff-?node-id=51699-165683</t>
        </is>
      </c>
      <c r="D57" s="28" t="inlineStr">
        <is>
          <t>Yes</t>
        </is>
      </c>
      <c r="E57" s="28" t="inlineStr">
        <is>
          <t>Yes</t>
        </is>
      </c>
      <c r="F57" s="28" t="inlineStr">
        <is>
          <t>In Review</t>
        </is>
      </c>
      <c r="G57" s="28">
        <f>COUNTIF('SMILE Beggary'!$B:$B,"Surveyor Mappings")</f>
        <v/>
      </c>
      <c r="H57" s="28" t="n"/>
    </row>
    <row r="58">
      <c r="A58" s="28" t="inlineStr">
        <is>
          <t>central-authority — Users</t>
        </is>
      </c>
      <c r="B58" s="28" t="inlineStr">
        <is>
          <t>central-authority</t>
        </is>
      </c>
      <c r="C58" s="28" t="inlineStr">
        <is>
          <t>https://www.figma.com/design/evmNmlK8g4VYwJVu2FwSGV/MoSJE-Portal--Handoff-?node-id=8664-51029</t>
        </is>
      </c>
      <c r="D58" s="28" t="inlineStr">
        <is>
          <t>Yes</t>
        </is>
      </c>
      <c r="E58" s="28" t="inlineStr">
        <is>
          <t>Yes</t>
        </is>
      </c>
      <c r="F58" s="28" t="inlineStr">
        <is>
          <t>In Review</t>
        </is>
      </c>
      <c r="G58" s="28">
        <f>COUNTIF('SMILE Beggary'!$B:$B,"Users")</f>
        <v/>
      </c>
      <c r="H58" s="28" t="n"/>
    </row>
    <row r="59">
      <c r="A59" s="28" t="inlineStr">
        <is>
          <t>us-so — Audit Log</t>
        </is>
      </c>
      <c r="B59" s="28" t="inlineStr">
        <is>
          <t>us-so</t>
        </is>
      </c>
      <c r="C59" s="28" t="inlineStr">
        <is>
          <t>https://www.figma.com/design/evmNmlK8g4VYwJVu2FwSGV/MoSJE-Portal--Handoff-?node-id=51868-193450</t>
        </is>
      </c>
      <c r="D59" s="28" t="inlineStr">
        <is>
          <t>Yes</t>
        </is>
      </c>
      <c r="E59" s="28" t="inlineStr">
        <is>
          <t>Yes</t>
        </is>
      </c>
      <c r="F59" s="28" t="inlineStr">
        <is>
          <t>In Review</t>
        </is>
      </c>
      <c r="G59" s="28">
        <f>COUNTIF('SMILE Beggary'!$B:$B,"Audit Log")</f>
        <v/>
      </c>
      <c r="H59" s="28" t="n"/>
    </row>
    <row r="60">
      <c r="A60" s="28" t="inlineStr">
        <is>
          <t>us-so — Dashboard</t>
        </is>
      </c>
      <c r="B60" s="28" t="inlineStr">
        <is>
          <t>us-so</t>
        </is>
      </c>
      <c r="C60" s="28" t="inlineStr">
        <is>
          <t>https://www.figma.com/design/evmNmlK8g4VYwJVu2FwSGV/MoSJE-Portal--Handoff-?node-id=8664-49264</t>
        </is>
      </c>
      <c r="D60" s="28" t="inlineStr">
        <is>
          <t>Yes</t>
        </is>
      </c>
      <c r="E60" s="28" t="inlineStr">
        <is>
          <t>Yes</t>
        </is>
      </c>
      <c r="F60" s="28" t="inlineStr">
        <is>
          <t>In Review</t>
        </is>
      </c>
      <c r="G60" s="28">
        <f>COUNTIF('SMILE Beggary'!$B:$B,"Dashboard")</f>
        <v/>
      </c>
      <c r="H60" s="28" t="n"/>
    </row>
    <row r="61">
      <c r="A61" s="28" t="inlineStr">
        <is>
          <t>us-so — Fund Monitoring - Sanction Order Tracking</t>
        </is>
      </c>
      <c r="B61" s="28" t="inlineStr">
        <is>
          <t>us-so</t>
        </is>
      </c>
      <c r="C61" s="28" t="inlineStr">
        <is>
          <t>https://www.figma.com/design/evmNmlK8g4VYwJVu2FwSGV/MoSJE-Portal--Handoff-?node-id=51751-165371</t>
        </is>
      </c>
      <c r="D61" s="28" t="inlineStr">
        <is>
          <t>Yes</t>
        </is>
      </c>
      <c r="E61" s="28" t="inlineStr">
        <is>
          <t>Yes</t>
        </is>
      </c>
      <c r="F61" s="28" t="inlineStr">
        <is>
          <t>In Review</t>
        </is>
      </c>
      <c r="G61" s="28">
        <f>COUNTIF('SMILE Beggary'!$B:$B,"Fund Monitoring - Sanction Order Tracking")</f>
        <v/>
      </c>
      <c r="H61" s="28" t="n"/>
    </row>
    <row r="62">
      <c r="A62" s="28" t="inlineStr">
        <is>
          <t>nisd — Audit Log</t>
        </is>
      </c>
      <c r="B62" s="28" t="inlineStr">
        <is>
          <t>nisd</t>
        </is>
      </c>
      <c r="C62" s="28" t="inlineStr">
        <is>
          <t>https://www.figma.com/design/evmNmlK8g4VYwJVu2FwSGV/MoSJE-Portal--Handoff-?node-id=51868-193450</t>
        </is>
      </c>
      <c r="D62" s="28" t="inlineStr">
        <is>
          <t>Yes</t>
        </is>
      </c>
      <c r="E62" s="28" t="inlineStr">
        <is>
          <t>Yes</t>
        </is>
      </c>
      <c r="F62" s="28" t="inlineStr">
        <is>
          <t>In Review</t>
        </is>
      </c>
      <c r="G62" s="28">
        <f>COUNTIF('SMILE Beggary'!$B:$B,"Audit Log")</f>
        <v/>
      </c>
      <c r="H62" s="28" t="n"/>
    </row>
    <row r="63">
      <c r="A63" s="28" t="inlineStr">
        <is>
          <t>nisd — Dashboard</t>
        </is>
      </c>
      <c r="B63" s="28" t="inlineStr">
        <is>
          <t>nisd</t>
        </is>
      </c>
      <c r="C63" s="28" t="inlineStr">
        <is>
          <t>https://www.figma.com/design/evmNmlK8g4VYwJVu2FwSGV/MoSJE-Portal--Handoff-?node-id=8664-49264</t>
        </is>
      </c>
      <c r="D63" s="28" t="inlineStr">
        <is>
          <t>Yes</t>
        </is>
      </c>
      <c r="E63" s="28" t="inlineStr">
        <is>
          <t>Yes</t>
        </is>
      </c>
      <c r="F63" s="28" t="inlineStr">
        <is>
          <t>In Review</t>
        </is>
      </c>
      <c r="G63" s="28">
        <f>COUNTIF('SMILE Beggary'!$B:$B,"Dashboard")</f>
        <v/>
      </c>
      <c r="H63" s="28" t="n"/>
    </row>
    <row r="64">
      <c r="A64" s="28" t="inlineStr">
        <is>
          <t>nisd — Fund Monitoring - Sanction Order Tracking</t>
        </is>
      </c>
      <c r="B64" s="28" t="inlineStr">
        <is>
          <t>nisd</t>
        </is>
      </c>
      <c r="C64" s="28" t="inlineStr">
        <is>
          <t>https://www.figma.com/design/evmNmlK8g4VYwJVu2FwSGV/MoSJE-Portal--Handoff-?node-id=51751-165371</t>
        </is>
      </c>
      <c r="D64" s="28" t="inlineStr">
        <is>
          <t>Yes</t>
        </is>
      </c>
      <c r="E64" s="28" t="inlineStr">
        <is>
          <t>Yes</t>
        </is>
      </c>
      <c r="F64" s="28" t="inlineStr">
        <is>
          <t>In Review</t>
        </is>
      </c>
      <c r="G64" s="28">
        <f>COUNTIF('SMILE Beggary'!$B:$B,"Fund Monitoring - Sanction Order Tracking")</f>
        <v/>
      </c>
      <c r="H64" s="28" t="n"/>
    </row>
    <row r="65">
      <c r="A65" s="28" t="inlineStr">
        <is>
          <t>Surveyor detail (/surveyors/&lt;id&gt;)</t>
        </is>
      </c>
      <c r="B65" s="28" t="inlineStr">
        <is>
          <t>super-admin</t>
        </is>
      </c>
      <c r="C65" s="28" t="n"/>
      <c r="D65" s="28" t="inlineStr">
        <is>
          <t>No</t>
        </is>
      </c>
      <c r="E65" s="28" t="inlineStr">
        <is>
          <t>Yes</t>
        </is>
      </c>
      <c r="F65" s="28" t="inlineStr">
        <is>
          <t>Not compared</t>
        </is>
      </c>
      <c r="G65" s="28" t="n">
        <v>0</v>
      </c>
      <c r="H65" s="28" t="inlineStr">
        <is>
          <t>No design frame on 'Smile Beggary (Synced)' — the nearest frame is the surveyor LIST.</t>
        </is>
      </c>
    </row>
    <row r="66">
      <c r="A66" s="28" t="inlineStr">
        <is>
          <t>View Catalog</t>
        </is>
      </c>
      <c r="B66" s="28" t="inlineStr">
        <is>
          <t>super-admin</t>
        </is>
      </c>
      <c r="C66" s="28" t="n"/>
      <c r="D66" s="28" t="inlineStr">
        <is>
          <t>Yes</t>
        </is>
      </c>
      <c r="E66" s="28" t="inlineStr">
        <is>
          <t>Yes</t>
        </is>
      </c>
      <c r="F66" s="28" t="inlineStr">
        <is>
          <t>Not reached</t>
        </is>
      </c>
      <c r="G66" s="28" t="n">
        <v>0</v>
      </c>
      <c r="H66" s="28" t="inlineStr">
        <is>
          <t>The control resolves and the click lands, but the view does not finish loading inside the capture window.</t>
        </is>
      </c>
    </row>
    <row r="67">
      <c r="A67" s="28" t="inlineStr">
        <is>
          <t>Edit Permissions</t>
        </is>
      </c>
      <c r="B67" s="28" t="inlineStr">
        <is>
          <t>super-admin</t>
        </is>
      </c>
      <c r="C67" s="28" t="n"/>
      <c r="D67" s="28" t="inlineStr">
        <is>
          <t>Yes</t>
        </is>
      </c>
      <c r="E67" s="28" t="inlineStr">
        <is>
          <t>Yes</t>
        </is>
      </c>
      <c r="F67" s="28" t="inlineStr">
        <is>
          <t>Not reached</t>
        </is>
      </c>
      <c r="G67" s="28" t="n">
        <v>0</v>
      </c>
      <c r="H67" s="28" t="inlineStr">
        <is>
          <t>The control resolves and the click lands, but the view does not finish loading inside the capture window.</t>
        </is>
      </c>
    </row>
    <row r="68">
      <c r="A68" s="28" t="inlineStr">
        <is>
          <t>Create Survey Location</t>
        </is>
      </c>
      <c r="B68" s="28" t="inlineStr">
        <is>
          <t>super-admin</t>
        </is>
      </c>
      <c r="C68" s="28" t="n"/>
      <c r="D68" s="28" t="inlineStr">
        <is>
          <t>Yes</t>
        </is>
      </c>
      <c r="E68" s="28" t="inlineStr">
        <is>
          <t>Yes</t>
        </is>
      </c>
      <c r="F68" s="28" t="inlineStr">
        <is>
          <t>Not reached</t>
        </is>
      </c>
      <c r="G68" s="28" t="n">
        <v>0</v>
      </c>
      <c r="H68" s="28" t="inlineStr">
        <is>
          <t>The control resolves and the click lands, but the view does not finish loading inside the capture window.</t>
        </is>
      </c>
    </row>
    <row r="69">
      <c r="A69" s="28" t="inlineStr">
        <is>
          <t>View Beneficiary</t>
        </is>
      </c>
      <c r="B69" s="28" t="inlineStr">
        <is>
          <t>super-admin</t>
        </is>
      </c>
      <c r="C69" s="28" t="n"/>
      <c r="D69" s="28" t="inlineStr">
        <is>
          <t>Yes</t>
        </is>
      </c>
      <c r="E69" s="28" t="inlineStr">
        <is>
          <t>Yes</t>
        </is>
      </c>
      <c r="F69" s="28" t="inlineStr">
        <is>
          <t>Not reached</t>
        </is>
      </c>
      <c r="G69" s="28" t="n">
        <v>0</v>
      </c>
      <c r="H69" s="28" t="inlineStr">
        <is>
          <t>The control resolves and the click lands, but the view does not finish loading inside the capture window.</t>
        </is>
      </c>
    </row>
    <row r="70">
      <c r="A70" s="28" t="inlineStr">
        <is>
          <t>Dashboard chart tabs</t>
        </is>
      </c>
      <c r="B70" s="28" t="inlineStr">
        <is>
          <t>super-admin</t>
        </is>
      </c>
      <c r="C70" s="28" t="n"/>
      <c r="D70" s="28" t="inlineStr">
        <is>
          <t>Yes</t>
        </is>
      </c>
      <c r="E70" s="28" t="inlineStr">
        <is>
          <t>Yes</t>
        </is>
      </c>
      <c r="F70" s="28" t="inlineStr">
        <is>
          <t>Not reached</t>
        </is>
      </c>
      <c r="G70" s="28" t="n">
        <v>0</v>
      </c>
      <c r="H70" s="28" t="inlineStr">
        <is>
          <t>The control resolves and the click lands, but the view does not finish loading inside the capture window.</t>
        </is>
      </c>
    </row>
    <row r="71">
      <c r="A71" s="28" t="inlineStr">
        <is>
          <t>Add District</t>
        </is>
      </c>
      <c r="B71" s="28" t="inlineStr">
        <is>
          <t>super-admin</t>
        </is>
      </c>
      <c r="C71" s="28" t="n"/>
      <c r="D71" s="28" t="inlineStr">
        <is>
          <t>Yes</t>
        </is>
      </c>
      <c r="E71" s="28" t="inlineStr">
        <is>
          <t>Yes</t>
        </is>
      </c>
      <c r="F71" s="28" t="inlineStr">
        <is>
          <t>Not reached</t>
        </is>
      </c>
      <c r="G71" s="28" t="n">
        <v>0</v>
      </c>
      <c r="H71" s="28" t="inlineStr">
        <is>
          <t>The control resolves and the click lands, but the view does not finish loading inside the capture window.</t>
        </is>
      </c>
    </row>
    <row r="72">
      <c r="A72" s="28" t="inlineStr">
        <is>
          <t>Role — State Nodal Officer</t>
        </is>
      </c>
      <c r="B72" s="28" t="inlineStr">
        <is>
          <t>State Nodal Officer</t>
        </is>
      </c>
      <c r="C72" s="28" t="n"/>
      <c r="D72" s="28" t="inlineStr">
        <is>
          <t>Yes</t>
        </is>
      </c>
      <c r="E72" s="28" t="inlineStr">
        <is>
          <t>Yes</t>
        </is>
      </c>
      <c r="F72" s="28" t="inlineStr">
        <is>
          <t>Skipped</t>
        </is>
      </c>
      <c r="G72" s="28" t="n">
        <v>0</v>
      </c>
      <c r="H72" s="28" t="inlineStr">
        <is>
          <t>Skipped at the reviewer's instruction for this pass.</t>
        </is>
      </c>
    </row>
    <row r="73">
      <c r="A73" s="28" t="inlineStr">
        <is>
          <t>Role — Nodal Officer</t>
        </is>
      </c>
      <c r="B73" s="28" t="inlineStr">
        <is>
          <t>Nodal Officer</t>
        </is>
      </c>
      <c r="C73" s="28" t="n"/>
      <c r="D73" s="28" t="inlineStr">
        <is>
          <t>Yes</t>
        </is>
      </c>
      <c r="E73" s="28" t="inlineStr">
        <is>
          <t>Yes</t>
        </is>
      </c>
      <c r="F73" s="28" t="inlineStr">
        <is>
          <t>Skipped</t>
        </is>
      </c>
      <c r="G73" s="28" t="n">
        <v>0</v>
      </c>
      <c r="H73" s="28" t="inlineStr">
        <is>
          <t>Skipped at the reviewer's instruction for this pass.</t>
        </is>
      </c>
    </row>
    <row r="74">
      <c r="A74" s="28" t="inlineStr">
        <is>
          <t>Role — Implementing Agency</t>
        </is>
      </c>
      <c r="B74" s="28" t="inlineStr">
        <is>
          <t>Implementing Agency</t>
        </is>
      </c>
      <c r="C74" s="28" t="n"/>
      <c r="D74" s="28" t="inlineStr">
        <is>
          <t>Yes</t>
        </is>
      </c>
      <c r="E74" s="28" t="inlineStr">
        <is>
          <t>Yes</t>
        </is>
      </c>
      <c r="F74" s="28" t="inlineStr">
        <is>
          <t>Skipped</t>
        </is>
      </c>
      <c r="G74" s="28" t="n">
        <v>0</v>
      </c>
      <c r="H74" s="28" t="inlineStr">
        <is>
          <t>Skipped at the reviewer's instruction for this pass.</t>
        </is>
      </c>
    </row>
  </sheetData>
  <autoFilter ref="A1:H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22" customWidth="1" min="3" max="3"/>
    <col width="10" customWidth="1" min="4" max="4"/>
    <col width="78" customWidth="1" min="5" max="5"/>
    <col width="66" customWidth="1" min="6" max="6"/>
    <col width="30" customWidth="1" min="7" max="7"/>
    <col width="30" customWidth="1" min="8" max="8"/>
    <col width="10" customWidth="1" min="9" max="9"/>
    <col width="12" customWidth="1" min="10" max="10"/>
    <col width="12" customWidth="1" min="11" max="11"/>
    <col width="34" customWidth="1" min="12" max="12"/>
    <col width="10" customWidth="1" min="13" max="13"/>
  </cols>
  <sheetData>
    <row r="1">
      <c r="A1" s="26" t="inlineStr">
        <is>
          <t>ID</t>
        </is>
      </c>
      <c r="B1" s="26" t="inlineStr">
        <is>
          <t>Screen</t>
        </is>
      </c>
      <c r="C1" s="26" t="inlineStr">
        <is>
          <t>Category</t>
        </is>
      </c>
      <c r="D1" s="26" t="inlineStr">
        <is>
          <t>Severity</t>
        </is>
      </c>
      <c r="E1" s="26" t="inlineStr">
        <is>
          <t>Issue (Design → Built)</t>
        </is>
      </c>
      <c r="F1" s="26" t="inlineStr">
        <is>
          <t>Recommended Fix (Dev)</t>
        </is>
      </c>
      <c r="G1" s="26" t="inlineStr">
        <is>
          <t>Figma URL</t>
        </is>
      </c>
      <c r="H1" s="26" t="inlineStr">
        <is>
          <t>Live URL</t>
        </is>
      </c>
      <c r="I1" s="26" t="inlineStr">
        <is>
          <t>Status</t>
        </is>
      </c>
      <c r="J1" s="26" t="inlineStr">
        <is>
          <t>Assignee</t>
        </is>
      </c>
      <c r="K1" s="26" t="inlineStr">
        <is>
          <t>Date</t>
        </is>
      </c>
      <c r="L1" s="26" t="inlineStr">
        <is>
          <t>Notes</t>
        </is>
      </c>
      <c r="M1" s="26" t="inlineStr">
        <is>
          <t>Scope</t>
        </is>
      </c>
    </row>
    <row r="2">
      <c r="A2" s="27" t="inlineStr">
        <is>
          <t>NMB-GLOBAL-001</t>
        </is>
      </c>
      <c r="B2" s="28" t="inlineStr">
        <is>
          <t>Global · Sidebar navigation labels fail AA contrast</t>
        </is>
      </c>
      <c r="C2" s="28" t="inlineStr">
        <is>
          <t>Color &amp; Token</t>
        </is>
      </c>
      <c r="D2" s="28" t="inlineStr">
        <is>
          <t>Blocker</t>
        </is>
      </c>
      <c r="E2" s="28" t="inlineStr">
        <is>
          <t>Figma: Every navigation label is #1F2937 on the panel's #F9FAFB ground - 14.05:1 - and the selected item is #003366 on an #E5EFF9 pill, 10.84:1. Sampled off the design frame beside five nav rows.  →  Live: Every unselected navigation label is #9CA3AF. That is 2.43:1, where WCAG 2.2 AA requires 4.5:1 for text this size. It reads as a disabled control, and it is the same in the citizen shell and in all three admin roles. (Re-measured in the DOM on the live build, 2026-09-11. An earlier wording put this at 2.54:1 by assuming a white ground; the sidebar has no background of its own - the &lt;aside&gt; computes to transparent and the body behind it is #F9FAFB, which the rendered pixel behind a label confirms. The real ratio is slightly WORSE than published, not better.)</t>
        </is>
      </c>
      <c r="F2" s="28" t="inlineStr">
        <is>
          <t>Set the unselected label to the design's #1F2937. If a quieter resting state is wanted, #4B5563 clears comfortably at 7.23:1 on this ground and #6B7280 is the lightest neutral that still passes, at 4.63:1; #9CA3AF cannot be used for text on #F9FAFB at any size.</t>
        </is>
      </c>
      <c r="G2" s="28" t="inlineStr">
        <is>
          <t>https://www.figma.com/design/evmNmlK8g4VYwJVu2FwSGV/MoSJE-Portal--Handoff-?node-id=52061-126900</t>
        </is>
      </c>
      <c r="H2" s="28" t="inlineStr">
        <is>
          <t>https://nmba-admin-dev.mosje.in/user-management</t>
        </is>
      </c>
      <c r="I2" s="28" t="inlineStr">
        <is>
          <t>Done</t>
        </is>
      </c>
      <c r="J2" s="28" t="n"/>
      <c r="K2" s="28" t="n"/>
      <c r="L2" s="28" t="inlineStr">
        <is>
          <t>env: dev  ·  Scope: Global — fix once, lands everywhere</t>
        </is>
      </c>
      <c r="M2" s="28" t="inlineStr">
        <is>
          <t>Global</t>
        </is>
      </c>
    </row>
    <row r="3">
      <c r="A3" s="27" t="inlineStr">
        <is>
          <t>NMB-GLOBAL-002</t>
        </is>
      </c>
      <c r="B3" s="28" t="inlineStr">
        <is>
          <t>Global · The GIGW accessibility toolset is missing from the masthead</t>
        </is>
      </c>
      <c r="C3" s="28" t="inlineStr">
        <is>
          <t>Components &amp; States</t>
        </is>
      </c>
      <c r="D3" s="28" t="inlineStr">
        <is>
          <t>Blocker</t>
        </is>
      </c>
      <c r="E3" s="28" t="inlineStr">
        <is>
          <t>Figma: The blue government bar carries the mandated inline set: A- / A / A+ text-size controls with the current size shown selected, a contrast toggle, an accessibility icon, and a globe with the language named in words ('English').  →  Live: The bar carries only an accessibility glyph, which opens a third-party panel, and a bare two-script glyph for language. The text-size controls and the contrast toggle are not present anywhere on the page.</t>
        </is>
      </c>
      <c r="F3" s="28" t="inlineStr">
        <is>
          <t>Restore the inline A- / A / A+ and contrast controls in the government bar, and label the language control with the language name as the design does. GIGW 3.0 treats this set as a masthead requirement, so its absence is a compliance gap on every screen, not a styling preference.</t>
        </is>
      </c>
      <c r="G3" s="28" t="inlineStr">
        <is>
          <t>https://www.figma.com/design/evmNmlK8g4VYwJVu2FwSGV/MoSJE-Portal--Handoff-?node-id=52061-126900</t>
        </is>
      </c>
      <c r="H3" s="28" t="inlineStr">
        <is>
          <t>https://nmba-admin-dev.mosje.in/user-management</t>
        </is>
      </c>
      <c r="I3" s="28" t="inlineStr">
        <is>
          <t>Open</t>
        </is>
      </c>
      <c r="J3" s="28" t="n"/>
      <c r="K3" s="28" t="n"/>
      <c r="L3" s="28" t="inlineStr">
        <is>
          <t>env: dev  ·  Scope: Global — fix once, lands everywhere</t>
        </is>
      </c>
      <c r="M3" s="28" t="inlineStr">
        <is>
          <t>Global</t>
        </is>
      </c>
    </row>
    <row r="4">
      <c r="A4" s="27" t="inlineStr">
        <is>
          <t>NMB-GLOBAL-003</t>
        </is>
      </c>
      <c r="B4" s="28" t="inlineStr">
        <is>
          <t>Global · Admin sidebar navigation icons are absent</t>
        </is>
      </c>
      <c r="C4" s="28" t="inlineStr">
        <is>
          <t>Content &amp; Iconography</t>
        </is>
      </c>
      <c r="D4" s="28" t="inlineStr">
        <is>
          <t>Major</t>
        </is>
      </c>
      <c r="E4" s="28" t="inlineStr">
        <is>
          <t>Figma: Every admin navigation item pairs a 24px Material Symbols icon at #003366 with its label - widgets, event, group_add, article_shortcut, task and so on - and the icon sits 32px from the panel edge.  →  Live: The admin sidebar draws label-only rows with a thin tree-branch connector line in the icon's place. No item has an icon. The citizen shell DOES carry its icons, so the two shells disagree with each other as well as with the design.</t>
        </is>
      </c>
      <c r="F4" s="28" t="inlineStr">
        <is>
          <t>Add the navigation icon to each admin sidebar item, using the same Material Symbols set and #003366 the citizen shell already uses, and drop the connector line the design does not have.</t>
        </is>
      </c>
      <c r="G4" s="28" t="inlineStr">
        <is>
          <t>https://www.figma.com/design/evmNmlK8g4VYwJVu2FwSGV/MoSJE-Portal--Handoff-?node-id=52061-126900</t>
        </is>
      </c>
      <c r="H4" s="28" t="inlineStr">
        <is>
          <t>https://nmba-admin-dev.mosje.in/user-management</t>
        </is>
      </c>
      <c r="I4" s="28" t="inlineStr">
        <is>
          <t>Open</t>
        </is>
      </c>
      <c r="J4" s="28" t="n"/>
      <c r="K4" s="28" t="n"/>
      <c r="L4" s="28" t="inlineStr">
        <is>
          <t>env: dev  ·  Scope: Global — fix once, lands everywhere</t>
        </is>
      </c>
      <c r="M4" s="28" t="inlineStr">
        <is>
          <t>Global</t>
        </is>
      </c>
    </row>
    <row r="5">
      <c r="A5" s="27" t="inlineStr">
        <is>
          <t>NMB-GLOBAL-004</t>
        </is>
      </c>
      <c r="B5" s="28" t="inlineStr">
        <is>
          <t>Global · The ministry lockup drops its third line and changes colour</t>
        </is>
      </c>
      <c r="C5" s="28" t="inlineStr">
        <is>
          <t>Typography</t>
        </is>
      </c>
      <c r="D5" s="28" t="inlineStr">
        <is>
          <t>Major</t>
        </is>
      </c>
      <c r="E5" s="28" t="inlineStr">
        <is>
          <t>Figma: Three lines, all #1F2937: 'Government of India' at 12px Medium, 'Ministry of Social Justice &amp; Empowerment' at 14px Medium, and 'Department of Social Justice &amp; Empowerment' at 20px Bold as the emphasised line.  →  Live: Two lines at #374151: 'Government of India' at 12px Medium, and 'Ministry of Social Justice &amp; Empowerment' promoted to 20px Bold. The Department line is not rendered. The sign-in page does draw all three, so the authenticated shell also disagrees with the portal's own login screen.</t>
        </is>
      </c>
      <c r="F5" s="28" t="inlineStr">
        <is>
          <t>Render the third line and set the lockup to #1F2937, matching the sign-in page and the design. The emphasised line is the Department, not the Ministry.</t>
        </is>
      </c>
      <c r="G5" s="28" t="inlineStr">
        <is>
          <t>https://www.figma.com/design/evmNmlK8g4VYwJVu2FwSGV/MoSJE-Portal--Handoff-?node-id=52061-126900</t>
        </is>
      </c>
      <c r="H5" s="28" t="inlineStr">
        <is>
          <t>https://nmba-admin-dev.mosje.in/user-management</t>
        </is>
      </c>
      <c r="I5" s="28" t="inlineStr">
        <is>
          <t>Open</t>
        </is>
      </c>
      <c r="J5" s="28" t="n"/>
      <c r="K5" s="28" t="n"/>
      <c r="L5" s="28" t="inlineStr">
        <is>
          <t>env: dev  ·  Scope: Global — fix once, lands everywhere</t>
        </is>
      </c>
      <c r="M5" s="28" t="inlineStr">
        <is>
          <t>Global</t>
        </is>
      </c>
    </row>
    <row r="6">
      <c r="A6" s="27" t="inlineStr">
        <is>
          <t>NMB-GLOBAL-005</t>
        </is>
      </c>
      <c r="B6" s="28" t="inlineStr">
        <is>
          <t>Global · Row action controls lose their button and change colour</t>
        </is>
      </c>
      <c r="C6" s="28" t="inlineStr">
        <is>
          <t>Components &amp; States</t>
        </is>
      </c>
      <c r="D6" s="28" t="inlineStr">
        <is>
          <t>Major</t>
        </is>
      </c>
      <c r="E6" s="28" t="inlineStr">
        <is>
          <t>Figma: Row actions are the library's own Icon Button (Size=Small, Type=Outlined, Color=Neutral): 32x32, a 1px #E5E7EB outline at radius 8, the edit glyph #003366 and the delete glyph #EC5042. Read off the component's own nodes in the design file, not sampled - an earlier wording said radius 6.  →  Live: The actions are bare glyphs with no button around them - two 24px SVG images on User Management - and the edit glyph is filled #ED8525 (read from the served file, not sampled off a screenshot), an amber that appears nowhere in the NMBA token set. On three of the NAPDDR screens - State, District and Block Committee - the same actions become three outlined TEXT buttons instead (View / Edit / Delete, 1px border, radius 6), and on Important Documents they are a third thing again: real buttons wrapping tabler icons with no border at all. Verified on the live build, 2026-09-11. Committee Reports carries no row actions.</t>
        </is>
      </c>
      <c r="F6" s="28" t="inlineStr">
        <is>
          <t>Restore the library's Icon Button - 32x32, 1px #E5E7EB, radius 8 - and set the edit glyph to #003366. One icon treatment has to hold across every screen - the same glyph set, the same button, the same two colours - rather than icon-buttons on some screens, amber glyphs on others and text buttons on three of the NAPDDR screens.</t>
        </is>
      </c>
      <c r="G6" s="28" t="inlineStr">
        <is>
          <t>https://www.figma.com/design/evmNmlK8g4VYwJVu2FwSGV/MoSJE-Portal--Handoff-?node-id=52061-126900</t>
        </is>
      </c>
      <c r="H6" s="28" t="inlineStr">
        <is>
          <t>https://nmba-admin-dev.mosje.in/user-management</t>
        </is>
      </c>
      <c r="I6" s="28" t="inlineStr">
        <is>
          <t>Open</t>
        </is>
      </c>
      <c r="J6" s="28" t="n"/>
      <c r="K6" s="28" t="n"/>
      <c r="L6" s="28" t="inlineStr">
        <is>
          <t>env: dev  ·  Scope: Global — fix once, lands everywhere</t>
        </is>
      </c>
      <c r="M6" s="28" t="inlineStr">
        <is>
          <t>Global</t>
        </is>
      </c>
    </row>
    <row r="7">
      <c r="A7" s="27" t="inlineStr">
        <is>
          <t>NMB-GLOBAL-006</t>
        </is>
      </c>
      <c r="B7" s="28" t="inlineStr">
        <is>
          <t>Global · Previous and next are a hyphen and a plus sign</t>
        </is>
      </c>
      <c r="C7" s="28" t="inlineStr">
        <is>
          <t>Content &amp; Iconography</t>
        </is>
      </c>
      <c r="D7" s="28" t="inlineStr">
        <is>
          <t>Major</t>
        </is>
      </c>
      <c r="E7" s="28" t="inlineStr">
        <is>
          <t>Figma: The pager runs a left chevron, the page numbers with the current one in a rounded outlined chip, an ellipsis, the last page, and a right chevron.  →  Live: The two step controls render as '-' and '+'. A minus and a plus read as decrease and increase, not as previous and next page. (The pager DOES carry an ellipsis and a last-page number - checked on the live build 2026-09-11, which shows '- 1 2 3 ... 1,393 +'. An earlier wording of this finding said it did not; that was read off a capture and was wrong.)</t>
        </is>
      </c>
      <c r="F7" s="28" t="inlineStr">
        <is>
          <t>Use the chevrons the design specifies for the step controls, and show the ellipsis and last page so a reader can tell how long the list is.</t>
        </is>
      </c>
      <c r="G7" s="28" t="inlineStr">
        <is>
          <t>https://www.figma.com/design/evmNmlK8g4VYwJVu2FwSGV/MoSJE-Portal--Handoff-?node-id=52092-136433</t>
        </is>
      </c>
      <c r="H7" s="28" t="inlineStr">
        <is>
          <t>https://nmba-admin-dev.mosje.in/napddr/state-committee</t>
        </is>
      </c>
      <c r="I7" s="28" t="inlineStr">
        <is>
          <t>Open</t>
        </is>
      </c>
      <c r="J7" s="28" t="n"/>
      <c r="K7" s="28" t="n"/>
      <c r="L7" s="28" t="inlineStr">
        <is>
          <t>env: dev  ·  Scope: Global — fix once, lands everywhere</t>
        </is>
      </c>
      <c r="M7" s="28" t="inlineStr">
        <is>
          <t>Global</t>
        </is>
      </c>
    </row>
    <row r="8">
      <c r="A8" s="27" t="inlineStr">
        <is>
          <t>NMB-GLOBAL-009</t>
        </is>
      </c>
      <c r="B8" s="28" t="inlineStr">
        <is>
          <t>Global · Table row height is inconsistent across the portal</t>
        </is>
      </c>
      <c r="C8" s="28" t="inlineStr">
        <is>
          <t>Layout &amp; Spacing</t>
        </is>
      </c>
      <c r="D8" s="28" t="inlineStr">
        <is>
          <t>Major</t>
        </is>
      </c>
      <c r="E8" s="28" t="inlineStr">
        <is>
          <t>Figma: Every data cell in the design is 56px tall - all 50 of them, exactly, on this frame - and every header cell is 52px. Counted off the frame's own nodes, not estimated; an earlier wording said 'a steady 45-55px', which understated how uniform the design actually is.  →  Live: Measured row heights run 41px on User Management, 53px on most lists, 57px on Important Documents, 65px on the NAPDDR screens, 85px on Best Practices and 153px on the Ministries dashboard - the same component at more than three times the height from one screen to the next. Header rows vary too, from 38px to 85px.</t>
        </is>
      </c>
      <c r="F8" s="28" t="inlineStr">
        <is>
          <t>Set one row height for the table component and let it apply everywhere; where a cell wraps to two lines, let the row grow from that one value rather than redefining it per screen.</t>
        </is>
      </c>
      <c r="G8" s="28" t="inlineStr">
        <is>
          <t>https://www.figma.com/design/evmNmlK8g4VYwJVu2FwSGV/MoSJE-Portal--Handoff-?node-id=52051-161871</t>
        </is>
      </c>
      <c r="H8" s="28" t="inlineStr">
        <is>
          <t>https://nmba-admin-dev.mosje.in/ministries-dashboard</t>
        </is>
      </c>
      <c r="I8" s="28" t="inlineStr">
        <is>
          <t>Open</t>
        </is>
      </c>
      <c r="J8" s="28" t="n"/>
      <c r="K8" s="28" t="n"/>
      <c r="L8" s="28" t="inlineStr">
        <is>
          <t>env: dev  ·  Scope: Global — fix once, lands everywhere</t>
        </is>
      </c>
      <c r="M8" s="28" t="inlineStr">
        <is>
          <t>Global</t>
        </is>
      </c>
    </row>
    <row r="9">
      <c r="A9" s="27" t="inlineStr">
        <is>
          <t>NMB-GLOBAL-039</t>
        </is>
      </c>
      <c r="B9" s="28" t="inlineStr">
        <is>
          <t>Global · The sidebar panel and every row in it are built to different metrics</t>
        </is>
      </c>
      <c r="C9" s="28" t="inlineStr">
        <is>
          <t>Layout &amp; Spacing</t>
        </is>
      </c>
      <c r="D9" s="28" t="inlineStr">
        <is>
          <t>Major</t>
        </is>
      </c>
      <c r="E9" s="28" t="inlineStr">
        <is>
          <t>Figma: The panel is 300px wide with 16px of padding all round and a 1px #E5E7EB edge, and it holds rows that are 268x48 at radius 16, each padded 12px top and bottom and 16px left and right, with an 8px gap between a row's icon and its label.  →  Live: The panel is 288px with no padding of its own and a 1px #D1D5DB edge, and its rows are 245x36 at radius 10, padded 8px and 12px. Every row is affected, not only the selected one: a row is a quarter shorter than designed, 23px narrower, on a smaller radius, and indented to x30 instead of the design's x16. Read from the DOM on the live build and from the design frame's own nodes, 2026-09-11.</t>
        </is>
      </c>
      <c r="F9" s="28" t="inlineStr">
        <is>
          <t>Build the sidebar to the design's metrics: a 300px panel padded 16, rows 268x48 at radius 16 padded 12/16. This is the fifth finding on this one component and the one that makes the others land - NMB-GLOBAL-001 (label colour), NMB-GLOBAL-003 (missing icons and the connector line the design does not draw), NMB-GLOBAL-015 (the selected row's weight and shape) and NMB-GLOBAL-038 (the 60px item rhythm). Treat them as one piece of work against one component rather than five separate tickets; the sidebar does not match the design until all five land.</t>
        </is>
      </c>
      <c r="G9" s="28" t="inlineStr">
        <is>
          <t>https://www.figma.com/design/evmNmlK8g4VYwJVu2FwSGV/MoSJE-Portal--Handoff-?node-id=52061-126900</t>
        </is>
      </c>
      <c r="H9" s="28" t="inlineStr">
        <is>
          <t>https://nmba-admin-dev.mosje.in/user-management</t>
        </is>
      </c>
      <c r="I9" s="28" t="inlineStr">
        <is>
          <t>Open</t>
        </is>
      </c>
      <c r="J9" s="28" t="n"/>
      <c r="K9" s="28" t="n"/>
      <c r="L9" s="28" t="inlineStr">
        <is>
          <t>env: dev  ·  Scope: Global — fix once, lands everywhere</t>
        </is>
      </c>
      <c r="M9" s="28" t="inlineStr">
        <is>
          <t>Global</t>
        </is>
      </c>
    </row>
    <row r="10">
      <c r="A10" s="27" t="inlineStr">
        <is>
          <t>NMB-GLOBAL-040</t>
        </is>
      </c>
      <c r="B10" s="28" t="inlineStr">
        <is>
          <t>Global · The table's header band, cell padding and dividers are all different from the design</t>
        </is>
      </c>
      <c r="C10" s="28" t="inlineStr">
        <is>
          <t>Layout &amp; Spacing</t>
        </is>
      </c>
      <c r="D10" s="28" t="inlineStr">
        <is>
          <t>Major</t>
        </is>
      </c>
      <c r="E10" s="28" t="inlineStr">
        <is>
          <t>Figma: The table sits in a #FFFFFF container with a 1px #E5E7EB edge at radius 12. Its header is a band: 52px tall, filled #F9FAFB, each cell padded 16px top and bottom and 24px left and right. Data cells are 56px tall, padded 12/24, and separated by a 1px #F3F4F6 rule.  →  Live: The header has no fill at all - it is transparent, so there is no band, just text above rows - and it is 38px instead of 52. Every cell, header and data alike, is padded 8/16 where the design says 16/24 and 12/24, which is what makes the rows 41px instead of 56. The row rule is #E5E7EB rather than #F3F4F6, a heavier line than the design draws, and the container is radius 6 against the design's 12. Read from the DOM on the live build, 2026-09-11.</t>
        </is>
      </c>
      <c r="F10" s="28" t="inlineStr">
        <is>
          <t>Build the table to the design's own component: a radius-12 container, a 52px #F9FAFB header band padded 16/24, 56px data cells padded 12/24, and a #F3F4F6 row rule. This is the finding the other table findings hang off - NMB-GLOBAL-009 (row heights), NMB-GLOBAL-010 (cell colour), NMB-GLOBAL-005 (row actions), NMB-GLOBAL-035 (the extra wrapper), NMB-GLOBAL-036 (a column too narrow for its date) and NMB-SCREEN-030 (action order). The cell padding alone accounts for most of the height difference, so fixing it fixes -009 across the portal.</t>
        </is>
      </c>
      <c r="G10" s="28" t="inlineStr">
        <is>
          <t>https://www.figma.com/design/evmNmlK8g4VYwJVu2FwSGV/MoSJE-Portal--Handoff-?node-id=52061-126900</t>
        </is>
      </c>
      <c r="H10" s="28" t="inlineStr">
        <is>
          <t>https://nmba-admin-dev.mosje.in/user-management</t>
        </is>
      </c>
      <c r="I10" s="28" t="inlineStr">
        <is>
          <t>Open</t>
        </is>
      </c>
      <c r="J10" s="28" t="n"/>
      <c r="K10" s="28" t="n"/>
      <c r="L10" s="28" t="inlineStr">
        <is>
          <t>env: dev  ·  Scope: Global — fix once, lands everywhere</t>
        </is>
      </c>
      <c r="M10" s="28" t="inlineStr">
        <is>
          <t>Global</t>
        </is>
      </c>
    </row>
    <row r="11">
      <c r="A11" s="27" t="inlineStr">
        <is>
          <t>NMB-GLOBAL-041</t>
        </is>
      </c>
      <c r="B11" s="28" t="inlineStr">
        <is>
          <t>Global · The masthead's marks are the wrong size, and the co-branding is one flattened image</t>
        </is>
      </c>
      <c r="C11" s="28" t="inlineStr">
        <is>
          <t>Layout &amp; Spacing</t>
        </is>
      </c>
      <c r="D11" s="28" t="inlineStr">
        <is>
          <t>Major</t>
        </is>
      </c>
      <c r="E11" s="28" t="inlineStr">
        <is>
          <t>Figma: The National Emblem is 32x52, sitting 30px below the band's top edge. The co-branding is two separate marks, each 40px tall - Digital India at x917, 102 wide, and the SAMAVESH lockup at x1043, 188 wide - together spanning 314px and ending at x1231. The band's lower edge is 1px #F3F4F6.  →  Live: In the ADMIN shell the National Emblem is 49x80 - about 53% larger on both axes - and sits 24px higher, at y46. The co-branding is not two marks but ONE raster image, 440x56 at x792: 40% wider, 16px taller and starting 125px further left than the design places it, with Digital India and SAMAVESH baked into a single file whose alt text is one 83-character string. The band's lower edge is 1px #D1D5DB against the design's #F3F4F6 - the same substitution the sidebar makes. The CITIZEN shell is worse on the same band: the emblem is 39x64 against the same designed 32x52, the band is 106px tall against 94, and the MINISTRY NAME ITSELF is a 496x56 raster image where the design sets it as three lines of live text. A portal that carries a language control cannot translate a picture of its own name. Read from the DOM on the live build, 2026-09-11.</t>
        </is>
      </c>
      <c r="F11" s="28" t="inlineStr">
        <is>
          <t>Draw the National Emblem at the design's 32x52 in its designed position, and compose the co-branding from the two marks the design uses rather than one flattened picture - a single image cannot be scaled per breakpoint, cannot be themed, and gives a screen reader one long string where the design has two named marks. On the citizen shell the ministry name has to come back as text for the same reason, and more urgently: it is the department's own name, on a bilingual portal. Set the band's lower edge to #F3F4F6. Note that the emblem is the National Emblem of India: its proportions are not ours to adjust, and the estate's own rule is that it ships at 3x the largest surface that renders it rather than being scaled up from a smaller file.</t>
        </is>
      </c>
      <c r="G11" s="28" t="inlineStr">
        <is>
          <t>https://www.figma.com/design/evmNmlK8g4VYwJVu2FwSGV/MoSJE-Portal--Handoff-?node-id=52061-126900</t>
        </is>
      </c>
      <c r="H11" s="28" t="inlineStr">
        <is>
          <t>https://nmba-admin-dev.mosje.in/user-management</t>
        </is>
      </c>
      <c r="I11" s="28" t="inlineStr">
        <is>
          <t>Open</t>
        </is>
      </c>
      <c r="J11" s="28" t="n"/>
      <c r="K11" s="28" t="n"/>
      <c r="L11" s="28" t="inlineStr">
        <is>
          <t>env: dev  ·  Scope: Global — fix once, lands everywhere</t>
        </is>
      </c>
      <c r="M11" s="28" t="inlineStr">
        <is>
          <t>Global</t>
        </is>
      </c>
    </row>
    <row r="12">
      <c r="A12" s="27" t="inlineStr">
        <is>
          <t>NMB-GLOBAL-044</t>
        </is>
      </c>
      <c r="B12" s="28" t="inlineStr">
        <is>
          <t>Global · The search field is the only thing in the portal not set in Noto Sans</t>
        </is>
      </c>
      <c r="C12" s="28" t="inlineStr">
        <is>
          <t>Typography</t>
        </is>
      </c>
      <c r="D12" s="28" t="inlineStr">
        <is>
          <t>Major</t>
        </is>
      </c>
      <c r="E12" s="28" t="inlineStr">
        <is>
          <t>Figma: The field is 938x40 at radius 8 with a 1px #E5E7EB edge, and its placeholder is 14px Noto Sans Regular #374151 - the same face, size and grey as every other field in the design.  →  Live: The field renders in POPPINS at 16px #000000, in a box 768x43 at radius 6. Counted in the DOM on 2026-09-11: of 147 rendered elements on User Management exactly ONE is not Noto Sans, and it is this input; the same is true on Important Documents. So a single control in the portal is set in a different typeface, a size larger than the design, and in pure black rather than the #374151 the design uses for placeholder text.</t>
        </is>
      </c>
      <c r="F12" s="28" t="inlineStr">
        <is>
          <t>Remove the Poppins declaration - it is one rule and it is the only thing importing that family - and let the field inherit Noto Sans at 14px #374151. The estate's standing instruction is Noto Sans across all government properties and no other family introduced. While the rule is being changed, the box wants the design's 40px height and radius 8 rather than 43 and 6.</t>
        </is>
      </c>
      <c r="G12" s="28" t="inlineStr">
        <is>
          <t>https://www.figma.com/design/evmNmlK8g4VYwJVu2FwSGV/MoSJE-Portal--Handoff-?node-id=52061-126900</t>
        </is>
      </c>
      <c r="H12" s="28" t="inlineStr">
        <is>
          <t>https://nmba-admin-dev.mosje.in/user-management</t>
        </is>
      </c>
      <c r="I12" s="28" t="inlineStr">
        <is>
          <t>Open</t>
        </is>
      </c>
      <c r="J12" s="28" t="n"/>
      <c r="K12" s="28" t="n"/>
      <c r="L12" s="28" t="inlineStr">
        <is>
          <t>env: dev  ·  Scope: Global — fix once, lands everywhere</t>
        </is>
      </c>
      <c r="M12" s="28" t="inlineStr">
        <is>
          <t>Global</t>
        </is>
      </c>
    </row>
    <row r="13">
      <c r="A13" s="27" t="inlineStr">
        <is>
          <t>NMB-GLOBAL-045</t>
        </is>
      </c>
      <c r="B13" s="28" t="inlineStr">
        <is>
          <t>Global · Primary and secondary buttons are built to different metrics</t>
        </is>
      </c>
      <c r="C13" s="28" t="inlineStr">
        <is>
          <t>Components &amp; States</t>
        </is>
      </c>
      <c r="D13" s="28" t="inlineStr">
        <is>
          <t>Major</t>
        </is>
      </c>
      <c r="E13" s="28" t="inlineStr">
        <is>
          <t>Figma: Buttons are 40px tall at radius 8, padded 8-10px vertically and 16/24 horizontally, with the label at 14px Medium: the primary filled #003366 with a #FFFFFF label, the secondary a 1px #003366 outline with a #003366 label.  →  Live: The primary 'Add User' is 36px tall at radius 4 - half the design's radius - padded 0/18 with its label at weight 600 rather than Medium. The secondary export buttons are 38px at radius 8. So no button in the toolbar is the height the design draws, and the primary and secondary disagree with each other on radius as well as with the design.</t>
        </is>
      </c>
      <c r="F13" s="28" t="inlineStr">
        <is>
          <t>Use one button component at the design's 40px height and radius 8, with the label at Medium. The primary's radius 4 is the outlier - every other rounded thing on the screen is 6, 8, 10 or 16, so this is a fifth radius nobody chose.</t>
        </is>
      </c>
      <c r="G13" s="28" t="inlineStr">
        <is>
          <t>https://www.figma.com/design/evmNmlK8g4VYwJVu2FwSGV/MoSJE-Portal--Handoff-?node-id=52061-126900</t>
        </is>
      </c>
      <c r="H13" s="28" t="inlineStr">
        <is>
          <t>https://nmba-admin-dev.mosje.in/user-management</t>
        </is>
      </c>
      <c r="I13" s="28" t="inlineStr">
        <is>
          <t>Open</t>
        </is>
      </c>
      <c r="J13" s="28" t="n"/>
      <c r="K13" s="28" t="n"/>
      <c r="L13" s="28" t="inlineStr">
        <is>
          <t>env: dev  ·  Scope: Global — fix once, lands everywhere</t>
        </is>
      </c>
      <c r="M13" s="28" t="inlineStr">
        <is>
          <t>Global</t>
        </is>
      </c>
    </row>
    <row r="14">
      <c r="A14" s="27" t="inlineStr">
        <is>
          <t>NMB-GLOBAL-051</t>
        </is>
      </c>
      <c r="B14" s="28" t="inlineStr">
        <is>
          <t>Global · Colours are typed as literals rather than bound to tokens, so the build has its own palette</t>
        </is>
      </c>
      <c r="C14" s="28" t="inlineStr">
        <is>
          <t>Color &amp; Token</t>
        </is>
      </c>
      <c r="D14" s="28" t="inlineStr">
        <is>
          <t>Major</t>
        </is>
      </c>
      <c r="E14" s="28" t="inlineStr">
        <is>
          <t>Figma: The design works from a published token contract of 33 colours - #003366, #1F2937, #E5E7EB, #D1D5DB and the rest - and a form field's edge is the contract's #D1D5DB.  →  Live: The build paints 110 distinct colours across the 51 captured screens. Twenty-seven of them are design values; THIRTY-FIVE more sit within 24 points of one, which is close enough to look right in review and far enough to be a different literal in the code. The field anchored here is edged #CED4DA against the contract's #D1D5DB - three points apart, on 16 fields across four screens. The largest is #9CA3AF where the design frames use #94A3B8, on 1,471 elements across all 51 screens; then #0A2C53 for #002244 on 201, #D64539 for #EC5042 on 124 across seven screens, #DBEAFE for #D2E3FC on 100, and #217A39 for #2E7D32 on 88. Read from the DOM on the live build, 2026-09-12; the full table is docs/audit/nmba-colour-drift.md.</t>
        </is>
      </c>
      <c r="F14" s="28" t="inlineStr">
        <is>
          <t>This is one fix, not thirty-five: bind every colour to its token instead of typing the value. Six findings in this report each name a single instance - the KPI tint (NMB-GLOBAL-012), the activity card edge (NMB-SCREEN-046), the facility card button (NMB-SCREEN-019), the facility chip (NMB-SCREEN-021), the sheet border (NMB-SCREEN-042) and the status labels (NMB-SCREEN-050) - and each of those is this same defect seen once. Correcting them one at a time leaves the next thirty-five to be found by eye. A three-point difference cannot be reviewed reliably by anyone, which is exactly why the values have to come from the tokens.</t>
        </is>
      </c>
      <c r="G14" s="28" t="inlineStr">
        <is>
          <t>https://www.figma.com/design/evmNmlK8g4VYwJVu2FwSGV/MoSJE-Portal--Handoff-?node-id=52066-127999</t>
        </is>
      </c>
      <c r="H14" s="28" t="inlineStr"/>
      <c r="I14" s="28" t="inlineStr">
        <is>
          <t>Open</t>
        </is>
      </c>
      <c r="J14" s="28" t="n"/>
      <c r="K14" s="28" t="n"/>
      <c r="L14" s="28" t="inlineStr">
        <is>
          <t>env: dev  ·  Scope: Global — fix once, lands everywhere</t>
        </is>
      </c>
      <c r="M14" s="28" t="inlineStr">
        <is>
          <t>Global</t>
        </is>
      </c>
    </row>
    <row r="15">
      <c r="A15" s="27" t="inlineStr">
        <is>
          <t>NMB-GLOBAL-007</t>
        </is>
      </c>
      <c r="B15" s="28" t="inlineStr">
        <is>
          <t>Global · Dropdowns are the browser's own select, not the design system's</t>
        </is>
      </c>
      <c r="C15" s="28" t="inlineStr">
        <is>
          <t>Components &amp; States</t>
        </is>
      </c>
      <c r="D15" s="28" t="inlineStr">
        <is>
          <t>Minor</t>
        </is>
      </c>
      <c r="E15" s="28" t="inlineStr">
        <is>
          <t>Figma: Every dropdown is the design-system select: a rounded bordered field with its own chevron and the label at 14px #1F2937.  →  Live: The rows-per-page control, the facility filter and the three activity filters render as an unstyled native &lt;select&gt; with the operating system's chevron and its own border radius, so they look different on every browser and different from every other control on the page.</t>
        </is>
      </c>
      <c r="F15" s="28" t="inlineStr">
        <is>
          <t>Skin these with the design-system select so their border, radius, type and chevron match the rest of the interface.</t>
        </is>
      </c>
      <c r="G15" s="28" t="inlineStr">
        <is>
          <t>https://www.figma.com/design/evmNmlK8g4VYwJVu2FwSGV/MoSJE-Portal--Handoff-?node-id=52092-136433</t>
        </is>
      </c>
      <c r="H15" s="28" t="inlineStr">
        <is>
          <t>https://nmba-admin-dev.mosje.in/napddr/state-committee</t>
        </is>
      </c>
      <c r="I15" s="28" t="inlineStr">
        <is>
          <t>Open</t>
        </is>
      </c>
      <c r="J15" s="28" t="n"/>
      <c r="K15" s="28" t="n"/>
      <c r="L15" s="28" t="inlineStr">
        <is>
          <t>env: dev  ·  Scope: Global — fix once, lands everywhere</t>
        </is>
      </c>
      <c r="M15" s="28" t="inlineStr">
        <is>
          <t>Global</t>
        </is>
      </c>
    </row>
    <row r="16">
      <c r="A16" s="27" t="inlineStr">
        <is>
          <t>NMB-GLOBAL-008</t>
        </is>
      </c>
      <c r="B16" s="28" t="inlineStr">
        <is>
          <t>Global · The search magnifier is missing, or sits on the wrong side</t>
        </is>
      </c>
      <c r="C16" s="28" t="inlineStr">
        <is>
          <t>Content &amp; Iconography</t>
        </is>
      </c>
      <c r="D16" s="28" t="inlineStr">
        <is>
          <t>Minor</t>
        </is>
      </c>
      <c r="E16" s="28" t="inlineStr">
        <is>
          <t>Figma: Every search field carries a magnifier inside its left edge, ahead of the placeholder.  →  Live: Checked screen by screen on the live build, 2026-09-11: the magnifier is absent on User Management, the Ministries dashboard, all four NAPDDR screens and Facilities, and on Important Documents, Pledge Reports, List of SNO and the Nasha Mukti Mitr Report it is drawn inside the RIGHT edge instead. So the same control takes three different forms across the portal as well as differing from the design.</t>
        </is>
      </c>
      <c r="F16" s="28" t="inlineStr">
        <is>
          <t>Put the magnifier inside the left edge of every search field, as the design does.</t>
        </is>
      </c>
      <c r="G16" s="28" t="inlineStr">
        <is>
          <t>https://www.figma.com/design/evmNmlK8g4VYwJVu2FwSGV/MoSJE-Portal--Handoff-?node-id=52070-443098</t>
        </is>
      </c>
      <c r="H16" s="28" t="inlineStr">
        <is>
          <t>https://nmba-admin-dev.mosje.in/important-documents</t>
        </is>
      </c>
      <c r="I16" s="28" t="inlineStr">
        <is>
          <t>Open</t>
        </is>
      </c>
      <c r="J16" s="28" t="n"/>
      <c r="K16" s="28" t="n"/>
      <c r="L16" s="28" t="inlineStr">
        <is>
          <t>env: dev  ·  Scope: Global — fix once, lands everywhere</t>
        </is>
      </c>
      <c r="M16" s="28" t="inlineStr">
        <is>
          <t>Global</t>
        </is>
      </c>
    </row>
    <row r="17">
      <c r="A17" s="27" t="inlineStr">
        <is>
          <t>NMB-GLOBAL-010</t>
        </is>
      </c>
      <c r="B17" s="28" t="inlineStr">
        <is>
          <t>Global · Table cell text is lighter than the design</t>
        </is>
      </c>
      <c r="C17" s="28" t="inlineStr">
        <is>
          <t>Color &amp; Token</t>
        </is>
      </c>
      <c r="D17" s="28" t="inlineStr">
        <is>
          <t>Minor</t>
        </is>
      </c>
      <c r="E17" s="28" t="inlineStr">
        <is>
          <t>Figma: Cell values are #1F2937, the same near-black the rest of the body copy uses.  →  Live: Cell values are #4B5563. It still clears AA, but it makes the data quieter than its own column headers, which the design does not do.</t>
        </is>
      </c>
      <c r="F17" s="28" t="inlineStr">
        <is>
          <t>Set cell values to #1F2937 and leave #4B5563 for secondary lines inside a cell.</t>
        </is>
      </c>
      <c r="G17" s="28" t="inlineStr">
        <is>
          <t>https://www.figma.com/design/evmNmlK8g4VYwJVu2FwSGV/MoSJE-Portal--Handoff-?node-id=52061-126900</t>
        </is>
      </c>
      <c r="H17" s="28" t="inlineStr">
        <is>
          <t>https://nmba-admin-dev.mosje.in/user-management</t>
        </is>
      </c>
      <c r="I17" s="28" t="inlineStr">
        <is>
          <t>Open</t>
        </is>
      </c>
      <c r="J17" s="28" t="n"/>
      <c r="K17" s="28" t="n"/>
      <c r="L17" s="28" t="inlineStr">
        <is>
          <t>env: dev  ·  Scope: Global — fix once, lands everywhere</t>
        </is>
      </c>
      <c r="M17" s="28" t="inlineStr">
        <is>
          <t>Global</t>
        </is>
      </c>
    </row>
    <row r="18">
      <c r="A18" s="27" t="inlineStr">
        <is>
          <t>NMB-GLOBAL-011</t>
        </is>
      </c>
      <c r="B18" s="28" t="inlineStr">
        <is>
          <t>Global · The page title is a lighter grey than the design</t>
        </is>
      </c>
      <c r="C18" s="28" t="inlineStr">
        <is>
          <t>Color &amp; Token</t>
        </is>
      </c>
      <c r="D18" s="28" t="inlineStr">
        <is>
          <t>Minor</t>
        </is>
      </c>
      <c r="E18" s="28" t="inlineStr">
        <is>
          <t>Figma: The page title is 24px SemiBold #1F2937.  →  Live: The page title is 24px 600 #374151 - the right size and weight, a lighter colour.</t>
        </is>
      </c>
      <c r="F18" s="28" t="inlineStr">
        <is>
          <t>Set the page title to #1F2937.</t>
        </is>
      </c>
      <c r="G18" s="28" t="inlineStr">
        <is>
          <t>https://www.figma.com/design/evmNmlK8g4VYwJVu2FwSGV/MoSJE-Portal--Handoff-?node-id=52061-126900</t>
        </is>
      </c>
      <c r="H18" s="28" t="inlineStr">
        <is>
          <t>https://nmba-admin-dev.mosje.in/user-management</t>
        </is>
      </c>
      <c r="I18" s="28" t="inlineStr">
        <is>
          <t>Open</t>
        </is>
      </c>
      <c r="J18" s="28" t="n"/>
      <c r="K18" s="28" t="n"/>
      <c r="L18" s="28" t="inlineStr">
        <is>
          <t>env: dev  ·  Scope: Global — fix once, lands everywhere</t>
        </is>
      </c>
      <c r="M18" s="28" t="inlineStr">
        <is>
          <t>Global</t>
        </is>
      </c>
    </row>
    <row r="19">
      <c r="A19" s="27" t="inlineStr">
        <is>
          <t>NMB-GLOBAL-012</t>
        </is>
      </c>
      <c r="B19" s="28" t="inlineStr">
        <is>
          <t>Global · KPI icon tiles use a pink tint that is not a token</t>
        </is>
      </c>
      <c r="C19" s="28" t="inlineStr">
        <is>
          <t>Color &amp; Token</t>
        </is>
      </c>
      <c r="D19" s="28" t="inlineStr">
        <is>
          <t>Minor</t>
        </is>
      </c>
      <c r="E19" s="28" t="inlineStr">
        <is>
          <t>Figma: Every KPI icon sits on a 32x32 tile filled #E5EFF9 - Primary/50 - at radius 10, so the row of cards reads as one set. The card around it is 353x138, #FFFFFF, 1px #E5E7EB, radius 16, padded 24 - which the build matches almost exactly, at 355x134. It is only the tile that differs.  →  Live: The tile is 44x44 at radius 12 - a third larger than the design's 32x32 at radius 10 - and it is tinted per card. Read from the DOM on the live officer dashboard, 2026-09-11, the four tiles in one row are #FDE8EF (pink, on 'Important Documents'), #E6F7FB (cyan), #FFF6E5 (cream) and #EEF1F4 (grey). NONE of the four is in the NMBA token set, against the design's single #E5EFF9, which is. So a row of metrics that carry no status meaning is colour-coded as though they did, in four colours the design never published - on a tile that is also the wrong size. The card itself is right, which is worth saying: this is the tile, not the component.</t>
        </is>
      </c>
      <c r="F19" s="28" t="inlineStr">
        <is>
          <t>Draw the tile at 32x32, radius 10, filled #E5EFF9. Reserve a coloured tint for a metric that genuinely signals a state, and take the tint from the token set when you do.</t>
        </is>
      </c>
      <c r="G19" s="28" t="inlineStr">
        <is>
          <t>https://www.figma.com/design/evmNmlK8g4VYwJVu2FwSGV/MoSJE-Portal--Handoff-?node-id=2309-14405</t>
        </is>
      </c>
      <c r="H19" s="28" t="inlineStr">
        <is>
          <t>https://nmba-admin-dev.mosje.in/dashboard</t>
        </is>
      </c>
      <c r="I19" s="28" t="inlineStr">
        <is>
          <t>Open</t>
        </is>
      </c>
      <c r="J19" s="28" t="n"/>
      <c r="K19" s="28" t="n"/>
      <c r="L19" s="28" t="inlineStr">
        <is>
          <t>env: dev  ·  Scope: Global — fix once, lands everywhere</t>
        </is>
      </c>
      <c r="M19" s="28" t="inlineStr">
        <is>
          <t>Global</t>
        </is>
      </c>
    </row>
    <row r="20">
      <c r="A20" s="27" t="inlineStr">
        <is>
          <t>NMB-GLOBAL-013</t>
        </is>
      </c>
      <c r="B20" s="28" t="inlineStr">
        <is>
          <t>Global · The KPI value is 30px, which is not on the type scale</t>
        </is>
      </c>
      <c r="C20" s="28" t="inlineStr">
        <is>
          <t>Typography</t>
        </is>
      </c>
      <c r="D20" s="28" t="inlineStr">
        <is>
          <t>Minor</t>
        </is>
      </c>
      <c r="E20" s="28" t="inlineStr">
        <is>
          <t>Figma: The KPI value is 32px SemiBold #003366 - the top step of the published scale.  →  Live: The KPI value is 30px. The scale runs 24, 28, 32; 30 is not a step on it, so this number is the only type size in the portal that no token can express.</t>
        </is>
      </c>
      <c r="F20" s="28" t="inlineStr">
        <is>
          <t>Set the KPI value to 32px.</t>
        </is>
      </c>
      <c r="G20" s="28" t="inlineStr">
        <is>
          <t>https://www.figma.com/design/evmNmlK8g4VYwJVu2FwSGV/MoSJE-Portal--Handoff-?node-id=2309-14405</t>
        </is>
      </c>
      <c r="H20" s="28" t="inlineStr">
        <is>
          <t>https://nmba-admin-dev.mosje.in/dashboard</t>
        </is>
      </c>
      <c r="I20" s="28" t="inlineStr">
        <is>
          <t>Open</t>
        </is>
      </c>
      <c r="J20" s="28" t="n"/>
      <c r="K20" s="28" t="n"/>
      <c r="L20" s="28" t="inlineStr">
        <is>
          <t>env: dev  ·  Scope: Global — fix once, lands everywhere</t>
        </is>
      </c>
      <c r="M20" s="28" t="inlineStr">
        <is>
          <t>Global</t>
        </is>
      </c>
    </row>
    <row r="21">
      <c r="A21" s="27" t="inlineStr">
        <is>
          <t>NMB-GLOBAL-033</t>
        </is>
      </c>
      <c r="B21" s="28" t="inlineStr">
        <is>
          <t>Global · Export is two buttons where the design has one</t>
        </is>
      </c>
      <c r="C21" s="28" t="inlineStr">
        <is>
          <t>Components &amp; States</t>
        </is>
      </c>
      <c r="D21" s="28" t="inlineStr">
        <is>
          <t>Minor</t>
        </is>
      </c>
      <c r="E21" s="28" t="inlineStr">
        <is>
          <t>Figma: One 'Export' button with a chevron, 110x38 at the right of the page header. Where a choice of format is offered the design opens it as a menu beneath - the NAPDDR Committee Reports frame draws that menu, with 'Export as XLS' and 'Export as PDF' as its two items.  →  Live: Two permanent side-by-side buttons, 'Export Excel' (115x38) and 'Export PDF' (108x38), on 29 of the 42 captured screens. Both formats occupy the header on every screen whether or not either is wanted, and the pair is 231px wide against the design's 110px.</t>
        </is>
      </c>
      <c r="F21" s="28" t="inlineStr">
        <is>
          <t>Collapse the two into the design's single 'Export' button and put the formats in the menu the design already draws for them.</t>
        </is>
      </c>
      <c r="G21" s="28" t="inlineStr">
        <is>
          <t>https://www.figma.com/design/evmNmlK8g4VYwJVu2FwSGV/MoSJE-Portal--Handoff-?node-id=52061-126900</t>
        </is>
      </c>
      <c r="H21" s="28" t="inlineStr">
        <is>
          <t>https://nmba-admin-dev.mosje.in/user-management</t>
        </is>
      </c>
      <c r="I21" s="28" t="inlineStr">
        <is>
          <t>Open</t>
        </is>
      </c>
      <c r="J21" s="28" t="n"/>
      <c r="K21" s="28" t="n"/>
      <c r="L21" s="28" t="inlineStr">
        <is>
          <t>env: dev  ·  Scope: Global — fix once, lands everywhere</t>
        </is>
      </c>
      <c r="M21" s="28" t="inlineStr">
        <is>
          <t>Global</t>
        </is>
      </c>
    </row>
    <row r="22">
      <c r="A22" s="27" t="inlineStr">
        <is>
          <t>NMB-GLOBAL-034</t>
        </is>
      </c>
      <c r="B22" s="28" t="inlineStr">
        <is>
          <t>Global · Every page number is boxed, so the current page has no mark</t>
        </is>
      </c>
      <c r="C22" s="28" t="inlineStr">
        <is>
          <t>Components &amp; States</t>
        </is>
      </c>
      <c r="D22" s="28" t="inlineStr">
        <is>
          <t>Minor</t>
        </is>
      </c>
      <c r="E22" s="28" t="inlineStr">
        <is>
          <t>Figma: Only the current page is boxed - a single outlined square around '1' - and the rest are bare numerals. Six pages are offered before the ellipsis, then the last page: 1 2 3 4 5 6 ... 125.  →  Live: Every page number carries its own outlined box, so the box no longer says which page you are on and the strip reads as seven identical buttons. Three pages are offered before the ellipsis instead of six. The strip is also packed tighter and quieter than designed: 4px between cells against the design's 16, and the numerals #374151 against #1F2937.</t>
        </is>
      </c>
      <c r="F22" s="28" t="inlineStr">
        <is>
          <t>Box the current page only, leave the other numbers bare, and show the design's six pages before the ellipsis. This is the same pagination the hyphen and plus sign belong to (NMB-GLOBAL-006); fixing the glyphs without fixing the boxing leaves the reader still unable to see which page they are on.</t>
        </is>
      </c>
      <c r="G22" s="28" t="inlineStr">
        <is>
          <t>https://www.figma.com/design/evmNmlK8g4VYwJVu2FwSGV/MoSJE-Portal--Handoff-?node-id=52061-126900</t>
        </is>
      </c>
      <c r="H22" s="28" t="inlineStr">
        <is>
          <t>https://nmba-admin-dev.mosje.in/user-management</t>
        </is>
      </c>
      <c r="I22" s="28" t="inlineStr">
        <is>
          <t>Open</t>
        </is>
      </c>
      <c r="J22" s="28" t="n"/>
      <c r="K22" s="28" t="n"/>
      <c r="L22" s="28" t="inlineStr">
        <is>
          <t>env: dev  ·  Scope: Global — fix once, lands everywhere</t>
        </is>
      </c>
      <c r="M22" s="28" t="inlineStr">
        <is>
          <t>Global</t>
        </is>
      </c>
    </row>
    <row r="23">
      <c r="A23" s="27" t="inlineStr">
        <is>
          <t>NMB-GLOBAL-035</t>
        </is>
      </c>
      <c r="B23" s="28" t="inlineStr">
        <is>
          <t>Global · The table sits inside an extra white container</t>
        </is>
      </c>
      <c r="C23" s="28" t="inlineStr">
        <is>
          <t>Layout &amp; Spacing</t>
        </is>
      </c>
      <c r="D23" s="28" t="inlineStr">
        <is>
          <t>Minor</t>
        </is>
      </c>
      <c r="E23" s="28" t="inlineStr">
        <is>
          <t>Figma: The search row and the table are two separate white cards sitting directly on the page's #F9FAFB ground - sampled at x312, y250, between the sidebar and the table's left edge.  →  Live: A third white panel wraps both of them - measured in the DOM on the live build 2026-09-11 as a 1112px div at x308, #FFFFFF, radius 6, with its own border - so the same pixel measures #FFFFFF and the table's own card is drawn inside a second border. The page ground disappears from the whole content column.</t>
        </is>
      </c>
      <c r="F23" s="28" t="inlineStr">
        <is>
          <t>Drop the outer panel and let the search row and the table sit on the page ground as the design does. Nothing else needs to move: both inner cards already carry their own border and radius.</t>
        </is>
      </c>
      <c r="G23" s="28" t="inlineStr">
        <is>
          <t>https://www.figma.com/design/evmNmlK8g4VYwJVu2FwSGV/MoSJE-Portal--Handoff-?node-id=52061-126900</t>
        </is>
      </c>
      <c r="H23" s="28" t="inlineStr">
        <is>
          <t>https://nmba-admin-dev.mosje.in/user-management</t>
        </is>
      </c>
      <c r="I23" s="28" t="inlineStr">
        <is>
          <t>Open</t>
        </is>
      </c>
      <c r="J23" s="28" t="n"/>
      <c r="K23" s="28" t="n"/>
      <c r="L23" s="28" t="inlineStr">
        <is>
          <t>env: dev  ·  Scope: Global — fix once, lands everywhere</t>
        </is>
      </c>
      <c r="M23" s="28" t="inlineStr">
        <is>
          <t>Global</t>
        </is>
      </c>
    </row>
    <row r="24">
      <c r="A24" s="27" t="inlineStr">
        <is>
          <t>NMB-GLOBAL-036</t>
        </is>
      </c>
      <c r="B24" s="28" t="inlineStr">
        <is>
          <t>Global · A date breaks across two lines in a narrow table column</t>
        </is>
      </c>
      <c r="C24" s="28" t="inlineStr">
        <is>
          <t>Layout &amp; Spacing</t>
        </is>
      </c>
      <c r="D24" s="28" t="inlineStr">
        <is>
          <t>Minor</t>
        </is>
      </c>
      <c r="E24" s="28" t="inlineStr">
        <is>
          <t>Figma: Every column in the design is wide enough for what it holds: the widest header, 'Chariperson/Chief Secretary', is given 209px and its values sit on one line.  →  Live: The 'Formed on' column is 94px wide, so the ten-character date 2012-12-12 breaks after the second hyphen and renders as '2012-12-' above '12'. A date split across two lines cannot be read or compared down the column, and the break is what pushes these rows to 65px.</t>
        </is>
      </c>
      <c r="F24" s="28" t="inlineStr">
        <is>
          <t>Give the date column enough width for its longest value - 10 characters at 14px needs about 105px inside its padding - or stop the value wrapping. The same applies to the header above it, which breaks as 'Formed' / 'on'.</t>
        </is>
      </c>
      <c r="G24" s="28" t="inlineStr">
        <is>
          <t>https://www.figma.com/design/evmNmlK8g4VYwJVu2FwSGV/MoSJE-Portal--Handoff-?node-id=52095-142880</t>
        </is>
      </c>
      <c r="H24" s="28" t="inlineStr">
        <is>
          <t>https://nmba-admin-dev.mosje.in/napddr/committee-reports</t>
        </is>
      </c>
      <c r="I24" s="28" t="inlineStr">
        <is>
          <t>Open</t>
        </is>
      </c>
      <c r="J24" s="28" t="n"/>
      <c r="K24" s="28" t="n"/>
      <c r="L24" s="28" t="inlineStr">
        <is>
          <t>env: dev  ·  Scope: Global — fix once, lands everywhere</t>
        </is>
      </c>
      <c r="M24" s="28" t="inlineStr">
        <is>
          <t>Global</t>
        </is>
      </c>
    </row>
    <row r="25">
      <c r="A25" s="27" t="inlineStr">
        <is>
          <t>NMB-GLOBAL-037</t>
        </is>
      </c>
      <c r="B25" s="28" t="inlineStr">
        <is>
          <t>Global · The account identity reverses its layout</t>
        </is>
      </c>
      <c r="C25" s="28" t="inlineStr">
        <is>
          <t>Layout &amp; Spacing</t>
        </is>
      </c>
      <c r="D25" s="28" t="inlineStr">
        <is>
          <t>Minor</t>
        </is>
      </c>
      <c r="E25" s="28" t="inlineStr">
        <is>
          <t>Figma: The name leads at 16px, the role sits under it right-aligned and quieter, and the square initials tile closes the group on the right - text first, tile last, the group ending flush with the page's right margin.  →  Live: The initials tile leads on the left and the text follows it, the role is wrapped in brackets under the name as '(Admin)' rather than set as a quieter second line, and the block is left-aligned against the tile instead of ranged right.</t>
        </is>
      </c>
      <c r="F25" s="28" t="inlineStr">
        <is>
          <t>Put the tile back on the right of the name and role, range the two text lines right, and set the role as the design does - no brackets, the quieter of the two weights.</t>
        </is>
      </c>
      <c r="G25" s="28" t="inlineStr">
        <is>
          <t>https://www.figma.com/design/evmNmlK8g4VYwJVu2FwSGV/MoSJE-Portal--Handoff-?node-id=52061-126900</t>
        </is>
      </c>
      <c r="H25" s="28" t="inlineStr">
        <is>
          <t>https://nmba-admin-dev.mosje.in/user-management</t>
        </is>
      </c>
      <c r="I25" s="28" t="inlineStr">
        <is>
          <t>Open</t>
        </is>
      </c>
      <c r="J25" s="28" t="n"/>
      <c r="K25" s="28" t="n"/>
      <c r="L25" s="28" t="inlineStr">
        <is>
          <t>env: dev  ·  Scope: Global — fix once, lands everywhere</t>
        </is>
      </c>
      <c r="M25" s="28" t="inlineStr">
        <is>
          <t>Global</t>
        </is>
      </c>
    </row>
    <row r="26">
      <c r="A26" s="27" t="inlineStr">
        <is>
          <t>NMB-GLOBAL-038</t>
        </is>
      </c>
      <c r="B26" s="28" t="inlineStr">
        <is>
          <t>Global · The admin sidebar sits on a 40px rhythm where the design uses 60px</t>
        </is>
      </c>
      <c r="C26" s="28" t="inlineStr">
        <is>
          <t>Layout &amp; Spacing</t>
        </is>
      </c>
      <c r="D26" s="28" t="inlineStr">
        <is>
          <t>Minor</t>
        </is>
      </c>
      <c r="E26" s="28" t="inlineStr">
        <is>
          <t>Figma: Sidebar items repeat every 60px - measured across thirteen items, the gaps run 57 to 61px - which is what gives each item its own space beside a 24px icon.  →  Live: Items repeat every 40px, a third tighter, and the labels are 20px tall inside that, so the list reads as one dense block rather than as separate destinations.</t>
        </is>
      </c>
      <c r="F26" s="28" t="inlineStr">
        <is>
          <t>Restore the design's 60px item rhythm. This is the third thing the admin sidebar changes from the design - see also NMB-GLOBAL-001 for the label colour and NMB-GLOBAL-003 for the missing icons; all three need to land together for the sidebar to match.</t>
        </is>
      </c>
      <c r="G26" s="28" t="inlineStr">
        <is>
          <t>https://www.figma.com/design/evmNmlK8g4VYwJVu2FwSGV/MoSJE-Portal--Handoff-?node-id=52061-126900</t>
        </is>
      </c>
      <c r="H26" s="28" t="inlineStr">
        <is>
          <t>https://nmba-admin-dev.mosje.in/user-management</t>
        </is>
      </c>
      <c r="I26" s="28" t="inlineStr">
        <is>
          <t>Open</t>
        </is>
      </c>
      <c r="J26" s="28" t="n"/>
      <c r="K26" s="28" t="n"/>
      <c r="L26" s="28" t="inlineStr">
        <is>
          <t>env: dev  ·  Scope: Global — fix once, lands everywhere</t>
        </is>
      </c>
      <c r="M26" s="28" t="inlineStr">
        <is>
          <t>Global</t>
        </is>
      </c>
    </row>
    <row r="27">
      <c r="A27" s="27" t="inlineStr">
        <is>
          <t>NMB-GLOBAL-014</t>
        </is>
      </c>
      <c r="B27" s="28" t="inlineStr">
        <is>
          <t>Global · The KPI label is a lighter grey than the design</t>
        </is>
      </c>
      <c r="C27" s="28" t="inlineStr">
        <is>
          <t>Color &amp; Token</t>
        </is>
      </c>
      <c r="D27" s="28" t="inlineStr">
        <is>
          <t>Nit</t>
        </is>
      </c>
      <c r="E27" s="28" t="inlineStr">
        <is>
          <t>Figma: The KPI label is 14px SemiBold #374151.  →  Live: The KPI label is 14px 600 #6B7280.</t>
        </is>
      </c>
      <c r="F27" s="28" t="inlineStr">
        <is>
          <t>Set the KPI label to #374151.</t>
        </is>
      </c>
      <c r="G27" s="28" t="inlineStr">
        <is>
          <t>https://www.figma.com/design/evmNmlK8g4VYwJVu2FwSGV/MoSJE-Portal--Handoff-?node-id=2309-14405</t>
        </is>
      </c>
      <c r="H27" s="28" t="inlineStr">
        <is>
          <t>https://nmba-admin-dev.mosje.in/dashboard</t>
        </is>
      </c>
      <c r="I27" s="28" t="inlineStr">
        <is>
          <t>Open</t>
        </is>
      </c>
      <c r="J27" s="28" t="n"/>
      <c r="K27" s="28" t="n"/>
      <c r="L27" s="28" t="inlineStr">
        <is>
          <t>env: dev  ·  Scope: Global — fix once, lands everywhere</t>
        </is>
      </c>
      <c r="M27" s="28" t="inlineStr">
        <is>
          <t>Global</t>
        </is>
      </c>
    </row>
    <row r="28">
      <c r="A28" s="27" t="inlineStr">
        <is>
          <t>NMB-GLOBAL-015</t>
        </is>
      </c>
      <c r="B28" s="28" t="inlineStr">
        <is>
          <t>Global · The selected navigation item is a tighter pill in a heavier weight</t>
        </is>
      </c>
      <c r="C28" s="28" t="inlineStr">
        <is>
          <t>Components &amp; States</t>
        </is>
      </c>
      <c r="D28" s="28" t="inlineStr">
        <is>
          <t>Nit</t>
        </is>
      </c>
      <c r="E28" s="28" t="inlineStr">
        <is>
          <t>Figma: The selected item is a 48px-tall pill at radius 16 filled #E5EFF9, its label at 14px Regular #003366 - the same weight as every other item, distinguished by the fill alone.  →  Live: The selected item's label is set Bold, where the design changes only the fill. Its 36px height and radius 10 are not particular to the selected row - EVERY row in the panel is built that way, which is NMB-GLOBAL-039. What belongs to this finding is the WEIGHT: the design marks the current page with a fill alone and the build marks it twice.</t>
        </is>
      </c>
      <c r="F28" s="28" t="inlineStr">
        <is>
          <t>Keep the selected label at the same weight as the rest and let the fill do the work. The pill's height and radius come right with NMB-GLOBAL-039, which fixes them for every row at once.</t>
        </is>
      </c>
      <c r="G28" s="28" t="inlineStr">
        <is>
          <t>https://www.figma.com/design/evmNmlK8g4VYwJVu2FwSGV/MoSJE-Portal--Handoff-?node-id=52061-126900</t>
        </is>
      </c>
      <c r="H28" s="28" t="inlineStr">
        <is>
          <t>https://nmba-admin-dev.mosje.in/user-management</t>
        </is>
      </c>
      <c r="I28" s="28" t="inlineStr">
        <is>
          <t>Open</t>
        </is>
      </c>
      <c r="J28" s="28" t="n"/>
      <c r="K28" s="28" t="n"/>
      <c r="L28" s="28" t="inlineStr">
        <is>
          <t>env: dev  ·  Scope: Global — fix once, lands everywhere</t>
        </is>
      </c>
      <c r="M28" s="28" t="inlineStr">
        <is>
          <t>Global</t>
        </is>
      </c>
    </row>
    <row r="29">
      <c r="A29" s="27" t="inlineStr">
        <is>
          <t>NMB-GLOBAL-031</t>
        </is>
      </c>
      <c r="B29" s="28" t="inlineStr">
        <is>
          <t>Global · Use the relevant filter options and follow the design</t>
        </is>
      </c>
      <c r="C29" s="28" t="inlineStr">
        <is>
          <t>Components &amp; States</t>
        </is>
      </c>
      <c r="D29" s="28" t="inlineStr">
        <is>
          <t>Nit</t>
        </is>
      </c>
      <c r="E29" s="28" t="inlineStr">
        <is>
          <t>Figma: Several screens draw more filters than the build offers - the citizen dashboard's State and District selects, the admin list screens' 'All States/UTs', the officer dashboard's four-filter row.  →  Live: Raised once, as a note: show the filters each screen actually needs and style them as the design does. It is deliberately not repeated as a finding on each screen.</t>
        </is>
      </c>
      <c r="F29" s="28" t="inlineStr">
        <is>
          <t>Show the filters each screen actually needs and style them as the design does.</t>
        </is>
      </c>
      <c r="G29" s="28" t="n"/>
      <c r="H29" s="28" t="n"/>
      <c r="I29" s="28" t="inlineStr">
        <is>
          <t>Open</t>
        </is>
      </c>
      <c r="J29" s="28" t="n"/>
      <c r="K29" s="28" t="n"/>
      <c r="L29" s="28" t="inlineStr">
        <is>
          <t>env: dev  ·  Scope: Global — fix once, lands everywhere</t>
        </is>
      </c>
      <c r="M29" s="28" t="inlineStr">
        <is>
          <t>Global</t>
        </is>
      </c>
    </row>
    <row r="30">
      <c r="A30" s="27" t="inlineStr">
        <is>
          <t>NMB-SCREEN-032</t>
        </is>
      </c>
      <c r="B30" s="28" t="inlineStr">
        <is>
          <t>Citizen - About Us</t>
        </is>
      </c>
      <c r="C30" s="28" t="inlineStr">
        <is>
          <t>Components &amp; States</t>
        </is>
      </c>
      <c r="D30" s="28" t="inlineStr">
        <is>
          <t>Major</t>
        </is>
      </c>
      <c r="E30" s="28" t="inlineStr">
        <is>
          <t>Figma: The citizen design draws no About Us link and no About Us page, and it has no not-found state at all - every link it draws resolves to a screen it also draws.  →  Live: The home page carries an 'About Us' link in its body. It goes to /about-us, which answers HTTP 200 and then renders a not-found page: a near-black card, a cartoon robot, and the words 'Something went wrong... The page you're looking for has vanished.' Re-checked on the live build 2026-09-11, where a third thing turned up: that whole card is a single 299x187 &lt;img&gt; with alt='404 Not Found'. The heading, the apology and the explanation are pixels - no text node on the page carries any of them - so they cannot be translated by the portal's own language control, cannot reflow, and reach a screen reader as four words. So: a public link on a Government of India landing page that leads nowhere, a 200 response that says 404 (which is what a search engine indexes), and the message itself locked inside a picture.</t>
        </is>
      </c>
      <c r="F30" s="28" t="inlineStr">
        <is>
          <t>Either build the About Us page or take the link off the home page. Whichever is chosen, the not-found page needs to answer with a 404 status and be redrawn in the portal's own language - white card on #F9FAFB, navy heading, the design system's button, and the message as real text rather than baked into an image - rather than a dark panel and a cartoon. Note that the ADMIN shell answers the same missing route differently again, by silently rendering the dashboard (NMB-SCREEN-026): the estate needs one not-found behaviour, not two wrong ones.</t>
        </is>
      </c>
      <c r="G30" s="28" t="n"/>
      <c r="H30" s="28" t="inlineStr">
        <is>
          <t>https://nmba-user-dev.mosje.in/about-us</t>
        </is>
      </c>
      <c r="I30" s="28" t="inlineStr">
        <is>
          <t>Open</t>
        </is>
      </c>
      <c r="J30" s="28" t="n"/>
      <c r="K30" s="28" t="n"/>
      <c r="L30" s="28" t="inlineStr">
        <is>
          <t>env: dev</t>
        </is>
      </c>
      <c r="M30" s="28" t="inlineStr">
        <is>
          <t>Screen</t>
        </is>
      </c>
    </row>
    <row r="31">
      <c r="A31" s="27" t="inlineStr">
        <is>
          <t>NMB-SCREEN-018</t>
        </is>
      </c>
      <c r="B31" s="28" t="inlineStr">
        <is>
          <t>Citizen - Activity Snapshots</t>
        </is>
      </c>
      <c r="C31" s="28" t="inlineStr">
        <is>
          <t>Components &amp; States</t>
        </is>
      </c>
      <c r="D31" s="28" t="inlineStr">
        <is>
          <t>Major</t>
        </is>
      </c>
      <c r="E31" s="28" t="inlineStr">
        <is>
          <t>Figma: Each card carries five things: the type chip at 11px, the activity title at 16px Medium #1F2937, a two-to-three line description at 12px, then the location and the date.  →  Live: Each card carries three: the type as a chip, the location and the date. The activity's own title and its description are not rendered, so the card's only heading is the category it belongs to.</t>
        </is>
      </c>
      <c r="F31" s="28" t="inlineStr">
        <is>
          <t>Render the activity title and its description between the chip and the location line, at the sizes the design specifies.</t>
        </is>
      </c>
      <c r="G31" s="28" t="inlineStr">
        <is>
          <t>https://www.figma.com/design/evmNmlK8g4VYwJVu2FwSGV/MoSJE-Portal--Handoff-?node-id=9081-58966</t>
        </is>
      </c>
      <c r="H31" s="28" t="inlineStr">
        <is>
          <t>https://nmba-user-dev.mosje.in/activities</t>
        </is>
      </c>
      <c r="I31" s="28" t="inlineStr">
        <is>
          <t>Open</t>
        </is>
      </c>
      <c r="J31" s="28" t="n"/>
      <c r="K31" s="28" t="n"/>
      <c r="L31" s="28" t="inlineStr">
        <is>
          <t>env: dev</t>
        </is>
      </c>
      <c r="M31" s="28" t="inlineStr">
        <is>
          <t>Screen</t>
        </is>
      </c>
    </row>
    <row r="32">
      <c r="A32" s="27" t="inlineStr">
        <is>
          <t>NMB-SCREEN-046</t>
        </is>
      </c>
      <c r="B32" s="28" t="inlineStr">
        <is>
          <t>Citizen - Activity Snapshots</t>
        </is>
      </c>
      <c r="C32" s="28" t="inlineStr">
        <is>
          <t>Layout &amp; Spacing</t>
        </is>
      </c>
      <c r="D32" s="28" t="inlineStr">
        <is>
          <t>Major</t>
        </is>
      </c>
      <c r="E32" s="28" t="inlineStr">
        <is>
          <t>Figma: The card is 348x409 at radius 12 with a 1px #E5E7EB edge. Its type chip is 11px Medium #1558B0 - a blue that says 'category' - and the location and date under it are 11px Medium #374151.  →  Live: The card is 329x351 at radius 8 with a 1px #E5EAF2 edge - a sixth near-miss grey. The type chip is 14px/500 #374151: three points larger than designed and drained of its blue, so the one element that tells a reader what KIND of activity this is now looks like ordinary body text. The location drops to 12px #6B7280 and the date to 11px #6B7280, both lighter than the design's #374151.</t>
        </is>
      </c>
      <c r="F32" s="28" t="inlineStr">
        <is>
          <t>Build the card at 348x409, radius 12, edge #E5E7EB, and put the chip back to 11px Medium #1558B0. The chip is the card's only classification; at 14px in the same grey as everything else it stops doing that job. Note this is the same card that has lost its title and its description (NMB-SCREEN-018) - with those two restored and the chip recoloured, the card reads as the design intends.</t>
        </is>
      </c>
      <c r="G32" s="28" t="inlineStr">
        <is>
          <t>https://www.figma.com/design/evmNmlK8g4VYwJVu2FwSGV/MoSJE-Portal--Handoff-?node-id=9081-58966</t>
        </is>
      </c>
      <c r="H32" s="28" t="inlineStr">
        <is>
          <t>https://nmba-user-dev.mosje.in/activities</t>
        </is>
      </c>
      <c r="I32" s="28" t="inlineStr">
        <is>
          <t>Open</t>
        </is>
      </c>
      <c r="J32" s="28" t="n"/>
      <c r="K32" s="28" t="n"/>
      <c r="L32" s="28" t="inlineStr">
        <is>
          <t>env: dev</t>
        </is>
      </c>
      <c r="M32" s="28" t="inlineStr">
        <is>
          <t>Screen</t>
        </is>
      </c>
    </row>
    <row r="33">
      <c r="A33" s="27" t="inlineStr">
        <is>
          <t>NMB-SCREEN-019</t>
        </is>
      </c>
      <c r="B33" s="28" t="inlineStr">
        <is>
          <t>Citizen - Help Centres &amp; Facilities</t>
        </is>
      </c>
      <c r="C33" s="28" t="inlineStr">
        <is>
          <t>Components &amp; States</t>
        </is>
      </c>
      <c r="D33" s="28" t="inlineStr">
        <is>
          <t>Major</t>
        </is>
      </c>
      <c r="E33" s="28" t="inlineStr">
        <is>
          <t>Figma: Each facility card ends with two buttons side by side - 'Get Directions' filled #003366 and 'Call Now' white with a #003366 outline - above which sit the service tags as small pills (Inpatient Treatment, Outpatient Counseling, Detoxification, Rehabilitation).  →  Live: The card itself is a list row, not a card: 534x304 padded 20 with a rule along its TOP edge only, where the design draws a 500x334 card padded 24 inside a 1px #E5E7EB border on all four sides. Inside it, there is one button, not two: 'Get Directions' stretches 494px across the full width, where the design gives it 218x32 beside an equal 'Call Now'. It is also filled #0A2C53, not the design's #003366 - a seventh near-miss colour, this one on the primary action of the citizen's most-used card. The card can still be phoned - the number above the button is a tel: link with a green handset glyph - but it is a bare line of text where the design gives it a button beside the first, so the two things a reader does with a centre no longer look like the same kind of thing. The service tag pills are not rendered at all, so a reader cannot see what a centre offers without opening it.</t>
        </is>
      </c>
      <c r="F33" s="28" t="inlineStr">
        <is>
          <t>Give the phone number back its button beside 'Get Directions', outlined #003366 as the design draws it, and restore the service tag pills above the pair.</t>
        </is>
      </c>
      <c r="G33" s="28" t="inlineStr">
        <is>
          <t>https://www.figma.com/design/evmNmlK8g4VYwJVu2FwSGV/MoSJE-Portal--Handoff-?node-id=9081-58585</t>
        </is>
      </c>
      <c r="H33" s="28" t="inlineStr">
        <is>
          <t>https://nmba-user-dev.mosje.in/facilities</t>
        </is>
      </c>
      <c r="I33" s="28" t="inlineStr">
        <is>
          <t>Open</t>
        </is>
      </c>
      <c r="J33" s="28" t="n"/>
      <c r="K33" s="28" t="n"/>
      <c r="L33" s="28" t="inlineStr">
        <is>
          <t>env: dev</t>
        </is>
      </c>
      <c r="M33" s="28" t="inlineStr">
        <is>
          <t>Screen</t>
        </is>
      </c>
    </row>
    <row r="34">
      <c r="A34" s="27" t="inlineStr">
        <is>
          <t>NMB-SCREEN-048</t>
        </is>
      </c>
      <c r="B34" s="28" t="inlineStr">
        <is>
          <t>Citizen - Help Centres &amp; Facilities</t>
        </is>
      </c>
      <c r="C34" s="28" t="inlineStr">
        <is>
          <t>Layout &amp; Spacing</t>
        </is>
      </c>
      <c r="D34" s="28" t="inlineStr">
        <is>
          <t>Major</t>
        </is>
      </c>
      <c r="E34" s="28" t="inlineStr">
        <is>
          <t>Figma: The map takes 640x768 on the left and the facility list 500 on the right - a 56/44 split that gives the map the larger share, because finding a centre near you is what the screen is for.  →  Live: The map is 534x500 and the list is 534: a 50/50 split, with the map 106px narrower and 268px shorter than the design draws it. Measured in the DOM on the live build, 2026-09-11. A third less map area, on the screen whose job is to show a citizen where the nearest help is - and it is the same map that opens zoomed out to the whole subcontinent (NMB-SCREEN-028), so the two compound: less canvas AND a wider view.</t>
        </is>
      </c>
      <c r="F34" s="28" t="inlineStr">
        <is>
          <t>Give the map the design's 640px column and its 768px height. With NMB-SCREEN-028's zoom fixed as well, a reader lands on their own district at a usable size instead of on south Asia in a small panel.</t>
        </is>
      </c>
      <c r="G34" s="28" t="inlineStr">
        <is>
          <t>https://www.figma.com/design/evmNmlK8g4VYwJVu2FwSGV/MoSJE-Portal--Handoff-?node-id=9081-58585</t>
        </is>
      </c>
      <c r="H34" s="28" t="inlineStr">
        <is>
          <t>https://nmba-user-dev.mosje.in/facilities</t>
        </is>
      </c>
      <c r="I34" s="28" t="inlineStr">
        <is>
          <t>Open</t>
        </is>
      </c>
      <c r="J34" s="28" t="n"/>
      <c r="K34" s="28" t="n"/>
      <c r="L34" s="28" t="inlineStr">
        <is>
          <t>env: dev</t>
        </is>
      </c>
      <c r="M34" s="28" t="inlineStr">
        <is>
          <t>Screen</t>
        </is>
      </c>
    </row>
    <row r="35">
      <c r="A35" s="27" t="inlineStr">
        <is>
          <t>NMB-SCREEN-020</t>
        </is>
      </c>
      <c r="B35" s="28" t="inlineStr">
        <is>
          <t>Citizen - Help Centres &amp; Facilities</t>
        </is>
      </c>
      <c r="C35" s="28" t="inlineStr">
        <is>
          <t>Typography</t>
        </is>
      </c>
      <c r="D35" s="28" t="inlineStr">
        <is>
          <t>Minor</t>
        </is>
      </c>
      <c r="E35" s="28" t="inlineStr">
        <is>
          <t>Figma: The facility name is Title Case at 16px SemiBold #1F2937.  →  Live: The name renders in capitals - 'SOCIETY FOR EDUCATION AND ENVIRONMENT DEVELOPMENT' at 16px/600, and the address under it the same way. At this length a name in capitals is measurably slower to read, and no other name in the portal is set this way. Checked in the DOM on the live build 2026-09-11: computed text-transform is `none`, so the capitals are in the REGISTER DATA, not in the styling - which is why an earlier reading of this as an uppercase transform was wrong, and why the fix is not a CSS change.</t>
        </is>
      </c>
      <c r="F35" s="28" t="inlineStr">
        <is>
          <t>Normalise the name for display rather than printing the register verbatim - the build already owns this string on the way to the card. If the department would rather the register itself were corrected, that is a data task and this finding should be routed there instead; it is flagged as a presentation defect because the citizen-facing page is where it shows.</t>
        </is>
      </c>
      <c r="G35" s="28" t="inlineStr">
        <is>
          <t>https://www.figma.com/design/evmNmlK8g4VYwJVu2FwSGV/MoSJE-Portal--Handoff-?node-id=9081-58585</t>
        </is>
      </c>
      <c r="H35" s="28" t="inlineStr">
        <is>
          <t>https://nmba-user-dev.mosje.in/facilities</t>
        </is>
      </c>
      <c r="I35" s="28" t="inlineStr">
        <is>
          <t>Open</t>
        </is>
      </c>
      <c r="J35" s="28" t="n"/>
      <c r="K35" s="28" t="n"/>
      <c r="L35" s="28" t="inlineStr">
        <is>
          <t>env: dev</t>
        </is>
      </c>
      <c r="M35" s="28" t="inlineStr">
        <is>
          <t>Screen</t>
        </is>
      </c>
    </row>
    <row r="36">
      <c r="A36" s="27" t="inlineStr">
        <is>
          <t>NMB-SCREEN-021</t>
        </is>
      </c>
      <c r="B36" s="28" t="inlineStr">
        <is>
          <t>Citizen - Help Centres &amp; Facilities</t>
        </is>
      </c>
      <c r="C36" s="28" t="inlineStr">
        <is>
          <t>Color &amp; Token</t>
        </is>
      </c>
      <c r="D36" s="28" t="inlineStr">
        <is>
          <t>Minor</t>
        </is>
      </c>
      <c r="E36" s="28" t="inlineStr">
        <is>
          <t>Figma: The chip encodes the facility type by colour, and both colours are published tokens: a de-addiction centre is #C8E6C9 with an #81C784 border and its label #27682A, a hospital is #D2E3FC. Sampled off the design frame at the two chips it draws.  →  Live: The build DOES colour-code by type - an earlier wording of this finding said it used one fill for everything, which was wrong and is withdrawn. Read from the DOM on the live build 2026-09-11, the four chips are: CPLI #C8E6C9 / label #27682A, DDAC #EDE7F6 / #6A1B9A, IRCA #DBEAFE / #1E3A8A, ODIC #FFE0B2 / #E65100. Three of those four fills are in no NMBA token, and the one that IS - the design's green - has been put on Community-based Peer-Led Intervention, while the District De-addiction Centre, which the design draws in that green, gets the lavender. IRCA's #DBEAFE is also a near-miss of the design's hospital blue #D2E3FC: close enough to look right and different enough to drift.</t>
        </is>
      </c>
      <c r="F36" s="28" t="inlineStr">
        <is>
          <t>Bind every type chip to a published token, and put the design's green back on the de-addiction centre where the design has it. Where a type the design never drew needs its own colour, add it to the token set rather than picking a hex - three of these four came from nowhere.</t>
        </is>
      </c>
      <c r="G36" s="28" t="inlineStr">
        <is>
          <t>https://www.figma.com/design/evmNmlK8g4VYwJVu2FwSGV/MoSJE-Portal--Handoff-?node-id=9081-58585</t>
        </is>
      </c>
      <c r="H36" s="28" t="inlineStr">
        <is>
          <t>https://nmba-user-dev.mosje.in/facilities</t>
        </is>
      </c>
      <c r="I36" s="28" t="inlineStr">
        <is>
          <t>Open</t>
        </is>
      </c>
      <c r="J36" s="28" t="n"/>
      <c r="K36" s="28" t="n"/>
      <c r="L36" s="28" t="inlineStr">
        <is>
          <t>env: dev</t>
        </is>
      </c>
      <c r="M36" s="28" t="inlineStr">
        <is>
          <t>Screen</t>
        </is>
      </c>
    </row>
    <row r="37">
      <c r="A37" s="27" t="inlineStr">
        <is>
          <t>NMB-SCREEN-028</t>
        </is>
      </c>
      <c r="B37" s="28" t="inlineStr">
        <is>
          <t>Citizen - Help Centres &amp; Facilities</t>
        </is>
      </c>
      <c r="C37" s="28" t="inlineStr">
        <is>
          <t>Layout &amp; Spacing</t>
        </is>
      </c>
      <c r="D37" s="28" t="inlineStr">
        <is>
          <t>Nit</t>
        </is>
      </c>
      <c r="E37" s="28" t="inlineStr">
        <is>
          <t>Figma: The map opens framed on the area the facilities are in, close enough to read street names, with the three results pinned in view.  →  Live: The map opens zoomed out far enough to show Kabul, Colombo and Chengdu, with 722 pins clustered over India, so a reader has to zoom before the map tells them anything about their own district.</t>
        </is>
      </c>
      <c r="F37" s="28" t="inlineStr">
        <is>
          <t>Frame the map on the results being listed - the reader's district, or the search area - rather than on the whole set. Raised as a confirm-if-intended: if a national overview is the deliberate default, say so and the design should show it that way.</t>
        </is>
      </c>
      <c r="G37" s="28" t="inlineStr">
        <is>
          <t>https://www.figma.com/design/evmNmlK8g4VYwJVu2FwSGV/MoSJE-Portal--Handoff-?node-id=9081-58585</t>
        </is>
      </c>
      <c r="H37" s="28" t="inlineStr">
        <is>
          <t>https://nmba-user-dev.mosje.in/facilities</t>
        </is>
      </c>
      <c r="I37" s="28" t="inlineStr">
        <is>
          <t>Open</t>
        </is>
      </c>
      <c r="J37" s="28" t="n"/>
      <c r="K37" s="28" t="n"/>
      <c r="L37" s="28" t="inlineStr">
        <is>
          <t>env: dev</t>
        </is>
      </c>
      <c r="M37" s="28" t="inlineStr">
        <is>
          <t>Screen</t>
        </is>
      </c>
    </row>
    <row r="38">
      <c r="A38" s="27" t="inlineStr">
        <is>
          <t>NMB-SCREEN-017</t>
        </is>
      </c>
      <c r="B38" s="28" t="inlineStr">
        <is>
          <t>Citizen - Home</t>
        </is>
      </c>
      <c r="C38" s="28" t="inlineStr">
        <is>
          <t>Layout &amp; Spacing</t>
        </is>
      </c>
      <c r="D38" s="28" t="inlineStr">
        <is>
          <t>Major</t>
        </is>
      </c>
      <c r="E38" s="28" t="inlineStr">
        <is>
          <t>Figma: Below the metric cards the design carries a titled section of four grouped cards - Education &amp; Youth, Community Outreach, Governance &amp; Local Bodies, Targeted Interventions - each with an icon and its figures colour-coded to the group (#1558B0, #2E7D32, #BB772B, #EC5042) at 28px SemiBold.  →  Live: The section is absent. The page goes from the metric cards straight to a state-wise bar chart that the design does not carry.</t>
        </is>
      </c>
      <c r="F38" s="28" t="inlineStr">
        <is>
          <t>Build the four programme-group cards as designed. If the bar chart is meant to replace them, that is a decision to take back to the design rather than a substitution to leave in place.</t>
        </is>
      </c>
      <c r="G38" s="28" t="inlineStr">
        <is>
          <t>https://www.figma.com/design/evmNmlK8g4VYwJVu2FwSGV/MoSJE-Portal--Handoff-?node-id=9081-59117</t>
        </is>
      </c>
      <c r="H38" s="28" t="inlineStr">
        <is>
          <t>https://nmba-user-dev.mosje.in/</t>
        </is>
      </c>
      <c r="I38" s="28" t="inlineStr">
        <is>
          <t>Open</t>
        </is>
      </c>
      <c r="J38" s="28" t="n"/>
      <c r="K38" s="28" t="n"/>
      <c r="L38" s="28" t="inlineStr">
        <is>
          <t>env: dev</t>
        </is>
      </c>
      <c r="M38" s="28" t="inlineStr">
        <is>
          <t>Screen</t>
        </is>
      </c>
    </row>
    <row r="39">
      <c r="A39" s="27" t="inlineStr">
        <is>
          <t>NMB-SCREEN-027</t>
        </is>
      </c>
      <c r="B39" s="28" t="inlineStr">
        <is>
          <t>Citizen - Home</t>
        </is>
      </c>
      <c r="C39" s="28" t="inlineStr">
        <is>
          <t>Components &amp; States</t>
        </is>
      </c>
      <c r="D39" s="28" t="inlineStr">
        <is>
          <t>Minor</t>
        </is>
      </c>
      <c r="E39" s="28" t="inlineStr">
        <is>
          <t>Figma: The right of the citizen masthead holds a signed-in user block: the name at 16px SemiBold #1F2937, the email beneath it at 13px #374151, and a 48px initials avatar filled #C8DBF0.  →  Live: The build shows a green National Deaddiction Helpline badge carrying the 14446 number, and a 'Nasha Mukti Mitr Login' button. There is no user block, because the citizen site has no signed-in state. So the design assumes a citizen session the build does not have.</t>
        </is>
      </c>
      <c r="F39" s="28" t="inlineStr">
        <is>
          <t>Decide which is right and make both sides agree: either the citizen site gains the signed-in block the design draws, or the design is updated to the helpline-and-login masthead the build ships. Raised because the two disagree, not because the build is necessarily wrong.</t>
        </is>
      </c>
      <c r="G39" s="28" t="inlineStr">
        <is>
          <t>https://www.figma.com/design/evmNmlK8g4VYwJVu2FwSGV/MoSJE-Portal--Handoff-?node-id=9081-59117</t>
        </is>
      </c>
      <c r="H39" s="28" t="inlineStr">
        <is>
          <t>https://nmba-user-dev.mosje.in/</t>
        </is>
      </c>
      <c r="I39" s="28" t="inlineStr">
        <is>
          <t>Open</t>
        </is>
      </c>
      <c r="J39" s="28" t="n"/>
      <c r="K39" s="28" t="n"/>
      <c r="L39" s="28" t="inlineStr">
        <is>
          <t>env: dev</t>
        </is>
      </c>
      <c r="M39" s="28" t="inlineStr">
        <is>
          <t>Screen</t>
        </is>
      </c>
    </row>
    <row r="40">
      <c r="A40" s="27" t="inlineStr">
        <is>
          <t>NMB-SCREEN-047</t>
        </is>
      </c>
      <c r="B40" s="28" t="inlineStr">
        <is>
          <t>Citizen - Home</t>
        </is>
      </c>
      <c r="C40" s="28" t="inlineStr">
        <is>
          <t>Layout &amp; Spacing</t>
        </is>
      </c>
      <c r="D40" s="28" t="inlineStr">
        <is>
          <t>Minor</t>
        </is>
      </c>
      <c r="E40" s="28" t="inlineStr">
        <is>
          <t>Figma: The banner is 1092x136 at radius 20, a linear gradient inside a 1px #E5E7EB edge, padded 32/56/32/32, and it spans the full content column from x324 to x1416. Its call to action is a 170x40 white button at radius 8, its label 14px Medium #003366.  →  Live: The banner is 1020x136 at radius 20 with the gradient but NO edge, starting at x360 - so it is 72px narrower than the content column it sits in and does not line up with the cards below it. The button is 176x36 at radius 6 with its label at weight 400: 4px shorter than designed, on a radius the design does not use here, in the regular weight rather than Medium.</t>
        </is>
      </c>
      <c r="F40" s="28" t="inlineStr">
        <is>
          <t>Span the banner across the content column as the design does, restore the 1px #E5E7EB edge, and build the button at 170x40 radius 8 with a Medium label. The button metrics are the same ones NMB-GLOBAL-045 raises on the admin toolbar, so one button component fixes both.</t>
        </is>
      </c>
      <c r="G40" s="28" t="inlineStr">
        <is>
          <t>https://www.figma.com/design/evmNmlK8g4VYwJVu2FwSGV/MoSJE-Portal--Handoff-?node-id=9081-59117</t>
        </is>
      </c>
      <c r="H40" s="28" t="inlineStr">
        <is>
          <t>https://nmba-user-dev.mosje.in/</t>
        </is>
      </c>
      <c r="I40" s="28" t="inlineStr">
        <is>
          <t>Open</t>
        </is>
      </c>
      <c r="J40" s="28" t="n"/>
      <c r="K40" s="28" t="n"/>
      <c r="L40" s="28" t="inlineStr">
        <is>
          <t>env: dev</t>
        </is>
      </c>
      <c r="M40" s="28" t="inlineStr">
        <is>
          <t>Screen</t>
        </is>
      </c>
    </row>
    <row r="41">
      <c r="A41" s="27" t="inlineStr">
        <is>
          <t>NMB-SCREEN-049</t>
        </is>
      </c>
      <c r="B41" s="28" t="inlineStr">
        <is>
          <t>Citizen - Home</t>
        </is>
      </c>
      <c r="C41" s="28" t="inlineStr">
        <is>
          <t>Layout &amp; Spacing</t>
        </is>
      </c>
      <c r="D41" s="28" t="inlineStr">
        <is>
          <t>Minor</t>
        </is>
      </c>
      <c r="E41" s="28" t="inlineStr">
        <is>
          <t>Figma: The footer is a 52px #002244 strip at the END of the document, after the content - the reader reaches it by scrolling to the bottom, which is what a footer is for.  →  Live: The footer is `position: fixed; bottom: 0` and 38px tall, so it sits across the bottom of the WINDOW at all times, above whatever the reader is looking at. It costs 38px of every screen permanently, it never signals the end of the content, and on a 1000px-tall window that is nearly 4% of the viewport given to a copyright line. It is also 14px shorter than the design's strip. Checked in the DOM on the live build, 2026-09-11.</t>
        </is>
      </c>
      <c r="F41" s="28" t="inlineStr">
        <is>
          <t>Let the footer end the document as the design does, at 52px. If a persistent bar is genuinely wanted, that is a different component and a different decision - but the design does not draw one, and a fixed footer on a page that already carries a fixed masthead leaves the citizen a narrow band of actual content.</t>
        </is>
      </c>
      <c r="G41" s="28" t="inlineStr">
        <is>
          <t>https://www.figma.com/design/evmNmlK8g4VYwJVu2FwSGV/MoSJE-Portal--Handoff-?node-id=9081-59117</t>
        </is>
      </c>
      <c r="H41" s="28" t="inlineStr">
        <is>
          <t>https://nmba-user-dev.mosje.in/</t>
        </is>
      </c>
      <c r="I41" s="28" t="inlineStr">
        <is>
          <t>Open</t>
        </is>
      </c>
      <c r="J41" s="28" t="n"/>
      <c r="K41" s="28" t="n"/>
      <c r="L41" s="28" t="inlineStr">
        <is>
          <t>env: dev</t>
        </is>
      </c>
      <c r="M41" s="28" t="inlineStr">
        <is>
          <t>Screen</t>
        </is>
      </c>
    </row>
    <row r="42">
      <c r="A42" s="27" t="inlineStr">
        <is>
          <t>NMB-SCREEN-024</t>
        </is>
      </c>
      <c r="B42" s="28" t="inlineStr">
        <is>
          <t>Sign in</t>
        </is>
      </c>
      <c r="C42" s="28" t="inlineStr">
        <is>
          <t>Color &amp; Token</t>
        </is>
      </c>
      <c r="D42" s="28" t="inlineStr">
        <is>
          <t>Major</t>
        </is>
      </c>
      <c r="E42" s="28" t="inlineStr">
        <is>
          <t>Figma: The left panel's photograph carries a navy tint, and the SAMAVESH lockup, the 'Justice. Equality. Dignity.' line and the paragraph beneath it read as white on that tint.  →  Live: The photograph is drawn at full contrast with no tint, and the same white text sits directly on it. Over the lighter areas of the crowd the paragraph is close to unreadable, and the contrast a reader gets depends on which part of the picture a line happens to fall over.</t>
        </is>
      </c>
      <c r="F42" s="28" t="inlineStr">
        <is>
          <t>Restore the navy tint over the photograph so the white text has a predictable ground, as the design specifies.</t>
        </is>
      </c>
      <c r="G42" s="28" t="inlineStr">
        <is>
          <t>https://www.figma.com/design/evmNmlK8g4VYwJVu2FwSGV/MoSJE-Portal--Handoff-?node-id=9884-112146</t>
        </is>
      </c>
      <c r="H42" s="28" t="inlineStr">
        <is>
          <t>https://nmba-admin-dev.mosje.in/login</t>
        </is>
      </c>
      <c r="I42" s="28" t="inlineStr">
        <is>
          <t>Open</t>
        </is>
      </c>
      <c r="J42" s="28" t="n"/>
      <c r="K42" s="28" t="n"/>
      <c r="L42" s="28" t="inlineStr">
        <is>
          <t>env: dev</t>
        </is>
      </c>
      <c r="M42" s="28" t="inlineStr">
        <is>
          <t>Screen</t>
        </is>
      </c>
    </row>
    <row r="43">
      <c r="A43" s="27" t="inlineStr">
        <is>
          <t>NMB-SCREEN-025</t>
        </is>
      </c>
      <c r="B43" s="28" t="inlineStr">
        <is>
          <t>Sign in</t>
        </is>
      </c>
      <c r="C43" s="28" t="inlineStr">
        <is>
          <t>Components &amp; States</t>
        </is>
      </c>
      <c r="D43" s="28" t="inlineStr">
        <is>
          <t>Major</t>
        </is>
      </c>
      <c r="E43" s="28" t="inlineStr">
        <is>
          <t>Figma: Every field in the design's sign-in panel carries a visible label above it - 'Project Id', 'Enter OTP' - with the placeholder used only for an example value.  →  Live: The username and password fields carry no label at all; the only naming is the placeholder, which disappears the moment a reader types. The design has no frame for this tab, so it is audited against the pattern the design uses on every other field.</t>
        </is>
      </c>
      <c r="F43" s="28" t="inlineStr">
        <is>
          <t>Add a visible label above each field and keep the placeholder for the example.</t>
        </is>
      </c>
      <c r="G43" s="28" t="inlineStr">
        <is>
          <t>https://www.figma.com/design/evmNmlK8g4VYwJVu2FwSGV/MoSJE-Portal--Handoff-?node-id=9884-112146</t>
        </is>
      </c>
      <c r="H43" s="28" t="inlineStr">
        <is>
          <t>https://nmba-admin-dev.mosje.in/login</t>
        </is>
      </c>
      <c r="I43" s="28" t="inlineStr">
        <is>
          <t>Open</t>
        </is>
      </c>
      <c r="J43" s="28" t="n"/>
      <c r="K43" s="28" t="n"/>
      <c r="L43" s="28" t="inlineStr">
        <is>
          <t>env: dev</t>
        </is>
      </c>
      <c r="M43" s="28" t="inlineStr">
        <is>
          <t>Screen</t>
        </is>
      </c>
    </row>
    <row r="44">
      <c r="A44" s="27" t="inlineStr">
        <is>
          <t>NMB-SCREEN-022</t>
        </is>
      </c>
      <c r="B44" s="28" t="inlineStr">
        <is>
          <t>NAPDDR committee screens (all four)</t>
        </is>
      </c>
      <c r="C44" s="28" t="inlineStr">
        <is>
          <t>Layout &amp; Spacing</t>
        </is>
      </c>
      <c r="D44" s="28" t="inlineStr">
        <is>
          <t>Major</t>
        </is>
      </c>
      <c r="E44" s="28" t="inlineStr">
        <is>
          <t>Figma: Above the page title sits a breadcrumb - 'NAPDDR Three-Tier Committee &gt; State-Level Committee' - at 12px, the trail a reader uses to get back up out of a nested section.  →  Live: There is no breadcrumb on any of the four committee screens. The page title is the first thing under the masthead, so a reader three levels into the section has nothing to climb back with.</t>
        </is>
      </c>
      <c r="F44" s="28" t="inlineStr">
        <is>
          <t>Render the breadcrumb above the title on all four committee screens.</t>
        </is>
      </c>
      <c r="G44" s="28" t="inlineStr">
        <is>
          <t>https://www.figma.com/design/evmNmlK8g4VYwJVu2FwSGV/MoSJE-Portal--Handoff-?node-id=52092-136433</t>
        </is>
      </c>
      <c r="H44" s="28" t="inlineStr">
        <is>
          <t>https://nmba-admin-dev.mosje.in/napddr/state-committee</t>
        </is>
      </c>
      <c r="I44" s="28" t="inlineStr">
        <is>
          <t>Open</t>
        </is>
      </c>
      <c r="J44" s="28" t="n"/>
      <c r="K44" s="28" t="n"/>
      <c r="L44" s="28" t="inlineStr">
        <is>
          <t>env: dev</t>
        </is>
      </c>
      <c r="M44" s="28" t="inlineStr">
        <is>
          <t>Screen</t>
        </is>
      </c>
    </row>
    <row r="45">
      <c r="A45" s="27" t="inlineStr">
        <is>
          <t>NMB-SCREEN-026</t>
        </is>
      </c>
      <c r="B45" s="28" t="inlineStr">
        <is>
          <t>Admin, State and District shells</t>
        </is>
      </c>
      <c r="C45" s="28" t="inlineStr">
        <is>
          <t>Components &amp; States</t>
        </is>
      </c>
      <c r="D45" s="28" t="inlineStr">
        <is>
          <t>Major</t>
        </is>
      </c>
      <c r="E45" s="28" t="inlineStr">
        <is>
          <t>Figma: The design has no 'About Us' or 'Contact Us' page inside the authenticated shell; these are citizen-site destinations.  →  Live: In the admin shell /about-us and /contact-us both render a page that is byte-for-byte identical to the dashboard - verified by checksum on all three admin roles. A reader who follows either link is silently returned to the dashboard with no indication that the page they asked for does not exist.</t>
        </is>
      </c>
      <c r="F45" s="28" t="inlineStr">
        <is>
          <t>Point these links at the citizen site's pages, or give the shell a not-found state. A route with no page should say so rather than substituting the landing screen.</t>
        </is>
      </c>
      <c r="G45" s="28" t="inlineStr">
        <is>
          <t>https://www.figma.com/design/evmNmlK8g4VYwJVu2FwSGV/MoSJE-Portal--Handoff-?node-id=52061-126900</t>
        </is>
      </c>
      <c r="H45" s="28" t="inlineStr">
        <is>
          <t>https://nmba-admin-dev.mosje.in/user-management</t>
        </is>
      </c>
      <c r="I45" s="28" t="inlineStr">
        <is>
          <t>Open</t>
        </is>
      </c>
      <c r="J45" s="28" t="n"/>
      <c r="K45" s="28" t="n"/>
      <c r="L45" s="28" t="inlineStr">
        <is>
          <t>env: dev</t>
        </is>
      </c>
      <c r="M45" s="28" t="inlineStr">
        <is>
          <t>Screen</t>
        </is>
      </c>
    </row>
    <row r="46">
      <c r="A46" s="27" t="inlineStr">
        <is>
          <t>NMB-SCREEN-042</t>
        </is>
      </c>
      <c r="B46" s="28" t="inlineStr">
        <is>
          <t>Admin - Add User side sheet</t>
        </is>
      </c>
      <c r="C46" s="28" t="inlineStr">
        <is>
          <t>Layout &amp; Spacing</t>
        </is>
      </c>
      <c r="D46" s="28" t="inlineStr">
        <is>
          <t>Major</t>
        </is>
      </c>
      <c r="E46" s="28" t="inlineStr">
        <is>
          <t>Figma: The sheet is a 520x978 panel inset 16px from the top, right and bottom of the window, at radius 16, with a 1px #E5EFF9 edge and two drop shadows - so it reads as a card lifted above the page. Behind it the scrim is #0A0D13 at 50%. The title is 'Add User' at 20px SemiBold #1F2937, and each field label is 14px Medium #1F2937 over a 488x44 input at radius 8 with a 1px #D1D5DB edge.  →  Live: The sheet is 620x1000 flush to the top, right and bottom edges, with no radius, no border and no shadow - a full-height slab rather than a floating panel, 100px wider than designed. The scrim is #000000 at 60%, darker than the design's. The title is 22px/600 #003366, blue where the design is near-black and two points larger. Inputs are 588x36 - 8px shorter than designed - with a 1px #CED4DA edge, which is a fourth near-miss grey against the design's #D1D5DB. Labels are 16px/400 #000000 where the design says 14px Medium #1F2937, and they are not even consistent with each other: 'Mobile Number' renders 14px/600 #374151 while 'First Name', 'Last Name', 'Email ID' and 'Select Role' render 16px/400 #000000, in the same form.</t>
        </is>
      </c>
      <c r="F46" s="28" t="inlineStr">
        <is>
          <t>Build the sheet as the design draws it: 520 wide, inset 16 from the window edges, radius 16, the #E5EFF9 edge and the two shadows, over a 50% #0A0D13 scrim. Set the title to 20px SemiBold #1F2937 and every label to 14px Medium #1F2937 - one label style for the whole form - over 44px inputs bound to #D1D5DB. The same sheet is used by Add Document, Add Best Practice, Add Event and Add Feedback, so this lands on eight designed flows at once.</t>
        </is>
      </c>
      <c r="G46" s="28" t="inlineStr">
        <is>
          <t>https://www.figma.com/design/evmNmlK8g4VYwJVu2FwSGV/MoSJE-Portal--Handoff-?node-id=52066-127999</t>
        </is>
      </c>
      <c r="H46" s="28" t="inlineStr"/>
      <c r="I46" s="28" t="inlineStr">
        <is>
          <t>Open</t>
        </is>
      </c>
      <c r="J46" s="28" t="n"/>
      <c r="K46" s="28" t="n"/>
      <c r="L46" s="28" t="inlineStr">
        <is>
          <t>env: dev</t>
        </is>
      </c>
      <c r="M46" s="28" t="inlineStr">
        <is>
          <t>Screen</t>
        </is>
      </c>
    </row>
    <row r="47">
      <c r="A47" s="27" t="inlineStr">
        <is>
          <t>NMB-SCREEN-043</t>
        </is>
      </c>
      <c r="B47" s="28" t="inlineStr">
        <is>
          <t>Admin - Add User side sheet</t>
        </is>
      </c>
      <c r="C47" s="28" t="inlineStr">
        <is>
          <t>Components &amp; States</t>
        </is>
      </c>
      <c r="D47" s="28" t="inlineStr">
        <is>
          <t>Major</t>
        </is>
      </c>
      <c r="E47" s="28" t="inlineStr">
        <is>
          <t>Figma: Seven of the sheet's fields are marked required with a red asterisk after the label, #EC5042, so a user can see what must be filled before they start: First Name, Last Name, Email ID, Mobile Number, Select Role, Select State and Select District.  →  Live: There is not one asterisk in the built sheet - counted in the DOM on 2026-09-11, the design frame carries 7 and the build carries 0. Nothing on the form distinguishes a required field from an optional one, so the first time a user learns which fields are mandatory is when submitting fails.</t>
        </is>
      </c>
      <c r="F47" s="28" t="inlineStr">
        <is>
          <t>Restore the required marker the design draws - the red asterisk after the label - on all seven fields. Pair it with `required` on the input so the marker is not the only signal: a mark that exists only in colour and only in a glyph is not announced to a screen reader, and WCAG 2.2 asks that an instruction not depend on a sensory characteristic alone.</t>
        </is>
      </c>
      <c r="G47" s="28" t="inlineStr">
        <is>
          <t>https://www.figma.com/design/evmNmlK8g4VYwJVu2FwSGV/MoSJE-Portal--Handoff-?node-id=52066-127999</t>
        </is>
      </c>
      <c r="H47" s="28" t="inlineStr"/>
      <c r="I47" s="28" t="inlineStr">
        <is>
          <t>Open</t>
        </is>
      </c>
      <c r="J47" s="28" t="n"/>
      <c r="K47" s="28" t="n"/>
      <c r="L47" s="28" t="inlineStr">
        <is>
          <t>env: dev</t>
        </is>
      </c>
      <c r="M47" s="28" t="inlineStr">
        <is>
          <t>Screen</t>
        </is>
      </c>
    </row>
    <row r="48">
      <c r="A48" s="27" t="inlineStr">
        <is>
          <t>NMB-SCREEN-050</t>
        </is>
      </c>
      <c r="B48" s="28" t="inlineStr">
        <is>
          <t>Important Documents (all roles)</t>
        </is>
      </c>
      <c r="C48" s="28" t="inlineStr">
        <is>
          <t>Color &amp; Token</t>
        </is>
      </c>
      <c r="D48" s="28" t="inlineStr">
        <is>
          <t>Minor</t>
        </is>
      </c>
      <c r="E48" s="28" t="inlineStr">
        <is>
          <t>Figma: The status chip carries its meaning in the label colour: DRAFT is #8C571F, an amber that reads as 'in progress', and PUBLISHED is #27682A, the token green.  →  Live: 'Draft' is rendered #DC2626 on a #FEF9C3 ground - the red this portal uses for delete and for error - so a document that is merely unfinished is flagged as if something were wrong with it. 'Published' is #16A34A on #DCFCE7, a near-miss of the design's #27682A. Read from the DOM on the live build, 2026-09-11.</t>
        </is>
      </c>
      <c r="F48" s="28" t="inlineStr">
        <is>
          <t>Set the draft label to the design's #8C571F and the published label to #27682A. Red is the portal's error and destructive colour; spending it on a normal editorial state teaches readers to ignore it where it matters.</t>
        </is>
      </c>
      <c r="G48" s="28" t="inlineStr">
        <is>
          <t>https://www.figma.com/design/evmNmlK8g4VYwJVu2FwSGV/MoSJE-Portal--Handoff-?node-id=52070-443098</t>
        </is>
      </c>
      <c r="H48" s="28" t="inlineStr">
        <is>
          <t>https://nmba-admin-dev.mosje.in/important-documents</t>
        </is>
      </c>
      <c r="I48" s="28" t="inlineStr">
        <is>
          <t>Open</t>
        </is>
      </c>
      <c r="J48" s="28" t="n"/>
      <c r="K48" s="28" t="n"/>
      <c r="L48" s="28" t="inlineStr">
        <is>
          <t>env: dev</t>
        </is>
      </c>
      <c r="M48" s="28" t="inlineStr">
        <is>
          <t>Screen</t>
        </is>
      </c>
    </row>
    <row r="49">
      <c r="A49" s="27" t="inlineStr">
        <is>
          <t>NMB-SCREEN-030</t>
        </is>
      </c>
      <c r="B49" s="28" t="inlineStr">
        <is>
          <t>Important Documents (all roles)</t>
        </is>
      </c>
      <c r="C49" s="28" t="inlineStr">
        <is>
          <t>Layout &amp; Spacing</t>
        </is>
      </c>
      <c r="D49" s="28" t="inlineStr">
        <is>
          <t>Nit</t>
        </is>
      </c>
      <c r="E49" s="28" t="inlineStr">
        <is>
          <t>Figma: The row actions run download, then edit, then delete, each as a bordered icon-button - a light 1px outline at radius 6, the glyphs at #003366 and #EC5042.  →  Live: They run edit, then download, then delete. The download control is the one a reader uses most on this screen and the design puts it first. The treatment is wrong too, and it is a THIRD treatment: these are real &lt;button&gt; elements wrapping 20px tabler icons at #003366 and #374151 with no border, no radius and no background, where the design draws a bordered icon-button - and where User Management draws two 24px SVG images with no button at all. Same action, three different things, none of them the design's.</t>
        </is>
      </c>
      <c r="F49" s="28" t="inlineStr">
        <is>
          <t>Order the row actions download, edit, delete as the design does, AND draw them in the design's style: the bordered icon-button, the glyphs at #003366 and #EC5042. The style half is the same fix as NMB-GLOBAL-005 and lands with it - one row-action component, used everywhere; the order is particular to this screen.</t>
        </is>
      </c>
      <c r="G49" s="28" t="inlineStr">
        <is>
          <t>https://www.figma.com/design/evmNmlK8g4VYwJVu2FwSGV/MoSJE-Portal--Handoff-?node-id=52070-443098</t>
        </is>
      </c>
      <c r="H49" s="28" t="inlineStr">
        <is>
          <t>https://nmba-admin-dev.mosje.in/important-documents</t>
        </is>
      </c>
      <c r="I49" s="28" t="inlineStr">
        <is>
          <t>Open</t>
        </is>
      </c>
      <c r="J49" s="28" t="n"/>
      <c r="K49" s="28" t="n"/>
      <c r="L49" s="28" t="inlineStr">
        <is>
          <t>env: dev</t>
        </is>
      </c>
      <c r="M49" s="28" t="inlineStr">
        <is>
          <t>Screen</t>
        </is>
      </c>
    </row>
    <row r="50">
      <c r="A50" s="27" t="inlineStr">
        <is>
          <t>NMB-SCREEN-023</t>
        </is>
      </c>
      <c r="B50" s="28" t="inlineStr">
        <is>
          <t>Officer dashboards (State and District)</t>
        </is>
      </c>
      <c r="C50" s="28" t="inlineStr">
        <is>
          <t>Layout &amp; Spacing</t>
        </is>
      </c>
      <c r="D50" s="28" t="inlineStr">
        <is>
          <t>Blocker</t>
        </is>
      </c>
      <c r="E50" s="28" t="inlineStr">
        <is>
          <t>Figma: Below the metric cards the dashboard carries its main working area: a 'My Submissions' heading, an Export control and an 'Add Event' primary button, a search field, four filters including a date range, a table of submissions with view / edit / delete on every row, and pagination.  →  Live: The page ends after the metric cards. None of the section is present, on either the State Nodal Officer or the District Nodal Officer dashboard, so neither officer can see or add a submission from the screen the design makes their home.</t>
        </is>
      </c>
      <c r="F50" s="28" t="inlineStr">
        <is>
          <t>Build the section as designed on both dashboards.</t>
        </is>
      </c>
      <c r="G50" s="28" t="inlineStr">
        <is>
          <t>https://www.figma.com/design/evmNmlK8g4VYwJVu2FwSGV/MoSJE-Portal--Handoff-?node-id=2309-14405</t>
        </is>
      </c>
      <c r="H50" s="28" t="inlineStr">
        <is>
          <t>https://nmba-admin-dev.mosje.in/dashboard</t>
        </is>
      </c>
      <c r="I50" s="28" t="inlineStr">
        <is>
          <t>Open</t>
        </is>
      </c>
      <c r="J50" s="28" t="n"/>
      <c r="K50" s="28" t="n"/>
      <c r="L50" s="28" t="inlineStr">
        <is>
          <t>env: dev</t>
        </is>
      </c>
      <c r="M50" s="28" t="inlineStr">
        <is>
          <t>Screen</t>
        </is>
      </c>
    </row>
    <row r="51">
      <c r="A51" s="27" t="inlineStr">
        <is>
          <t>NMB-SCREEN-029</t>
        </is>
      </c>
      <c r="B51" s="28" t="inlineStr">
        <is>
          <t>—</t>
        </is>
      </c>
      <c r="C51" s="28" t="inlineStr">
        <is>
          <t>—</t>
        </is>
      </c>
      <c r="D51" s="28" t="inlineStr">
        <is>
          <t>—</t>
        </is>
      </c>
      <c r="E51" s="28" t="inlineStr">
        <is>
          <t>Status chips are not set in capitals</t>
        </is>
      </c>
      <c r="F51" s="28" t="inlineStr">
        <is>
          <t>No fix required — this finding was withdrawn.</t>
        </is>
      </c>
      <c r="G51" s="28" t="n"/>
      <c r="H51" s="28" t="n"/>
      <c r="I51" s="28" t="inlineStr">
        <is>
          <t>Withdrawn</t>
        </is>
      </c>
      <c r="J51" s="28" t="n"/>
      <c r="K51" s="28" t="n"/>
      <c r="L51" s="28" t="inlineStr">
        <is>
          <t>WITHDRAWN: Dropped on the reviewer's instruction, 2026-09-11. The measurement stands - the design sets the status chip uppercase at 11px and the build renders 'Draft' and 'Published' in sentence case - but the reviewer has decided it is not worth raising. Recorded rather than deleted so the id resolves for anyone who saw it.</t>
        </is>
      </c>
      <c r="M51" s="28" t="inlineStr">
        <is>
          <t>—</t>
        </is>
      </c>
    </row>
    <row r="52">
      <c r="A52" s="27" t="inlineStr">
        <is>
          <t>NMB-SCREEN-016</t>
        </is>
      </c>
      <c r="B52" s="28" t="inlineStr">
        <is>
          <t>—</t>
        </is>
      </c>
      <c r="C52" s="28" t="inlineStr">
        <is>
          <t>—</t>
        </is>
      </c>
      <c r="D52" s="28" t="inlineStr">
        <is>
          <t>—</t>
        </is>
      </c>
      <c r="E52" s="28" t="inlineStr">
        <is>
          <t>The pledge banner has lost its call to action</t>
        </is>
      </c>
      <c r="F52" s="28" t="inlineStr">
        <is>
          <t>No fix required — this finding was withdrawn.</t>
        </is>
      </c>
      <c r="G52" s="28" t="n"/>
      <c r="H52" s="28" t="n"/>
      <c r="I52" s="28" t="inlineStr">
        <is>
          <t>Withdrawn</t>
        </is>
      </c>
      <c r="J52" s="28" t="n"/>
      <c r="K52" s="28" t="n"/>
      <c r="L52" s="28" t="inlineStr">
        <is>
          <t>WITHDRAWN: WRONG, and withdrawn on the reviewer's challenge. The button IS built. Checked on the live page at a 1440 viewport on 2026-09-11: a &lt;button&gt; reading 'Take the Pledge', 176x36 at x1171 y230, white fill, label #003366, radius 6 - which is what the design draws. It was missed because the capture was taken with the UX4G accessibility panel open, which widened the document and pushed the button to x1841, outside the 1440-wide export. 'Not in the picture' was read as 'not built'. The capture is the evidence for what a screen LOOKS like; it is not evidence that something is absent. An absence is now confirmed against the live DOM before it is written up.</t>
        </is>
      </c>
      <c r="M52" s="28" t="inlineStr">
        <is>
          <t>—</t>
        </is>
      </c>
    </row>
    <row r="53">
      <c r="A53" s="27" t="inlineStr">
        <is>
          <t>NMB-SNODASH-004</t>
        </is>
      </c>
      <c r="B53" s="28" t="inlineStr">
        <is>
          <t>—</t>
        </is>
      </c>
      <c r="C53" s="28" t="inlineStr">
        <is>
          <t>—</t>
        </is>
      </c>
      <c r="D53" s="28" t="inlineStr">
        <is>
          <t>—</t>
        </is>
      </c>
      <c r="E53" s="28" t="inlineStr">
        <is>
          <t>KPI grid reflows to unequal card widths</t>
        </is>
      </c>
      <c r="F53" s="28" t="inlineStr">
        <is>
          <t>No fix required — this finding was withdrawn.</t>
        </is>
      </c>
      <c r="G53" s="28" t="n"/>
      <c r="H53" s="28" t="n"/>
      <c r="I53" s="28" t="inlineStr">
        <is>
          <t>Withdrawn</t>
        </is>
      </c>
      <c r="J53" s="28" t="n"/>
      <c r="K53" s="28" t="n"/>
      <c r="L53" s="28" t="inlineStr">
        <is>
          <t>WITHDRAWN: Measured on the capture: the three cards on the officer dashboard span 308-662, 688-1040 and 1066-1418 - 354, 352 and 352px with even 26px gaps, and the second row starts at the same two x positions. The grid is even. Withdrawn.</t>
        </is>
      </c>
      <c r="M53" s="28" t="inlineStr">
        <is>
          <t>—</t>
        </is>
      </c>
    </row>
  </sheetData>
  <autoFilter ref="A1:M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30" customWidth="1" min="3" max="3"/>
    <col width="12" customWidth="1" min="4" max="4"/>
    <col width="10" customWidth="1" min="5" max="5"/>
    <col width="16" customWidth="1" min="6" max="6"/>
    <col width="12" customWidth="1" min="7" max="7"/>
    <col width="62" customWidth="1" min="8" max="8"/>
  </cols>
  <sheetData>
    <row r="1">
      <c r="A1" s="26" t="inlineStr">
        <is>
          <t>Screen</t>
        </is>
      </c>
      <c r="B1" s="26" t="inlineStr">
        <is>
          <t>Role</t>
        </is>
      </c>
      <c r="C1" s="26" t="inlineStr">
        <is>
          <t>Figma URL</t>
        </is>
      </c>
      <c r="D1" s="26" t="inlineStr">
        <is>
          <t>Has Design?</t>
        </is>
      </c>
      <c r="E1" s="26" t="inlineStr">
        <is>
          <t>Built?</t>
        </is>
      </c>
      <c r="F1" s="26" t="inlineStr">
        <is>
          <t>QC Status</t>
        </is>
      </c>
      <c r="G1" s="26" t="inlineStr">
        <is>
          <t># Findings</t>
        </is>
      </c>
      <c r="H1" s="26" t="inlineStr">
        <is>
          <t>Notes</t>
        </is>
      </c>
    </row>
    <row r="2">
      <c r="A2" s="28" t="inlineStr">
        <is>
          <t>Citizen - Home</t>
        </is>
      </c>
      <c r="B2" s="28" t="inlineStr">
        <is>
          <t>Citizen</t>
        </is>
      </c>
      <c r="C2" s="28" t="inlineStr">
        <is>
          <t>https://www.figma.com/design/evmNmlK8g4VYwJVu2FwSGV/MoSJE-Portal--Handoff-?node-id=9081-59117</t>
        </is>
      </c>
      <c r="D2" s="28" t="inlineStr">
        <is>
          <t>Yes</t>
        </is>
      </c>
      <c r="E2" s="28" t="inlineStr">
        <is>
          <t>Yes</t>
        </is>
      </c>
      <c r="F2" s="28" t="inlineStr">
        <is>
          <t>Compared</t>
        </is>
      </c>
      <c r="G2" s="28" t="n">
        <v>4</v>
      </c>
      <c r="H2" s="28" t="n"/>
    </row>
    <row r="3">
      <c r="A3" s="28" t="inlineStr">
        <is>
          <t>Citizen - About Us</t>
        </is>
      </c>
      <c r="B3" s="28" t="inlineStr">
        <is>
          <t>Citizen</t>
        </is>
      </c>
      <c r="C3" s="28" t="n"/>
      <c r="D3" s="28" t="inlineStr">
        <is>
          <t>No</t>
        </is>
      </c>
      <c r="E3" s="28" t="inlineStr">
        <is>
          <t>Yes</t>
        </is>
      </c>
      <c r="F3" s="28" t="inlineStr">
        <is>
          <t>Vs. visual language</t>
        </is>
      </c>
      <c r="G3" s="28" t="n">
        <v>1</v>
      </c>
      <c r="H3" s="28" t="inlineStr">
        <is>
          <t>No Figma frame for this route; audited against the visual language.</t>
        </is>
      </c>
    </row>
    <row r="4">
      <c r="A4" s="28" t="inlineStr">
        <is>
          <t>Citizen - Activities</t>
        </is>
      </c>
      <c r="B4" s="28" t="inlineStr">
        <is>
          <t>Citizen</t>
        </is>
      </c>
      <c r="C4" s="28" t="inlineStr">
        <is>
          <t>https://www.figma.com/design/evmNmlK8g4VYwJVu2FwSGV/MoSJE-Portal--Handoff-?node-id=9081-58966</t>
        </is>
      </c>
      <c r="D4" s="28" t="inlineStr">
        <is>
          <t>Yes</t>
        </is>
      </c>
      <c r="E4" s="28" t="inlineStr">
        <is>
          <t>Yes</t>
        </is>
      </c>
      <c r="F4" s="28" t="inlineStr">
        <is>
          <t>Compared</t>
        </is>
      </c>
      <c r="G4" s="28" t="n">
        <v>2</v>
      </c>
      <c r="H4" s="28" t="n"/>
    </row>
    <row r="5">
      <c r="A5" s="28" t="inlineStr">
        <is>
          <t>Citizen - Epledge</t>
        </is>
      </c>
      <c r="B5" s="28" t="inlineStr">
        <is>
          <t>Citizen</t>
        </is>
      </c>
      <c r="C5" s="28" t="inlineStr">
        <is>
          <t>https://www.figma.com/design/evmNmlK8g4VYwJVu2FwSGV/MoSJE-Portal--Handoff-?node-id=9081-58375</t>
        </is>
      </c>
      <c r="D5" s="28" t="inlineStr">
        <is>
          <t>Yes</t>
        </is>
      </c>
      <c r="E5" s="28" t="inlineStr">
        <is>
          <t>Yes</t>
        </is>
      </c>
      <c r="F5" s="28" t="inlineStr">
        <is>
          <t>Compared</t>
        </is>
      </c>
      <c r="G5" s="28" t="n">
        <v>0</v>
      </c>
      <c r="H5" s="28" t="n"/>
    </row>
    <row r="6">
      <c r="A6" s="28" t="inlineStr">
        <is>
          <t>Citizen - Facilities</t>
        </is>
      </c>
      <c r="B6" s="28" t="inlineStr">
        <is>
          <t>Citizen</t>
        </is>
      </c>
      <c r="C6" s="28" t="inlineStr">
        <is>
          <t>https://www.figma.com/design/evmNmlK8g4VYwJVu2FwSGV/MoSJE-Portal--Handoff-?node-id=9081-58585</t>
        </is>
      </c>
      <c r="D6" s="28" t="inlineStr">
        <is>
          <t>Yes</t>
        </is>
      </c>
      <c r="E6" s="28" t="inlineStr">
        <is>
          <t>Yes</t>
        </is>
      </c>
      <c r="F6" s="28" t="inlineStr">
        <is>
          <t>Compared</t>
        </is>
      </c>
      <c r="G6" s="28" t="n">
        <v>5</v>
      </c>
      <c r="H6" s="28" t="n"/>
    </row>
    <row r="7">
      <c r="A7" s="28" t="inlineStr">
        <is>
          <t>Citizen - Feedback</t>
        </is>
      </c>
      <c r="B7" s="28" t="inlineStr">
        <is>
          <t>Citizen</t>
        </is>
      </c>
      <c r="C7" s="28" t="n"/>
      <c r="D7" s="28" t="inlineStr">
        <is>
          <t>No</t>
        </is>
      </c>
      <c r="E7" s="28" t="inlineStr">
        <is>
          <t>Yes</t>
        </is>
      </c>
      <c r="F7" s="28" t="inlineStr">
        <is>
          <t>Vs. visual language</t>
        </is>
      </c>
      <c r="G7" s="28" t="n">
        <v>0</v>
      </c>
      <c r="H7" s="28" t="inlineStr">
        <is>
          <t>No Figma frame for this route; audited against the visual language.</t>
        </is>
      </c>
    </row>
    <row r="8">
      <c r="A8" s="28" t="inlineStr">
        <is>
          <t>Citizen - Nasha Mukti Mitr</t>
        </is>
      </c>
      <c r="B8" s="28" t="inlineStr">
        <is>
          <t>Citizen</t>
        </is>
      </c>
      <c r="C8" s="28" t="n"/>
      <c r="D8" s="28" t="inlineStr">
        <is>
          <t>No</t>
        </is>
      </c>
      <c r="E8" s="28" t="inlineStr">
        <is>
          <t>Yes</t>
        </is>
      </c>
      <c r="F8" s="28" t="inlineStr">
        <is>
          <t>Vs. visual language</t>
        </is>
      </c>
      <c r="G8" s="28" t="n">
        <v>0</v>
      </c>
      <c r="H8" s="28" t="inlineStr">
        <is>
          <t>No Figma frame for this route; audited against the visual language.</t>
        </is>
      </c>
    </row>
    <row r="9">
      <c r="A9" s="28" t="inlineStr">
        <is>
          <t>Sign in - Login</t>
        </is>
      </c>
      <c r="B9" s="28" t="inlineStr">
        <is>
          <t>Sign in</t>
        </is>
      </c>
      <c r="C9" s="28" t="inlineStr">
        <is>
          <t>https://www.figma.com/design/evmNmlK8g4VYwJVu2FwSGV/MoSJE-Portal--Handoff-?node-id=9884-112146</t>
        </is>
      </c>
      <c r="D9" s="28" t="inlineStr">
        <is>
          <t>Yes</t>
        </is>
      </c>
      <c r="E9" s="28" t="inlineStr">
        <is>
          <t>Yes</t>
        </is>
      </c>
      <c r="F9" s="28" t="inlineStr">
        <is>
          <t>Compared</t>
        </is>
      </c>
      <c r="G9" s="28" t="n">
        <v>2</v>
      </c>
      <c r="H9" s="28" t="n"/>
    </row>
    <row r="10">
      <c r="A10" s="28" t="inlineStr">
        <is>
          <t>Admin - Add User side sheet</t>
        </is>
      </c>
      <c r="B10" s="28" t="inlineStr">
        <is>
          <t>Admin</t>
        </is>
      </c>
      <c r="C10" s="28" t="n"/>
      <c r="D10" s="28" t="inlineStr">
        <is>
          <t>Yes</t>
        </is>
      </c>
      <c r="E10" s="28" t="inlineStr">
        <is>
          <t>Yes</t>
        </is>
      </c>
      <c r="F10" s="28" t="inlineStr">
        <is>
          <t>Compared</t>
        </is>
      </c>
      <c r="G10" s="28" t="n">
        <v>2</v>
      </c>
      <c r="H10" s="28" t="n"/>
    </row>
    <row r="11">
      <c r="A11" s="28" t="inlineStr">
        <is>
          <t>Admin - About Us</t>
        </is>
      </c>
      <c r="B11" s="28" t="inlineStr">
        <is>
          <t>Admin</t>
        </is>
      </c>
      <c r="C11" s="28" t="n"/>
      <c r="D11" s="28" t="inlineStr">
        <is>
          <t>No</t>
        </is>
      </c>
      <c r="E11" s="28" t="inlineStr">
        <is>
          <t>Yes</t>
        </is>
      </c>
      <c r="F11" s="28" t="inlineStr">
        <is>
          <t>Vs. visual language</t>
        </is>
      </c>
      <c r="G11" s="28" t="n">
        <v>0</v>
      </c>
      <c r="H11" s="28" t="inlineStr">
        <is>
          <t>No Figma frame for this route; audited against the visual language.</t>
        </is>
      </c>
    </row>
    <row r="12">
      <c r="A12" s="28" t="inlineStr">
        <is>
          <t>Admin - Best Practices</t>
        </is>
      </c>
      <c r="B12" s="28" t="inlineStr">
        <is>
          <t>Admin</t>
        </is>
      </c>
      <c r="C12" s="28" t="inlineStr">
        <is>
          <t>https://www.figma.com/design/evmNmlK8g4VYwJVu2FwSGV/MoSJE-Portal--Handoff-?node-id=52092-133388</t>
        </is>
      </c>
      <c r="D12" s="28" t="inlineStr">
        <is>
          <t>Yes</t>
        </is>
      </c>
      <c r="E12" s="28" t="inlineStr">
        <is>
          <t>Yes</t>
        </is>
      </c>
      <c r="F12" s="28" t="inlineStr">
        <is>
          <t>Compared</t>
        </is>
      </c>
      <c r="G12" s="28" t="n">
        <v>0</v>
      </c>
      <c r="H12" s="28" t="n"/>
    </row>
    <row r="13">
      <c r="A13" s="28" t="inlineStr">
        <is>
          <t>Admin - Contact Us</t>
        </is>
      </c>
      <c r="B13" s="28" t="inlineStr">
        <is>
          <t>Admin</t>
        </is>
      </c>
      <c r="C13" s="28" t="n"/>
      <c r="D13" s="28" t="inlineStr">
        <is>
          <t>No</t>
        </is>
      </c>
      <c r="E13" s="28" t="inlineStr">
        <is>
          <t>Yes</t>
        </is>
      </c>
      <c r="F13" s="28" t="inlineStr">
        <is>
          <t>Vs. visual language</t>
        </is>
      </c>
      <c r="G13" s="28" t="n">
        <v>0</v>
      </c>
      <c r="H13" s="28" t="inlineStr">
        <is>
          <t>No Figma frame for this route; audited against the visual language.</t>
        </is>
      </c>
    </row>
    <row r="14">
      <c r="A14" s="28" t="inlineStr">
        <is>
          <t>Admin - Dashboard</t>
        </is>
      </c>
      <c r="B14" s="28" t="inlineStr">
        <is>
          <t>Admin</t>
        </is>
      </c>
      <c r="C14" s="28" t="n"/>
      <c r="D14" s="28" t="inlineStr">
        <is>
          <t>No</t>
        </is>
      </c>
      <c r="E14" s="28" t="inlineStr">
        <is>
          <t>Yes</t>
        </is>
      </c>
      <c r="F14" s="28" t="inlineStr">
        <is>
          <t>Vs. visual language</t>
        </is>
      </c>
      <c r="G14" s="28" t="n">
        <v>0</v>
      </c>
      <c r="H14" s="28" t="inlineStr">
        <is>
          <t>No Figma frame for this route; audited against the visual language.</t>
        </is>
      </c>
    </row>
    <row r="15">
      <c r="A15" s="28" t="inlineStr">
        <is>
          <t>Admin - Dashboard Statistics</t>
        </is>
      </c>
      <c r="B15" s="28" t="inlineStr">
        <is>
          <t>Admin</t>
        </is>
      </c>
      <c r="C15" s="28" t="inlineStr">
        <is>
          <t>https://www.figma.com/design/evmNmlK8g4VYwJVu2FwSGV/MoSJE-Portal--Handoff-?node-id=52102-139278</t>
        </is>
      </c>
      <c r="D15" s="28" t="inlineStr">
        <is>
          <t>Yes</t>
        </is>
      </c>
      <c r="E15" s="28" t="inlineStr">
        <is>
          <t>Yes</t>
        </is>
      </c>
      <c r="F15" s="28" t="inlineStr">
        <is>
          <t>Compared</t>
        </is>
      </c>
      <c r="G15" s="28" t="n">
        <v>0</v>
      </c>
      <c r="H15" s="28" t="n"/>
    </row>
    <row r="16">
      <c r="A16" s="28" t="inlineStr">
        <is>
          <t>Admin - District Nodal Officers List</t>
        </is>
      </c>
      <c r="B16" s="28" t="inlineStr">
        <is>
          <t>Admin</t>
        </is>
      </c>
      <c r="C16" s="28" t="inlineStr">
        <is>
          <t>https://www.figma.com/design/evmNmlK8g4VYwJVu2FwSGV/MoSJE-Portal--Handoff-?node-id=52070-446864</t>
        </is>
      </c>
      <c r="D16" s="28" t="inlineStr">
        <is>
          <t>Yes</t>
        </is>
      </c>
      <c r="E16" s="28" t="inlineStr">
        <is>
          <t>Yes</t>
        </is>
      </c>
      <c r="F16" s="28" t="inlineStr">
        <is>
          <t>Compared</t>
        </is>
      </c>
      <c r="G16" s="28" t="n">
        <v>0</v>
      </c>
      <c r="H16" s="28" t="n"/>
    </row>
    <row r="17">
      <c r="A17" s="28" t="inlineStr">
        <is>
          <t>Admin - Feedback</t>
        </is>
      </c>
      <c r="B17" s="28" t="inlineStr">
        <is>
          <t>Admin</t>
        </is>
      </c>
      <c r="C17" s="28" t="inlineStr">
        <is>
          <t>https://www.figma.com/design/evmNmlK8g4VYwJVu2FwSGV/MoSJE-Portal--Handoff-?node-id=52070-447521</t>
        </is>
      </c>
      <c r="D17" s="28" t="inlineStr">
        <is>
          <t>Yes</t>
        </is>
      </c>
      <c r="E17" s="28" t="inlineStr">
        <is>
          <t>Yes</t>
        </is>
      </c>
      <c r="F17" s="28" t="inlineStr">
        <is>
          <t>Compared</t>
        </is>
      </c>
      <c r="G17" s="28" t="n">
        <v>0</v>
      </c>
      <c r="H17" s="28" t="n"/>
    </row>
    <row r="18">
      <c r="A18" s="28" t="inlineStr">
        <is>
          <t>Admin - General Feedback</t>
        </is>
      </c>
      <c r="B18" s="28" t="inlineStr">
        <is>
          <t>Admin</t>
        </is>
      </c>
      <c r="C18" s="28" t="inlineStr">
        <is>
          <t>https://www.figma.com/design/evmNmlK8g4VYwJVu2FwSGV/MoSJE-Portal--Handoff-?node-id=52071-129865</t>
        </is>
      </c>
      <c r="D18" s="28" t="inlineStr">
        <is>
          <t>Yes</t>
        </is>
      </c>
      <c r="E18" s="28" t="inlineStr">
        <is>
          <t>Yes</t>
        </is>
      </c>
      <c r="F18" s="28" t="inlineStr">
        <is>
          <t>Compared</t>
        </is>
      </c>
      <c r="G18" s="28" t="n">
        <v>0</v>
      </c>
      <c r="H18" s="28" t="n"/>
    </row>
    <row r="19">
      <c r="A19" s="28" t="inlineStr">
        <is>
          <t>Admin - Important Documents</t>
        </is>
      </c>
      <c r="B19" s="28" t="inlineStr">
        <is>
          <t>Admin</t>
        </is>
      </c>
      <c r="C19" s="28" t="inlineStr">
        <is>
          <t>https://www.figma.com/design/evmNmlK8g4VYwJVu2FwSGV/MoSJE-Portal--Handoff-?node-id=52070-443098</t>
        </is>
      </c>
      <c r="D19" s="28" t="inlineStr">
        <is>
          <t>Yes</t>
        </is>
      </c>
      <c r="E19" s="28" t="inlineStr">
        <is>
          <t>Yes</t>
        </is>
      </c>
      <c r="F19" s="28" t="inlineStr">
        <is>
          <t>Compared</t>
        </is>
      </c>
      <c r="G19" s="28" t="n">
        <v>2</v>
      </c>
      <c r="H19" s="28" t="n"/>
    </row>
    <row r="20">
      <c r="A20" s="28" t="inlineStr">
        <is>
          <t>Admin - Ministries Dashboard</t>
        </is>
      </c>
      <c r="B20" s="28" t="inlineStr">
        <is>
          <t>Admin</t>
        </is>
      </c>
      <c r="C20" s="28" t="inlineStr">
        <is>
          <t>https://www.figma.com/design/evmNmlK8g4VYwJVu2FwSGV/MoSJE-Portal--Handoff-?node-id=52051-161871</t>
        </is>
      </c>
      <c r="D20" s="28" t="inlineStr">
        <is>
          <t>Yes</t>
        </is>
      </c>
      <c r="E20" s="28" t="inlineStr">
        <is>
          <t>Yes</t>
        </is>
      </c>
      <c r="F20" s="28" t="inlineStr">
        <is>
          <t>Compared</t>
        </is>
      </c>
      <c r="G20" s="28" t="n">
        <v>0</v>
      </c>
      <c r="H20" s="28" t="n"/>
    </row>
    <row r="21">
      <c r="A21" s="28" t="inlineStr">
        <is>
          <t>Admin - Napddr / Block Committee</t>
        </is>
      </c>
      <c r="B21" s="28" t="inlineStr">
        <is>
          <t>Admin</t>
        </is>
      </c>
      <c r="C21" s="28" t="inlineStr">
        <is>
          <t>https://www.figma.com/design/evmNmlK8g4VYwJVu2FwSGV/MoSJE-Portal--Handoff-?node-id=52095-138163</t>
        </is>
      </c>
      <c r="D21" s="28" t="inlineStr">
        <is>
          <t>Yes</t>
        </is>
      </c>
      <c r="E21" s="28" t="inlineStr">
        <is>
          <t>Yes</t>
        </is>
      </c>
      <c r="F21" s="28" t="inlineStr">
        <is>
          <t>Compared</t>
        </is>
      </c>
      <c r="G21" s="28" t="n">
        <v>0</v>
      </c>
      <c r="H21" s="28" t="n"/>
    </row>
    <row r="22">
      <c r="A22" s="28" t="inlineStr">
        <is>
          <t>Admin - Napddr / Committee Reports</t>
        </is>
      </c>
      <c r="B22" s="28" t="inlineStr">
        <is>
          <t>Admin</t>
        </is>
      </c>
      <c r="C22" s="28" t="inlineStr">
        <is>
          <t>https://www.figma.com/design/evmNmlK8g4VYwJVu2FwSGV/MoSJE-Portal--Handoff-?node-id=52095-142880</t>
        </is>
      </c>
      <c r="D22" s="28" t="inlineStr">
        <is>
          <t>Yes</t>
        </is>
      </c>
      <c r="E22" s="28" t="inlineStr">
        <is>
          <t>Yes</t>
        </is>
      </c>
      <c r="F22" s="28" t="inlineStr">
        <is>
          <t>Compared</t>
        </is>
      </c>
      <c r="G22" s="28" t="n">
        <v>0</v>
      </c>
      <c r="H22" s="28" t="n"/>
    </row>
    <row r="23">
      <c r="A23" s="28" t="inlineStr">
        <is>
          <t>Admin - Napddr / District Committee</t>
        </is>
      </c>
      <c r="B23" s="28" t="inlineStr">
        <is>
          <t>Admin</t>
        </is>
      </c>
      <c r="C23" s="28" t="inlineStr">
        <is>
          <t>https://www.figma.com/design/evmNmlK8g4VYwJVu2FwSGV/MoSJE-Portal--Handoff-?node-id=52095-135422</t>
        </is>
      </c>
      <c r="D23" s="28" t="inlineStr">
        <is>
          <t>Yes</t>
        </is>
      </c>
      <c r="E23" s="28" t="inlineStr">
        <is>
          <t>Yes</t>
        </is>
      </c>
      <c r="F23" s="28" t="inlineStr">
        <is>
          <t>Compared</t>
        </is>
      </c>
      <c r="G23" s="28" t="n">
        <v>0</v>
      </c>
      <c r="H23" s="28" t="n"/>
    </row>
    <row r="24">
      <c r="A24" s="28" t="inlineStr">
        <is>
          <t>Admin - Napddr / State Committee</t>
        </is>
      </c>
      <c r="B24" s="28" t="inlineStr">
        <is>
          <t>Admin</t>
        </is>
      </c>
      <c r="C24" s="28" t="inlineStr">
        <is>
          <t>https://www.figma.com/design/evmNmlK8g4VYwJVu2FwSGV/MoSJE-Portal--Handoff-?node-id=52092-136433</t>
        </is>
      </c>
      <c r="D24" s="28" t="inlineStr">
        <is>
          <t>Yes</t>
        </is>
      </c>
      <c r="E24" s="28" t="inlineStr">
        <is>
          <t>Yes</t>
        </is>
      </c>
      <c r="F24" s="28" t="inlineStr">
        <is>
          <t>Compared</t>
        </is>
      </c>
      <c r="G24" s="28" t="n">
        <v>1</v>
      </c>
      <c r="H24" s="28" t="n"/>
    </row>
    <row r="25">
      <c r="A25" s="28" t="inlineStr">
        <is>
          <t>Admin - Nasha Mukti Mitr</t>
        </is>
      </c>
      <c r="B25" s="28" t="inlineStr">
        <is>
          <t>Admin</t>
        </is>
      </c>
      <c r="C25" s="28" t="inlineStr">
        <is>
          <t>https://www.figma.com/design/evmNmlK8g4VYwJVu2FwSGV/MoSJE-Portal--Handoff-?node-id=52073-131257</t>
        </is>
      </c>
      <c r="D25" s="28" t="inlineStr">
        <is>
          <t>Yes</t>
        </is>
      </c>
      <c r="E25" s="28" t="inlineStr">
        <is>
          <t>Yes</t>
        </is>
      </c>
      <c r="F25" s="28" t="inlineStr">
        <is>
          <t>Compared</t>
        </is>
      </c>
      <c r="G25" s="28" t="n">
        <v>0</v>
      </c>
      <c r="H25" s="28" t="n"/>
    </row>
    <row r="26">
      <c r="A26" s="28" t="inlineStr">
        <is>
          <t>Admin - Pledge Reports</t>
        </is>
      </c>
      <c r="B26" s="28" t="inlineStr">
        <is>
          <t>Admin</t>
        </is>
      </c>
      <c r="C26" s="28" t="inlineStr">
        <is>
          <t>https://www.figma.com/design/evmNmlK8g4VYwJVu2FwSGV/MoSJE-Portal--Handoff-?node-id=52067-128958</t>
        </is>
      </c>
      <c r="D26" s="28" t="inlineStr">
        <is>
          <t>Yes</t>
        </is>
      </c>
      <c r="E26" s="28" t="inlineStr">
        <is>
          <t>Yes</t>
        </is>
      </c>
      <c r="F26" s="28" t="inlineStr">
        <is>
          <t>Compared</t>
        </is>
      </c>
      <c r="G26" s="28" t="n">
        <v>0</v>
      </c>
      <c r="H26" s="28" t="n"/>
    </row>
    <row r="27">
      <c r="A27" s="28" t="inlineStr">
        <is>
          <t>Admin - Pre Event Details</t>
        </is>
      </c>
      <c r="B27" s="28" t="inlineStr">
        <is>
          <t>Admin</t>
        </is>
      </c>
      <c r="C27" s="28" t="n"/>
      <c r="D27" s="28" t="inlineStr">
        <is>
          <t>No</t>
        </is>
      </c>
      <c r="E27" s="28" t="inlineStr">
        <is>
          <t>Yes</t>
        </is>
      </c>
      <c r="F27" s="28" t="inlineStr">
        <is>
          <t>Vs. visual language</t>
        </is>
      </c>
      <c r="G27" s="28" t="n">
        <v>0</v>
      </c>
      <c r="H27" s="28" t="inlineStr">
        <is>
          <t>No Figma frame for this route; audited against the visual language.</t>
        </is>
      </c>
    </row>
    <row r="28">
      <c r="A28" s="28" t="inlineStr">
        <is>
          <t>Admin - Rural Development Events</t>
        </is>
      </c>
      <c r="B28" s="28" t="inlineStr">
        <is>
          <t>Admin</t>
        </is>
      </c>
      <c r="C28" s="28" t="n"/>
      <c r="D28" s="28" t="inlineStr">
        <is>
          <t>No</t>
        </is>
      </c>
      <c r="E28" s="28" t="inlineStr">
        <is>
          <t>Yes</t>
        </is>
      </c>
      <c r="F28" s="28" t="inlineStr">
        <is>
          <t>Vs. visual language</t>
        </is>
      </c>
      <c r="G28" s="28" t="n">
        <v>0</v>
      </c>
      <c r="H28" s="28" t="inlineStr">
        <is>
          <t>No Figma frame for this route; audited against the visual language.</t>
        </is>
      </c>
    </row>
    <row r="29">
      <c r="A29" s="28" t="inlineStr">
        <is>
          <t>Admin - State District Dashboard</t>
        </is>
      </c>
      <c r="B29" s="28" t="inlineStr">
        <is>
          <t>Admin</t>
        </is>
      </c>
      <c r="C29" s="28" t="inlineStr">
        <is>
          <t>https://www.figma.com/design/evmNmlK8g4VYwJVu2FwSGV/MoSJE-Portal--Handoff-?node-id=52061-122466</t>
        </is>
      </c>
      <c r="D29" s="28" t="inlineStr">
        <is>
          <t>Yes</t>
        </is>
      </c>
      <c r="E29" s="28" t="inlineStr">
        <is>
          <t>Yes</t>
        </is>
      </c>
      <c r="F29" s="28" t="inlineStr">
        <is>
          <t>Compared</t>
        </is>
      </c>
      <c r="G29" s="28" t="n">
        <v>0</v>
      </c>
      <c r="H29" s="28" t="n"/>
    </row>
    <row r="30">
      <c r="A30" s="28" t="inlineStr">
        <is>
          <t>Admin - State Nodal Officers List</t>
        </is>
      </c>
      <c r="B30" s="28" t="inlineStr">
        <is>
          <t>Admin</t>
        </is>
      </c>
      <c r="C30" s="28" t="inlineStr">
        <is>
          <t>https://www.figma.com/design/evmNmlK8g4VYwJVu2FwSGV/MoSJE-Portal--Handoff-?node-id=52070-446082</t>
        </is>
      </c>
      <c r="D30" s="28" t="inlineStr">
        <is>
          <t>Yes</t>
        </is>
      </c>
      <c r="E30" s="28" t="inlineStr">
        <is>
          <t>Yes</t>
        </is>
      </c>
      <c r="F30" s="28" t="inlineStr">
        <is>
          <t>Compared</t>
        </is>
      </c>
      <c r="G30" s="28" t="n">
        <v>0</v>
      </c>
      <c r="H30" s="28" t="n"/>
    </row>
    <row r="31">
      <c r="A31" s="28" t="inlineStr">
        <is>
          <t>Admin - User Management</t>
        </is>
      </c>
      <c r="B31" s="28" t="inlineStr">
        <is>
          <t>Admin</t>
        </is>
      </c>
      <c r="C31" s="28" t="inlineStr">
        <is>
          <t>https://www.figma.com/design/evmNmlK8g4VYwJVu2FwSGV/MoSJE-Portal--Handoff-?node-id=52061-126900</t>
        </is>
      </c>
      <c r="D31" s="28" t="inlineStr">
        <is>
          <t>Yes</t>
        </is>
      </c>
      <c r="E31" s="28" t="inlineStr">
        <is>
          <t>Yes</t>
        </is>
      </c>
      <c r="F31" s="28" t="inlineStr">
        <is>
          <t>Compared</t>
        </is>
      </c>
      <c r="G31" s="28" t="n">
        <v>1</v>
      </c>
      <c r="H31" s="28" t="n"/>
    </row>
    <row r="32">
      <c r="A32" s="28" t="inlineStr">
        <is>
          <t>State Nodal Officer - About Us</t>
        </is>
      </c>
      <c r="B32" s="28" t="inlineStr">
        <is>
          <t>State Nodal Officer</t>
        </is>
      </c>
      <c r="C32" s="28" t="n"/>
      <c r="D32" s="28" t="inlineStr">
        <is>
          <t>No</t>
        </is>
      </c>
      <c r="E32" s="28" t="inlineStr">
        <is>
          <t>Yes</t>
        </is>
      </c>
      <c r="F32" s="28" t="inlineStr">
        <is>
          <t>Vs. visual language</t>
        </is>
      </c>
      <c r="G32" s="28" t="n">
        <v>0</v>
      </c>
      <c r="H32" s="28" t="inlineStr">
        <is>
          <t>No Figma frame for this route; audited against the visual language.</t>
        </is>
      </c>
    </row>
    <row r="33">
      <c r="A33" s="28" t="inlineStr">
        <is>
          <t>State Nodal Officer - Best Practices</t>
        </is>
      </c>
      <c r="B33" s="28" t="inlineStr">
        <is>
          <t>State Nodal Officer</t>
        </is>
      </c>
      <c r="C33" s="28" t="inlineStr">
        <is>
          <t>https://www.figma.com/design/evmNmlK8g4VYwJVu2FwSGV/MoSJE-Portal--Handoff-?node-id=52042-164934</t>
        </is>
      </c>
      <c r="D33" s="28" t="inlineStr">
        <is>
          <t>Yes</t>
        </is>
      </c>
      <c r="E33" s="28" t="inlineStr">
        <is>
          <t>Yes</t>
        </is>
      </c>
      <c r="F33" s="28" t="inlineStr">
        <is>
          <t>Compared</t>
        </is>
      </c>
      <c r="G33" s="28" t="n">
        <v>0</v>
      </c>
      <c r="H33" s="28" t="n"/>
    </row>
    <row r="34">
      <c r="A34" s="28" t="inlineStr">
        <is>
          <t>State Nodal Officer - Contact Us</t>
        </is>
      </c>
      <c r="B34" s="28" t="inlineStr">
        <is>
          <t>State Nodal Officer</t>
        </is>
      </c>
      <c r="C34" s="28" t="n"/>
      <c r="D34" s="28" t="inlineStr">
        <is>
          <t>No</t>
        </is>
      </c>
      <c r="E34" s="28" t="inlineStr">
        <is>
          <t>Yes</t>
        </is>
      </c>
      <c r="F34" s="28" t="inlineStr">
        <is>
          <t>Vs. visual language</t>
        </is>
      </c>
      <c r="G34" s="28" t="n">
        <v>0</v>
      </c>
      <c r="H34" s="28" t="inlineStr">
        <is>
          <t>No Figma frame for this route; audited against the visual language.</t>
        </is>
      </c>
    </row>
    <row r="35">
      <c r="A35" s="28" t="inlineStr">
        <is>
          <t>State Nodal Officer - Dashboard</t>
        </is>
      </c>
      <c r="B35" s="28" t="inlineStr">
        <is>
          <t>State Nodal Officer</t>
        </is>
      </c>
      <c r="C35" s="28" t="inlineStr">
        <is>
          <t>https://www.figma.com/design/evmNmlK8g4VYwJVu2FwSGV/MoSJE-Portal--Handoff-?node-id=2309-14405</t>
        </is>
      </c>
      <c r="D35" s="28" t="inlineStr">
        <is>
          <t>Yes</t>
        </is>
      </c>
      <c r="E35" s="28" t="inlineStr">
        <is>
          <t>Yes</t>
        </is>
      </c>
      <c r="F35" s="28" t="inlineStr">
        <is>
          <t>Compared</t>
        </is>
      </c>
      <c r="G35" s="28" t="n">
        <v>1</v>
      </c>
      <c r="H35" s="28" t="n"/>
    </row>
    <row r="36">
      <c r="A36" s="28" t="inlineStr">
        <is>
          <t>State Nodal Officer - Feedback</t>
        </is>
      </c>
      <c r="B36" s="28" t="inlineStr">
        <is>
          <t>State Nodal Officer</t>
        </is>
      </c>
      <c r="C36" s="28" t="inlineStr">
        <is>
          <t>https://www.figma.com/design/evmNmlK8g4VYwJVu2FwSGV/MoSJE-Portal--Handoff-?node-id=52040-162783</t>
        </is>
      </c>
      <c r="D36" s="28" t="inlineStr">
        <is>
          <t>Yes</t>
        </is>
      </c>
      <c r="E36" s="28" t="inlineStr">
        <is>
          <t>Yes</t>
        </is>
      </c>
      <c r="F36" s="28" t="inlineStr">
        <is>
          <t>Compared</t>
        </is>
      </c>
      <c r="G36" s="28" t="n">
        <v>0</v>
      </c>
      <c r="H36" s="28" t="n"/>
    </row>
    <row r="37">
      <c r="A37" s="28" t="inlineStr">
        <is>
          <t>State Nodal Officer - Important Documents</t>
        </is>
      </c>
      <c r="B37" s="28" t="inlineStr">
        <is>
          <t>State Nodal Officer</t>
        </is>
      </c>
      <c r="C37" s="28" t="inlineStr">
        <is>
          <t>https://www.figma.com/design/evmNmlK8g4VYwJVu2FwSGV/MoSJE-Portal--Handoff-?node-id=2309-14652</t>
        </is>
      </c>
      <c r="D37" s="28" t="inlineStr">
        <is>
          <t>Yes</t>
        </is>
      </c>
      <c r="E37" s="28" t="inlineStr">
        <is>
          <t>Yes</t>
        </is>
      </c>
      <c r="F37" s="28" t="inlineStr">
        <is>
          <t>Compared</t>
        </is>
      </c>
      <c r="G37" s="28" t="n">
        <v>0</v>
      </c>
      <c r="H37" s="28" t="n"/>
    </row>
    <row r="38">
      <c r="A38" s="28" t="inlineStr">
        <is>
          <t>State Nodal Officer - Napddr / Committee Reports</t>
        </is>
      </c>
      <c r="B38" s="28" t="inlineStr">
        <is>
          <t>State Nodal Officer</t>
        </is>
      </c>
      <c r="C38" s="28" t="inlineStr">
        <is>
          <t>https://www.figma.com/design/evmNmlK8g4VYwJVu2FwSGV/MoSJE-Portal--Handoff-?node-id=10957-117218</t>
        </is>
      </c>
      <c r="D38" s="28" t="inlineStr">
        <is>
          <t>Yes</t>
        </is>
      </c>
      <c r="E38" s="28" t="inlineStr">
        <is>
          <t>Yes</t>
        </is>
      </c>
      <c r="F38" s="28" t="inlineStr">
        <is>
          <t>Compared</t>
        </is>
      </c>
      <c r="G38" s="28" t="n">
        <v>0</v>
      </c>
      <c r="H38" s="28" t="n"/>
    </row>
    <row r="39">
      <c r="A39" s="28" t="inlineStr">
        <is>
          <t>State Nodal Officer - Napddr / State Committee</t>
        </is>
      </c>
      <c r="B39" s="28" t="inlineStr">
        <is>
          <t>State Nodal Officer</t>
        </is>
      </c>
      <c r="C39" s="28" t="inlineStr">
        <is>
          <t>https://www.figma.com/design/evmNmlK8g4VYwJVu2FwSGV/MoSJE-Portal--Handoff-?node-id=10957-116095</t>
        </is>
      </c>
      <c r="D39" s="28" t="inlineStr">
        <is>
          <t>Yes</t>
        </is>
      </c>
      <c r="E39" s="28" t="inlineStr">
        <is>
          <t>Yes</t>
        </is>
      </c>
      <c r="F39" s="28" t="inlineStr">
        <is>
          <t>Compared</t>
        </is>
      </c>
      <c r="G39" s="28" t="n">
        <v>0</v>
      </c>
      <c r="H39" s="28" t="n"/>
    </row>
    <row r="40">
      <c r="A40" s="28" t="inlineStr">
        <is>
          <t>State Nodal Officer - Nasha Mukti Mitr</t>
        </is>
      </c>
      <c r="B40" s="28" t="inlineStr">
        <is>
          <t>State Nodal Officer</t>
        </is>
      </c>
      <c r="C40" s="28" t="n"/>
      <c r="D40" s="28" t="inlineStr">
        <is>
          <t>No</t>
        </is>
      </c>
      <c r="E40" s="28" t="inlineStr">
        <is>
          <t>Yes</t>
        </is>
      </c>
      <c r="F40" s="28" t="inlineStr">
        <is>
          <t>Vs. visual language</t>
        </is>
      </c>
      <c r="G40" s="28" t="n">
        <v>0</v>
      </c>
      <c r="H40" s="28" t="inlineStr">
        <is>
          <t>No Figma frame for this route; audited against the visual language.</t>
        </is>
      </c>
    </row>
    <row r="41">
      <c r="A41" s="28" t="inlineStr">
        <is>
          <t>State Nodal Officer - State District Dashboard</t>
        </is>
      </c>
      <c r="B41" s="28" t="inlineStr">
        <is>
          <t>State Nodal Officer</t>
        </is>
      </c>
      <c r="C41" s="28" t="n"/>
      <c r="D41" s="28" t="inlineStr">
        <is>
          <t>No</t>
        </is>
      </c>
      <c r="E41" s="28" t="inlineStr">
        <is>
          <t>Yes</t>
        </is>
      </c>
      <c r="F41" s="28" t="inlineStr">
        <is>
          <t>Vs. visual language</t>
        </is>
      </c>
      <c r="G41" s="28" t="n">
        <v>0</v>
      </c>
      <c r="H41" s="28" t="inlineStr">
        <is>
          <t>No Figma frame for this route; audited against the visual language.</t>
        </is>
      </c>
    </row>
    <row r="42">
      <c r="A42" s="28" t="inlineStr">
        <is>
          <t>State Nodal Officer - State Nodal Officers List</t>
        </is>
      </c>
      <c r="B42" s="28" t="inlineStr">
        <is>
          <t>State Nodal Officer</t>
        </is>
      </c>
      <c r="C42" s="28" t="inlineStr">
        <is>
          <t>https://www.figma.com/design/evmNmlK8g4VYwJVu2FwSGV/MoSJE-Portal--Handoff-?node-id=52030-162137</t>
        </is>
      </c>
      <c r="D42" s="28" t="inlineStr">
        <is>
          <t>Yes</t>
        </is>
      </c>
      <c r="E42" s="28" t="inlineStr">
        <is>
          <t>Yes</t>
        </is>
      </c>
      <c r="F42" s="28" t="inlineStr">
        <is>
          <t>Compared</t>
        </is>
      </c>
      <c r="G42" s="28" t="n">
        <v>0</v>
      </c>
      <c r="H42" s="28" t="n"/>
    </row>
    <row r="43">
      <c r="A43" s="28" t="inlineStr">
        <is>
          <t>District Nodal Officer - About Us</t>
        </is>
      </c>
      <c r="B43" s="28" t="inlineStr">
        <is>
          <t>District Nodal Officer</t>
        </is>
      </c>
      <c r="C43" s="28" t="n"/>
      <c r="D43" s="28" t="inlineStr">
        <is>
          <t>No</t>
        </is>
      </c>
      <c r="E43" s="28" t="inlineStr">
        <is>
          <t>Yes</t>
        </is>
      </c>
      <c r="F43" s="28" t="inlineStr">
        <is>
          <t>Vs. visual language</t>
        </is>
      </c>
      <c r="G43" s="28" t="n">
        <v>0</v>
      </c>
      <c r="H43" s="28" t="inlineStr">
        <is>
          <t>No Figma frame for this route; audited against the visual language.</t>
        </is>
      </c>
    </row>
    <row r="44">
      <c r="A44" s="28" t="inlineStr">
        <is>
          <t>District Nodal Officer - Best Practices</t>
        </is>
      </c>
      <c r="B44" s="28" t="inlineStr">
        <is>
          <t>District Nodal Officer</t>
        </is>
      </c>
      <c r="C44" s="28" t="inlineStr">
        <is>
          <t>https://www.figma.com/design/evmNmlK8g4VYwJVu2FwSGV/MoSJE-Portal--Handoff-?node-id=51957-332005</t>
        </is>
      </c>
      <c r="D44" s="28" t="inlineStr">
        <is>
          <t>Yes</t>
        </is>
      </c>
      <c r="E44" s="28" t="inlineStr">
        <is>
          <t>Yes</t>
        </is>
      </c>
      <c r="F44" s="28" t="inlineStr">
        <is>
          <t>Compared</t>
        </is>
      </c>
      <c r="G44" s="28" t="n">
        <v>0</v>
      </c>
      <c r="H44" s="28" t="n"/>
    </row>
    <row r="45">
      <c r="A45" s="28" t="inlineStr">
        <is>
          <t>District Nodal Officer - Contact Us</t>
        </is>
      </c>
      <c r="B45" s="28" t="inlineStr">
        <is>
          <t>District Nodal Officer</t>
        </is>
      </c>
      <c r="C45" s="28" t="n"/>
      <c r="D45" s="28" t="inlineStr">
        <is>
          <t>No</t>
        </is>
      </c>
      <c r="E45" s="28" t="inlineStr">
        <is>
          <t>Yes</t>
        </is>
      </c>
      <c r="F45" s="28" t="inlineStr">
        <is>
          <t>Vs. visual language</t>
        </is>
      </c>
      <c r="G45" s="28" t="n">
        <v>0</v>
      </c>
      <c r="H45" s="28" t="inlineStr">
        <is>
          <t>No Figma frame for this route; audited against the visual language.</t>
        </is>
      </c>
    </row>
    <row r="46">
      <c r="A46" s="28" t="inlineStr">
        <is>
          <t>District Nodal Officer - Dashboard</t>
        </is>
      </c>
      <c r="B46" s="28" t="inlineStr">
        <is>
          <t>District Nodal Officer</t>
        </is>
      </c>
      <c r="C46" s="28" t="inlineStr">
        <is>
          <t>https://www.figma.com/design/evmNmlK8g4VYwJVu2FwSGV/MoSJE-Portal--Handoff-?node-id=2306-13219</t>
        </is>
      </c>
      <c r="D46" s="28" t="inlineStr">
        <is>
          <t>Yes</t>
        </is>
      </c>
      <c r="E46" s="28" t="inlineStr">
        <is>
          <t>Yes</t>
        </is>
      </c>
      <c r="F46" s="28" t="inlineStr">
        <is>
          <t>Compared</t>
        </is>
      </c>
      <c r="G46" s="28" t="n">
        <v>0</v>
      </c>
      <c r="H46" s="28" t="n"/>
    </row>
    <row r="47">
      <c r="A47" s="28" t="inlineStr">
        <is>
          <t>District Nodal Officer - District Nodal Officers List</t>
        </is>
      </c>
      <c r="B47" s="28" t="inlineStr">
        <is>
          <t>District Nodal Officer</t>
        </is>
      </c>
      <c r="C47" s="28" t="inlineStr">
        <is>
          <t>https://www.figma.com/design/evmNmlK8g4VYwJVu2FwSGV/MoSJE-Portal--Handoff-?node-id=2309-20334</t>
        </is>
      </c>
      <c r="D47" s="28" t="inlineStr">
        <is>
          <t>Yes</t>
        </is>
      </c>
      <c r="E47" s="28" t="inlineStr">
        <is>
          <t>Yes</t>
        </is>
      </c>
      <c r="F47" s="28" t="inlineStr">
        <is>
          <t>Compared</t>
        </is>
      </c>
      <c r="G47" s="28" t="n">
        <v>0</v>
      </c>
      <c r="H47" s="28" t="n"/>
    </row>
    <row r="48">
      <c r="A48" s="28" t="inlineStr">
        <is>
          <t>District Nodal Officer - Feedback</t>
        </is>
      </c>
      <c r="B48" s="28" t="inlineStr">
        <is>
          <t>District Nodal Officer</t>
        </is>
      </c>
      <c r="C48" s="28" t="inlineStr">
        <is>
          <t>https://www.figma.com/design/evmNmlK8g4VYwJVu2FwSGV/MoSJE-Portal--Handoff-?node-id=51957-330252</t>
        </is>
      </c>
      <c r="D48" s="28" t="inlineStr">
        <is>
          <t>Yes</t>
        </is>
      </c>
      <c r="E48" s="28" t="inlineStr">
        <is>
          <t>Yes</t>
        </is>
      </c>
      <c r="F48" s="28" t="inlineStr">
        <is>
          <t>Compared</t>
        </is>
      </c>
      <c r="G48" s="28" t="n">
        <v>0</v>
      </c>
      <c r="H48" s="28" t="n"/>
    </row>
    <row r="49">
      <c r="A49" s="28" t="inlineStr">
        <is>
          <t>District Nodal Officer - Important Documents</t>
        </is>
      </c>
      <c r="B49" s="28" t="inlineStr">
        <is>
          <t>District Nodal Officer</t>
        </is>
      </c>
      <c r="C49" s="28" t="inlineStr">
        <is>
          <t>https://www.figma.com/design/evmNmlK8g4VYwJVu2FwSGV/MoSJE-Portal--Handoff-?node-id=2306-13466</t>
        </is>
      </c>
      <c r="D49" s="28" t="inlineStr">
        <is>
          <t>Yes</t>
        </is>
      </c>
      <c r="E49" s="28" t="inlineStr">
        <is>
          <t>Yes</t>
        </is>
      </c>
      <c r="F49" s="28" t="inlineStr">
        <is>
          <t>Compared</t>
        </is>
      </c>
      <c r="G49" s="28" t="n">
        <v>0</v>
      </c>
      <c r="H49" s="28" t="n"/>
    </row>
    <row r="50">
      <c r="A50" s="28" t="inlineStr">
        <is>
          <t>District Nodal Officer - Napddr / Committee Reports</t>
        </is>
      </c>
      <c r="B50" s="28" t="inlineStr">
        <is>
          <t>District Nodal Officer</t>
        </is>
      </c>
      <c r="C50" s="28" t="inlineStr">
        <is>
          <t>https://www.figma.com/design/evmNmlK8g4VYwJVu2FwSGV/MoSJE-Portal--Handoff-?node-id=10955-116683</t>
        </is>
      </c>
      <c r="D50" s="28" t="inlineStr">
        <is>
          <t>Yes</t>
        </is>
      </c>
      <c r="E50" s="28" t="inlineStr">
        <is>
          <t>Yes</t>
        </is>
      </c>
      <c r="F50" s="28" t="inlineStr">
        <is>
          <t>Compared</t>
        </is>
      </c>
      <c r="G50" s="28" t="n">
        <v>0</v>
      </c>
      <c r="H50" s="28" t="n"/>
    </row>
    <row r="51">
      <c r="A51" s="28" t="inlineStr">
        <is>
          <t>District Nodal Officer - Napddr / District Committee</t>
        </is>
      </c>
      <c r="B51" s="28" t="inlineStr">
        <is>
          <t>District Nodal Officer</t>
        </is>
      </c>
      <c r="C51" s="28" t="inlineStr">
        <is>
          <t>https://www.figma.com/design/evmNmlK8g4VYwJVu2FwSGV/MoSJE-Portal--Handoff-?node-id=10955-116113</t>
        </is>
      </c>
      <c r="D51" s="28" t="inlineStr">
        <is>
          <t>Yes</t>
        </is>
      </c>
      <c r="E51" s="28" t="inlineStr">
        <is>
          <t>Yes</t>
        </is>
      </c>
      <c r="F51" s="28" t="inlineStr">
        <is>
          <t>Compared</t>
        </is>
      </c>
      <c r="G51" s="28" t="n">
        <v>0</v>
      </c>
      <c r="H51" s="28" t="n"/>
    </row>
    <row r="52">
      <c r="A52" s="28" t="inlineStr">
        <is>
          <t>District Nodal Officer - Nasha Mukti Mitr</t>
        </is>
      </c>
      <c r="B52" s="28" t="inlineStr">
        <is>
          <t>District Nodal Officer</t>
        </is>
      </c>
      <c r="C52" s="28" t="n"/>
      <c r="D52" s="28" t="inlineStr">
        <is>
          <t>No</t>
        </is>
      </c>
      <c r="E52" s="28" t="inlineStr">
        <is>
          <t>Yes</t>
        </is>
      </c>
      <c r="F52" s="28" t="inlineStr">
        <is>
          <t>Vs. visual language</t>
        </is>
      </c>
      <c r="G52" s="28" t="n">
        <v>0</v>
      </c>
      <c r="H52" s="28" t="inlineStr">
        <is>
          <t>No Figma frame for this route; audited against the visual language.</t>
        </is>
      </c>
    </row>
    <row r="53">
      <c r="A53" s="28" t="inlineStr">
        <is>
          <t>District Nodal Officer - State District Dashboard</t>
        </is>
      </c>
      <c r="B53" s="28" t="inlineStr">
        <is>
          <t>District Nodal Officer</t>
        </is>
      </c>
      <c r="C53" s="28" t="n"/>
      <c r="D53" s="28" t="inlineStr">
        <is>
          <t>No</t>
        </is>
      </c>
      <c r="E53" s="28" t="inlineStr">
        <is>
          <t>Yes</t>
        </is>
      </c>
      <c r="F53" s="28" t="inlineStr">
        <is>
          <t>Vs. visual language</t>
        </is>
      </c>
      <c r="G53" s="28" t="n">
        <v>0</v>
      </c>
      <c r="H53" s="28" t="inlineStr">
        <is>
          <t>No Figma frame for this route; audited against the visual language.</t>
        </is>
      </c>
    </row>
    <row r="54">
      <c r="A54" s="28" t="inlineStr">
        <is>
          <t>Design-only frames (states, wizards, detail views)</t>
        </is>
      </c>
      <c r="B54" s="28" t="inlineStr">
        <is>
          <t>all</t>
        </is>
      </c>
      <c r="C54" s="28" t="n"/>
      <c r="D54" s="28" t="inlineStr">
        <is>
          <t>Yes</t>
        </is>
      </c>
      <c r="E54" s="28" t="inlineStr">
        <is>
          <t>No</t>
        </is>
      </c>
      <c r="F54" s="28" t="inlineStr">
        <is>
          <t>Not built on dev</t>
        </is>
      </c>
      <c r="G54" s="28" t="n">
        <v>0</v>
      </c>
      <c r="H54" s="28" t="inlineStr">
        <is>
          <t>67 frames are designed but have no build on dev — form wizards, edit/detail states, register flows and the two further sign-in states. Declared coverage debt, not a miss.</t>
        </is>
      </c>
    </row>
    <row r="55">
      <c r="A55" s="28" t="inlineStr">
        <is>
          <t>Role — CPLI</t>
        </is>
      </c>
      <c r="B55" s="28" t="inlineStr">
        <is>
          <t>CPLI</t>
        </is>
      </c>
      <c r="C55" s="28" t="n"/>
      <c r="D55" s="28" t="inlineStr">
        <is>
          <t>Yes</t>
        </is>
      </c>
      <c r="E55" s="28" t="inlineStr">
        <is>
          <t>Yes</t>
        </is>
      </c>
      <c r="F55" s="28" t="inlineStr">
        <is>
          <t>Out of scope this pass</t>
        </is>
      </c>
      <c r="G55" s="28" t="n">
        <v>0</v>
      </c>
      <c r="H55" s="28" t="inlineStr">
        <is>
          <t>Working dev credentials exist and the design page carries a section for this role. Deferred by decision for this run; ready to run as-is.</t>
        </is>
      </c>
    </row>
    <row r="56">
      <c r="A56" s="28" t="inlineStr">
        <is>
          <t>Role — ODIC</t>
        </is>
      </c>
      <c r="B56" s="28" t="inlineStr">
        <is>
          <t>ODIC</t>
        </is>
      </c>
      <c r="C56" s="28" t="n"/>
      <c r="D56" s="28" t="inlineStr">
        <is>
          <t>Yes</t>
        </is>
      </c>
      <c r="E56" s="28" t="inlineStr">
        <is>
          <t>Yes</t>
        </is>
      </c>
      <c r="F56" s="28" t="inlineStr">
        <is>
          <t>Out of scope this pass</t>
        </is>
      </c>
      <c r="G56" s="28" t="n">
        <v>0</v>
      </c>
      <c r="H56" s="28" t="inlineStr">
        <is>
          <t>Working dev credentials exist and the design page carries a section for this role. Deferred by decision for this run; ready to run as-is.</t>
        </is>
      </c>
    </row>
    <row r="57">
      <c r="A57" s="28" t="inlineStr">
        <is>
          <t>Role — DDAC</t>
        </is>
      </c>
      <c r="B57" s="28" t="inlineStr">
        <is>
          <t>DDAC</t>
        </is>
      </c>
      <c r="C57" s="28" t="n"/>
      <c r="D57" s="28" t="inlineStr">
        <is>
          <t>Yes</t>
        </is>
      </c>
      <c r="E57" s="28" t="inlineStr">
        <is>
          <t>Yes</t>
        </is>
      </c>
      <c r="F57" s="28" t="inlineStr">
        <is>
          <t>Out of scope this pass</t>
        </is>
      </c>
      <c r="G57" s="28" t="n">
        <v>0</v>
      </c>
      <c r="H57" s="28" t="inlineStr">
        <is>
          <t>Working dev credentials exist and the design page carries a section for this role. Deferred by decision for this run; ready to run as-is.</t>
        </is>
      </c>
    </row>
    <row r="58">
      <c r="A58" s="28" t="inlineStr">
        <is>
          <t>Role — USDP</t>
        </is>
      </c>
      <c r="B58" s="28" t="inlineStr">
        <is>
          <t>USDP</t>
        </is>
      </c>
      <c r="C58" s="28" t="n"/>
      <c r="D58" s="28" t="inlineStr">
        <is>
          <t>Yes</t>
        </is>
      </c>
      <c r="E58" s="28" t="inlineStr">
        <is>
          <t>Yes</t>
        </is>
      </c>
      <c r="F58" s="28" t="inlineStr">
        <is>
          <t>Out of scope this pass</t>
        </is>
      </c>
      <c r="G58" s="28" t="n">
        <v>0</v>
      </c>
      <c r="H58" s="28" t="inlineStr">
        <is>
          <t>Working dev credentials exist and the design page carries a section for this role. Deferred by decision for this run; ready to run as-is.</t>
        </is>
      </c>
    </row>
    <row r="59">
      <c r="A59" s="28" t="inlineStr">
        <is>
          <t>Role — Line Ministry</t>
        </is>
      </c>
      <c r="B59" s="28" t="inlineStr">
        <is>
          <t>Line Ministry</t>
        </is>
      </c>
      <c r="C59" s="28" t="n"/>
      <c r="D59" s="28" t="inlineStr">
        <is>
          <t>Yes</t>
        </is>
      </c>
      <c r="E59" s="28" t="inlineStr">
        <is>
          <t>Yes</t>
        </is>
      </c>
      <c r="F59" s="28" t="inlineStr">
        <is>
          <t>Out of scope this pass</t>
        </is>
      </c>
      <c r="G59" s="28" t="n">
        <v>0</v>
      </c>
      <c r="H59" s="28" t="inlineStr">
        <is>
          <t>Working dev credentials exist and the design page carries a section for this role. Deferred by decision for this run; ready to run as-is.</t>
        </is>
      </c>
    </row>
    <row r="60">
      <c r="A60" s="28" t="inlineStr">
        <is>
          <t>Role — MV / Institutions</t>
        </is>
      </c>
      <c r="B60" s="28" t="inlineStr">
        <is>
          <t>MV/Institutions</t>
        </is>
      </c>
      <c r="C60" s="28" t="n"/>
      <c r="D60" s="28" t="inlineStr">
        <is>
          <t>Yes</t>
        </is>
      </c>
      <c r="E60" s="28" t="inlineStr">
        <is>
          <t>Unknown</t>
        </is>
      </c>
      <c r="F60" s="28" t="inlineStr">
        <is>
          <t>Not reachable</t>
        </is>
      </c>
      <c r="G60" s="28" t="n">
        <v>0</v>
      </c>
      <c r="H60" s="28" t="inlineStr">
        <is>
          <t>11 design frames, but the credentials sheet lists no login for this role.</t>
        </is>
      </c>
    </row>
    <row r="61">
      <c r="A61" s="28" t="inlineStr">
        <is>
          <t>Citizen Helpline screen</t>
        </is>
      </c>
      <c r="B61" s="28" t="inlineStr">
        <is>
          <t>all</t>
        </is>
      </c>
      <c r="C61" s="28" t="n"/>
      <c r="D61" s="28" t="inlineStr">
        <is>
          <t>Yes</t>
        </is>
      </c>
      <c r="E61" s="28" t="inlineStr">
        <is>
          <t>No</t>
        </is>
      </c>
      <c r="F61" s="28" t="inlineStr">
        <is>
          <t>Not audited</t>
        </is>
      </c>
      <c r="G61" s="28" t="n">
        <v>0</v>
      </c>
      <c r="H61" s="28" t="inlineStr">
        <is>
          <t>Designed (National De-Addiction Helpline 14446 plus call statistics). Re-checked 2026-09-11: still no /helpline route on the citizen build — the sidebar slot the design gives Helpline is occupied by 'Feedback / Grievances'.</t>
        </is>
      </c>
    </row>
    <row r="62">
      <c r="A62" s="28" t="inlineStr">
        <is>
          <t>e-Pledge OTP and certificate states</t>
        </is>
      </c>
      <c r="B62" s="28" t="inlineStr">
        <is>
          <t>all</t>
        </is>
      </c>
      <c r="C62" s="28" t="n"/>
      <c r="D62" s="28" t="inlineStr">
        <is>
          <t>Yes</t>
        </is>
      </c>
      <c r="E62" s="28" t="inlineStr">
        <is>
          <t>No</t>
        </is>
      </c>
      <c r="F62" s="28" t="inlineStr">
        <is>
          <t>Not audited</t>
        </is>
      </c>
      <c r="G62" s="28" t="n">
        <v>0</v>
      </c>
      <c r="H62" s="28" t="inlineStr">
        <is>
          <t>OTP-gated. A real OTP is never fired on dev, so the flow is captured up to the wall and the states beyond it are not audited.</t>
        </is>
      </c>
    </row>
    <row r="63">
      <c r="A63" s="28" t="inlineStr">
        <is>
          <t>Row-level detail views and committee record states</t>
        </is>
      </c>
      <c r="B63" s="28" t="inlineStr">
        <is>
          <t>all</t>
        </is>
      </c>
      <c r="C63" s="28" t="n"/>
      <c r="D63" s="28" t="inlineStr">
        <is>
          <t>Yes</t>
        </is>
      </c>
      <c r="E63" s="28" t="inlineStr">
        <is>
          <t>No</t>
        </is>
      </c>
      <c r="F63" s="28" t="inlineStr">
        <is>
          <t>Not audited</t>
        </is>
      </c>
      <c r="G63" s="28" t="n">
        <v>0</v>
      </c>
      <c r="H63" s="28" t="inlineStr">
        <is>
          <t>Re-checked 2026-09-11: the dev database now seeds a few committee rows, but not enough to exercise the record states the design draws.</t>
        </is>
      </c>
    </row>
    <row r="64">
      <c r="A64" s="28" t="inlineStr">
        <is>
          <t>18 August National Pledge Against Drug Abuse Report</t>
        </is>
      </c>
      <c r="B64" s="28" t="inlineStr">
        <is>
          <t>all</t>
        </is>
      </c>
      <c r="C64" s="28" t="n"/>
      <c r="D64" s="28" t="inlineStr">
        <is>
          <t>Yes</t>
        </is>
      </c>
      <c r="E64" s="28" t="inlineStr">
        <is>
          <t>No</t>
        </is>
      </c>
      <c r="F64" s="28" t="inlineStr">
        <is>
          <t>Not audited</t>
        </is>
      </c>
      <c r="G64" s="28" t="n">
        <v>0</v>
      </c>
      <c r="H64" s="28" t="inlineStr">
        <is>
          <t>39 design frames for a reporting flow with no corresponding routes on the dev build.</t>
        </is>
      </c>
    </row>
    <row r="65">
      <c r="A65" s="28" t="inlineStr">
        <is>
          <t>The citizen sidebar ships 'Nasha Mukti Mitr' and 'Feedback / Grievances' where the design shows 'Helpline'</t>
        </is>
      </c>
      <c r="B65" s="28" t="inlineStr">
        <is>
          <t>design question</t>
        </is>
      </c>
      <c r="C65" s="28" t="n"/>
      <c r="D65" s="28" t="inlineStr">
        <is>
          <t>No</t>
        </is>
      </c>
      <c r="E65" s="28" t="inlineStr">
        <is>
          <t>Yes</t>
        </is>
      </c>
      <c r="F65" s="28" t="inlineStr">
        <is>
          <t>Build-only addition</t>
        </is>
      </c>
      <c r="G65" s="28" t="n">
        <v>0</v>
      </c>
      <c r="H65" s="28" t="inlineStr">
        <is>
          <t>Present in the build, absent from the design. Not raised as a finding — confirm whether it is intended and, if so, add it to the design.</t>
        </is>
      </c>
    </row>
    <row r="66">
      <c r="A66" s="28" t="inlineStr">
        <is>
          <t>The e-Pledge screen adds 'General Pledge' / 'Recovered Drug User' tabs the design does not draw</t>
        </is>
      </c>
      <c r="B66" s="28" t="inlineStr">
        <is>
          <t>design question</t>
        </is>
      </c>
      <c r="C66" s="28" t="n"/>
      <c r="D66" s="28" t="inlineStr">
        <is>
          <t>No</t>
        </is>
      </c>
      <c r="E66" s="28" t="inlineStr">
        <is>
          <t>Yes</t>
        </is>
      </c>
      <c r="F66" s="28" t="inlineStr">
        <is>
          <t>Build-only addition</t>
        </is>
      </c>
      <c r="G66" s="28" t="n">
        <v>0</v>
      </c>
      <c r="H66" s="28" t="inlineStr">
        <is>
          <t>Present in the build, absent from the design. Not raised as a finding — confirm whether it is intended and, if so, add it to the design.</t>
        </is>
      </c>
    </row>
    <row r="67">
      <c r="A67" s="28" t="inlineStr">
        <is>
          <t>Admin list screens add State / District / Pledge Date columns beyond the designed column set</t>
        </is>
      </c>
      <c r="B67" s="28" t="inlineStr">
        <is>
          <t>design question</t>
        </is>
      </c>
      <c r="C67" s="28" t="n"/>
      <c r="D67" s="28" t="inlineStr">
        <is>
          <t>No</t>
        </is>
      </c>
      <c r="E67" s="28" t="inlineStr">
        <is>
          <t>Yes</t>
        </is>
      </c>
      <c r="F67" s="28" t="inlineStr">
        <is>
          <t>Build-only addition</t>
        </is>
      </c>
      <c r="G67" s="28" t="n">
        <v>0</v>
      </c>
      <c r="H67" s="28" t="inlineStr">
        <is>
          <t>Present in the build, absent from the design. Not raised as a finding — confirm whether it is intended and, if so, add it to the design.</t>
        </is>
      </c>
    </row>
    <row r="68">
      <c r="A68" s="28" t="inlineStr">
        <is>
          <t>Admin list rows add a file-type icon before the document name, which the design does not draw</t>
        </is>
      </c>
      <c r="B68" s="28" t="inlineStr">
        <is>
          <t>design question</t>
        </is>
      </c>
      <c r="C68" s="28" t="n"/>
      <c r="D68" s="28" t="inlineStr">
        <is>
          <t>No</t>
        </is>
      </c>
      <c r="E68" s="28" t="inlineStr">
        <is>
          <t>Yes</t>
        </is>
      </c>
      <c r="F68" s="28" t="inlineStr">
        <is>
          <t>Build-only addition</t>
        </is>
      </c>
      <c r="G68" s="28" t="n">
        <v>0</v>
      </c>
      <c r="H68" s="28" t="inlineStr">
        <is>
          <t>Present in the build, absent from the design. Not raised as a finding — confirm whether it is intended and, if so, add it to the design.</t>
        </is>
      </c>
    </row>
  </sheetData>
  <autoFilter ref="A1:H6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5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20" customWidth="1" min="3" max="3"/>
    <col width="11" customWidth="1" min="4" max="4"/>
    <col width="46" customWidth="1" min="5" max="5"/>
    <col width="42" customWidth="1" min="6" max="6"/>
    <col width="30" customWidth="1" min="7" max="7"/>
    <col width="30" customWidth="1" min="8" max="8"/>
    <col width="12" customWidth="1" min="9" max="9"/>
    <col width="13" customWidth="1" min="10" max="10"/>
    <col width="12" customWidth="1" min="11" max="11"/>
    <col width="30" customWidth="1" min="12" max="12"/>
    <col width="10" customWidth="1" min="13" max="13"/>
  </cols>
  <sheetData>
    <row r="1">
      <c r="A1" s="20" t="inlineStr">
        <is>
          <t>ID</t>
        </is>
      </c>
      <c r="B1" s="20" t="inlineStr">
        <is>
          <t>Screen</t>
        </is>
      </c>
      <c r="C1" s="20" t="inlineStr">
        <is>
          <t>Category</t>
        </is>
      </c>
      <c r="D1" s="20" t="inlineStr">
        <is>
          <t>Severity</t>
        </is>
      </c>
      <c r="E1" s="20" t="inlineStr">
        <is>
          <t>Issue (Design → Built)</t>
        </is>
      </c>
      <c r="F1" s="20" t="inlineStr">
        <is>
          <t>Recommended Fix (Dev)</t>
        </is>
      </c>
      <c r="G1" s="20" t="inlineStr">
        <is>
          <t>Figma URL</t>
        </is>
      </c>
      <c r="H1" s="20" t="inlineStr">
        <is>
          <t>Live URL</t>
        </is>
      </c>
      <c r="I1" s="20" t="inlineStr">
        <is>
          <t>Status</t>
        </is>
      </c>
      <c r="J1" s="20" t="inlineStr">
        <is>
          <t>Assignee</t>
        </is>
      </c>
      <c r="K1" s="20" t="inlineStr">
        <is>
          <t>Date</t>
        </is>
      </c>
      <c r="L1" s="20" t="inlineStr">
        <is>
          <t>Notes</t>
        </is>
      </c>
      <c r="M1" s="20" t="inlineStr">
        <is>
          <t>Scope</t>
        </is>
      </c>
    </row>
    <row r="2">
      <c r="A2" s="21" t="inlineStr">
        <is>
          <t>NHA-GLOBAL-001</t>
        </is>
      </c>
      <c r="B2" s="21" t="inlineStr">
        <is>
          <t>Global · Government masthead &amp; citizen shell</t>
        </is>
      </c>
      <c r="C2" s="21" t="inlineStr">
        <is>
          <t>Responsive &amp; A11y</t>
        </is>
      </c>
      <c r="D2" s="21" t="inlineStr">
        <is>
          <t>Blocker</t>
        </is>
      </c>
      <c r="E2" s="21" t="inlineStr">
        <is>
          <t>Figma: The gov masthead carries the full inline accessibility toolset (A−/A/A+, contrast) plus an accessibility icon that opens the UX4G Accessibility Widget — a GIGW/UX4G-mandated control set present on every page.  →  Live: On every screen (citizen + admin) the inline toolset is reduced to a single glyph and the UX4G widget is a detached floating FAB, so the mandated accessibility controls are absent from the masthead.</t>
        </is>
      </c>
      <c r="F2" s="21" t="inlineStr">
        <is>
          <t>Trigger the UX4G widget from the bar's accessibility icon (not a floating FAB). Applies to every screen (citizen + admin).</t>
        </is>
      </c>
      <c r="G2" s="22" t="inlineStr">
        <is>
          <t>https://www.figma.com/design/gH2vQ62cfg4677YKWuOpLc/MoSJE-Portal--Handoff-?node-id=5986-51876</t>
        </is>
      </c>
      <c r="H2" s="22" t="inlineStr">
        <is>
          <t>https://nhapoa-user-dev.mosje.in/</t>
        </is>
      </c>
      <c r="I2" s="21" t="inlineStr">
        <is>
          <t>Open</t>
        </is>
      </c>
      <c r="J2" s="21" t="inlineStr"/>
      <c r="K2" s="21" t="inlineStr"/>
      <c r="L2" s="21" t="inlineStr">
        <is>
          <t>env: dev  ·  Scope: Global — these elements repeat across the portal (citizen + admin); fix once in the design system. The board shows a representative frame (Citizen — Home) — open it via 'Figma frame ↗'; each marker's number matches its NHA-GLOBAL id.</t>
        </is>
      </c>
      <c r="M2" s="21" t="inlineStr">
        <is>
          <t>Global</t>
        </is>
      </c>
    </row>
    <row r="3">
      <c r="A3" s="23" t="inlineStr">
        <is>
          <t>NHA-GLOBAL-002</t>
        </is>
      </c>
      <c r="B3" s="23" t="inlineStr">
        <is>
          <t>Global · Government masthead &amp; citizen shell</t>
        </is>
      </c>
      <c r="C3" s="23" t="inlineStr">
        <is>
          <t>Content &amp; Iconography</t>
        </is>
      </c>
      <c r="D3" s="23" t="inlineStr">
        <is>
          <t>Major</t>
        </is>
      </c>
      <c r="E3" s="23" t="inlineStr">
        <is>
          <t>Figma: Co-branding lockups (National Emblem, Digital India, SAMAVESH) render crisply from correct hi-res assets in the correct typeface.  →  Live: The Digital India logo renders incorrectly and its wordmark falls back to a serif face (webfont not loading); the SAMAVESH login-hero lockup is blurry. Repeats on every masthead.</t>
        </is>
      </c>
      <c r="F3" s="23" t="inlineStr">
        <is>
          <t>Use correct hi-res/SVG co-branding assets and fix the wordmark font-loading fallback. Applies to the masthead on every screen and the login hero.</t>
        </is>
      </c>
      <c r="G3" s="24" t="inlineStr">
        <is>
          <t>https://www.figma.com/design/gH2vQ62cfg4677YKWuOpLc/MoSJE-Portal--Handoff-?node-id=5986-51876</t>
        </is>
      </c>
      <c r="H3" s="24" t="inlineStr">
        <is>
          <t>https://nhapoa-user-dev.mosje.in/</t>
        </is>
      </c>
      <c r="I3" s="23" t="inlineStr">
        <is>
          <t>Open</t>
        </is>
      </c>
      <c r="J3" s="23" t="inlineStr"/>
      <c r="K3" s="23" t="inlineStr"/>
      <c r="L3" s="23" t="inlineStr">
        <is>
          <t>env: dev  ·  Scope: Global — these elements repeat across the portal (citizen + admin); fix once in the design system. The board shows a representative frame (Citizen — Home) — open it via 'Figma frame ↗'; each marker's number matches its NHA-GLOBAL id.</t>
        </is>
      </c>
      <c r="M3" s="23" t="inlineStr">
        <is>
          <t>Global</t>
        </is>
      </c>
    </row>
    <row r="4">
      <c r="A4" s="21" t="inlineStr">
        <is>
          <t>NHA-GLOBAL-010</t>
        </is>
      </c>
      <c r="B4" s="21" t="inlineStr">
        <is>
          <t>Global · Government masthead &amp; citizen shell</t>
        </is>
      </c>
      <c r="C4" s="21" t="inlineStr">
        <is>
          <t>Content &amp; Iconography</t>
        </is>
      </c>
      <c r="D4" s="21" t="inlineStr">
        <is>
          <t>Minor</t>
        </is>
      </c>
      <c r="E4" s="21" t="inlineStr">
        <is>
          <t>Figma: All icons come from one Material Symbols family at a consistent size/style; no emoji.  →  Live: Icons mix families/sizes/styles and emoji appear in places (e.g. the citizen track result). Repeats across screens.</t>
        </is>
      </c>
      <c r="F4" s="21" t="inlineStr">
        <is>
          <t>Standardise all icons to one Material Symbols family + consistent size/style and replace emoji with Material icons. Applies to every screen.</t>
        </is>
      </c>
      <c r="G4" s="22" t="inlineStr">
        <is>
          <t>https://www.figma.com/design/gH2vQ62cfg4677YKWuOpLc/MoSJE-Portal--Handoff-?node-id=5986-51876</t>
        </is>
      </c>
      <c r="H4" s="22" t="inlineStr">
        <is>
          <t>https://nhapoa-user-dev.mosje.in/</t>
        </is>
      </c>
      <c r="I4" s="21" t="inlineStr">
        <is>
          <t>Open</t>
        </is>
      </c>
      <c r="J4" s="21" t="inlineStr"/>
      <c r="K4" s="21" t="inlineStr"/>
      <c r="L4" s="21" t="inlineStr">
        <is>
          <t>env: dev  ·  Scope: Global — these elements repeat across the portal (citizen + admin); fix once in the design system. The board shows a representative frame (Citizen — Home) — open it via 'Figma frame ↗'; each marker's number matches its NHA-GLOBAL id.</t>
        </is>
      </c>
      <c r="M4" s="21" t="inlineStr">
        <is>
          <t>Global</t>
        </is>
      </c>
    </row>
    <row r="5">
      <c r="A5" s="23" t="inlineStr">
        <is>
          <t>NHA-GLOBAL-014</t>
        </is>
      </c>
      <c r="B5" s="23" t="inlineStr">
        <is>
          <t>Global · Government masthead &amp; citizen shell</t>
        </is>
      </c>
      <c r="C5" s="23" t="inlineStr">
        <is>
          <t>Layout &amp; Spacing</t>
        </is>
      </c>
      <c r="D5" s="23" t="inlineStr">
        <is>
          <t>Nit</t>
        </is>
      </c>
      <c r="E5" s="23" t="inlineStr">
        <is>
          <t>Figma: The updated design shows the National Emblem beside the ministry text, baseline-aligned, with no divider.  →  Live: The build shows a divider between the emblem and text and the emblem isn't baseline-aligned. Repeats on every masthead.</t>
        </is>
      </c>
      <c r="F5" s="23" t="inlineStr">
        <is>
          <t>Remove the emblem–text divider and align the emblem to the text baseline. Applies to every masthead.</t>
        </is>
      </c>
      <c r="G5" s="24" t="inlineStr">
        <is>
          <t>https://www.figma.com/design/gH2vQ62cfg4677YKWuOpLc/MoSJE-Portal--Handoff-?node-id=5986-51876</t>
        </is>
      </c>
      <c r="H5" s="24" t="inlineStr">
        <is>
          <t>https://nhapoa-user-dev.mosje.in/</t>
        </is>
      </c>
      <c r="I5" s="23" t="inlineStr">
        <is>
          <t>Open</t>
        </is>
      </c>
      <c r="J5" s="23" t="inlineStr"/>
      <c r="K5" s="23" t="inlineStr"/>
      <c r="L5" s="23" t="inlineStr">
        <is>
          <t>env: dev  ·  Scope: Global — these elements repeat across the portal (citizen + admin); fix once in the design system. The board shows a representative frame (Citizen — Home) — open it via 'Figma frame ↗'; each marker's number matches its NHA-GLOBAL id.</t>
        </is>
      </c>
      <c r="M5" s="23" t="inlineStr">
        <is>
          <t>Global</t>
        </is>
      </c>
    </row>
    <row r="6">
      <c r="A6" s="21" t="inlineStr">
        <is>
          <t>NHA-GLOBAL-003</t>
        </is>
      </c>
      <c r="B6" s="21" t="inlineStr">
        <is>
          <t>Global · Admin dashboards &amp; cards</t>
        </is>
      </c>
      <c r="C6" s="21" t="inlineStr">
        <is>
          <t>Typography</t>
        </is>
      </c>
      <c r="D6" s="21" t="inlineStr">
        <is>
          <t>Major</t>
        </is>
      </c>
      <c r="E6" s="21" t="inlineStr">
        <is>
          <t>Figma: KPI numerals sit on the display scale (tops at 28/32), KPI card label text matches the design, and status/danger KPI cards keep their accent styling.  →  Live: KPI numerals render 48–56px, KPI card text styles differ, and alert cards (e.g. SLA Breaches / SLA Compliance) lose their danger/status accent. Repeats on every dashboard.</t>
        </is>
      </c>
      <c r="F6" s="21" t="inlineStr">
        <is>
          <t>Bring KPI figures onto the display scale, match KPI card text styles, and restore the status accent on alert KPI cards. Applies to every dashboard.</t>
        </is>
      </c>
      <c r="G6" s="22" t="inlineStr">
        <is>
          <t>https://www.figma.com/design/gH2vQ62cfg4677YKWuOpLc/MoSJE-Portal--Handoff-?node-id=5986-59234</t>
        </is>
      </c>
      <c r="H6" s="22" t="inlineStr">
        <is>
          <t>https://nhapoa-admin-dev.mosje.in/admin/dashboard</t>
        </is>
      </c>
      <c r="I6" s="21" t="inlineStr">
        <is>
          <t>Open</t>
        </is>
      </c>
      <c r="J6" s="21" t="inlineStr"/>
      <c r="K6" s="21" t="inlineStr"/>
      <c r="L6" s="21" t="inlineStr">
        <is>
          <t>env: dev  ·  Scope: Global — these elements repeat across the portal (citizen + admin); fix once in the design system. The board shows a representative frame (System Admin — Dashboard) — open it via 'Figma frame ↗'; each marker's number matches its NHA-GLOBAL id.</t>
        </is>
      </c>
      <c r="M6" s="21" t="inlineStr">
        <is>
          <t>Global</t>
        </is>
      </c>
    </row>
    <row r="7">
      <c r="A7" s="23" t="inlineStr">
        <is>
          <t>NHA-GLOBAL-005</t>
        </is>
      </c>
      <c r="B7" s="23" t="inlineStr">
        <is>
          <t>Global · Admin dashboards &amp; cards</t>
        </is>
      </c>
      <c r="C7" s="23" t="inlineStr">
        <is>
          <t>Color &amp; Token</t>
        </is>
      </c>
      <c r="D7" s="23" t="inlineStr">
        <is>
          <t>Major</t>
        </is>
      </c>
      <c r="E7" s="23" t="inlineStr">
        <is>
          <t>Figma: Data-viz uses the DS status tokens (Info / Warning / Success / Danger) with the brand navy for emphasis.  →  Live: Charts use ad-hoc hues (e.g. #a66a26 / #3730a3 / #b7131a) instead of the status tokens, and donut segments lack separating gaps. Repeats on every dashboard/analytics screen.</t>
        </is>
      </c>
      <c r="F7" s="23" t="inlineStr">
        <is>
          <t>Re-map chart series to the status/brand tokens and add gaps between donut segments. Applies to every dashboard/analytics screen.</t>
        </is>
      </c>
      <c r="G7" s="24" t="inlineStr">
        <is>
          <t>https://www.figma.com/design/gH2vQ62cfg4677YKWuOpLc/MoSJE-Portal--Handoff-?node-id=5986-59234</t>
        </is>
      </c>
      <c r="H7" s="24" t="inlineStr">
        <is>
          <t>https://nhapoa-admin-dev.mosje.in/admin/dashboard</t>
        </is>
      </c>
      <c r="I7" s="23" t="inlineStr">
        <is>
          <t>Open</t>
        </is>
      </c>
      <c r="J7" s="23" t="inlineStr"/>
      <c r="K7" s="23" t="inlineStr"/>
      <c r="L7" s="23" t="inlineStr">
        <is>
          <t>env: dev  ·  Scope: Global — these elements repeat across the portal (citizen + admin); fix once in the design system. The board shows a representative frame (System Admin — Dashboard) — open it via 'Figma frame ↗'; each marker's number matches its NHA-GLOBAL id.</t>
        </is>
      </c>
      <c r="M7" s="23" t="inlineStr">
        <is>
          <t>Global</t>
        </is>
      </c>
    </row>
    <row r="8">
      <c r="A8" s="21" t="inlineStr">
        <is>
          <t>NHA-GLOBAL-007</t>
        </is>
      </c>
      <c r="B8" s="21" t="inlineStr">
        <is>
          <t>Global · Admin dashboards &amp; cards</t>
        </is>
      </c>
      <c r="C8" s="21" t="inlineStr">
        <is>
          <t>Components &amp; States</t>
        </is>
      </c>
      <c r="D8" s="21" t="inlineStr">
        <is>
          <t>Minor</t>
        </is>
      </c>
      <c r="E8" s="21" t="inlineStr">
        <is>
          <t>Figma: The sidebar sits on the surface with only a 1px divider; nav icons share one stroke width + neutral colour with a filled primary-colour icon for the active item; nav items carry trailing count badges; the collapse control reflects the sidebar state.  →  Live: The sidebar has a background fill and no divider; icon stroke/colour vary and the active item isn't a filled primary icon; count badges are missing; the collapse button doesn't reflect state. Repeats on every screen with the sidebar.</t>
        </is>
      </c>
      <c r="F8" s="21" t="inlineStr">
        <is>
          <t>Remove the sidebar fill and add a 1px divider; normalise icon stroke + neutral colour with a filled primary active icon; add the count-badge component; bind the collapse button to sidebar state. Applies to every screen with the sidebar.</t>
        </is>
      </c>
      <c r="G8" s="22" t="inlineStr">
        <is>
          <t>https://www.figma.com/design/gH2vQ62cfg4677YKWuOpLc/MoSJE-Portal--Handoff-?node-id=5986-59234</t>
        </is>
      </c>
      <c r="H8" s="22" t="inlineStr">
        <is>
          <t>https://nhapoa-admin-dev.mosje.in/admin/dashboard</t>
        </is>
      </c>
      <c r="I8" s="21" t="inlineStr">
        <is>
          <t>Open</t>
        </is>
      </c>
      <c r="J8" s="21" t="inlineStr"/>
      <c r="K8" s="21" t="inlineStr"/>
      <c r="L8" s="21" t="inlineStr">
        <is>
          <t>env: dev  ·  Scope: Global — these elements repeat across the portal (citizen + admin); fix once in the design system. The board shows a representative frame (System Admin — Dashboard) — open it via 'Figma frame ↗'; each marker's number matches its NHA-GLOBAL id.</t>
        </is>
      </c>
      <c r="M8" s="21" t="inlineStr">
        <is>
          <t>Global</t>
        </is>
      </c>
    </row>
    <row r="9">
      <c r="A9" s="23" t="inlineStr">
        <is>
          <t>NHA-GLOBAL-009</t>
        </is>
      </c>
      <c r="B9" s="23" t="inlineStr">
        <is>
          <t>Global · Admin dashboards &amp; cards</t>
        </is>
      </c>
      <c r="C9" s="23" t="inlineStr">
        <is>
          <t>Layout &amp; Spacing</t>
        </is>
      </c>
      <c r="D9" s="23" t="inlineStr">
        <is>
          <t>Minor</t>
        </is>
      </c>
      <c r="E9" s="23" t="inlineStr">
        <is>
          <t>Figma: Section and KPI cards share a consistent header text style, uniform heights within a row (width may flex), a divider between a chart and its legend, and charts that fit within the card.  →  Live: Card header styles differ, row card heights aren't uniform, chart↔legend dividers are missing, and some charts overflow their card. Repeats on every card-based screen.</t>
        </is>
      </c>
      <c r="F9" s="23" t="inlineStr">
        <is>
          <t>Standardise card header text, keep uniform card heights per row (flex width), add a chart↔legend divider, and fit charts within the card (horizontal scroll if very wide). Applies to every card-based screen.</t>
        </is>
      </c>
      <c r="G9" s="24" t="inlineStr">
        <is>
          <t>https://www.figma.com/design/gH2vQ62cfg4677YKWuOpLc/MoSJE-Portal--Handoff-?node-id=5986-59234</t>
        </is>
      </c>
      <c r="H9" s="24" t="inlineStr">
        <is>
          <t>https://nhapoa-admin-dev.mosje.in/admin/dashboard</t>
        </is>
      </c>
      <c r="I9" s="23" t="inlineStr">
        <is>
          <t>Open</t>
        </is>
      </c>
      <c r="J9" s="23" t="inlineStr"/>
      <c r="K9" s="23" t="inlineStr"/>
      <c r="L9" s="23" t="inlineStr">
        <is>
          <t>env: dev  ·  Scope: Global — these elements repeat across the portal (citizen + admin); fix once in the design system. The board shows a representative frame (System Admin — Dashboard) — open it via 'Figma frame ↗'; each marker's number matches its NHA-GLOBAL id.</t>
        </is>
      </c>
      <c r="M9" s="23" t="inlineStr">
        <is>
          <t>Global</t>
        </is>
      </c>
    </row>
    <row r="10">
      <c r="A10" s="21" t="inlineStr">
        <is>
          <t>NHA-GLOBAL-004</t>
        </is>
      </c>
      <c r="B10" s="21" t="inlineStr">
        <is>
          <t>Global · Admin list &amp; table views</t>
        </is>
      </c>
      <c r="C10" s="21" t="inlineStr">
        <is>
          <t>Color &amp; Token</t>
        </is>
      </c>
      <c r="D10" s="21" t="inlineStr">
        <is>
          <t>Major</t>
        </is>
      </c>
      <c r="E10" s="21" t="inlineStr">
        <is>
          <t>Figma: Dark text uses Text/Primary #003366 / Text/Dark #1f2937; muted/secondary text uses Text/Hint #374151.  →  Live: Headings render near-black slate (#0f172a / #111827) and muted labels render gray-500/400 (#6b7280 / #9ca3af), flattening the colour hierarchy on every admin screen.</t>
        </is>
      </c>
      <c r="F10" s="21" t="inlineStr">
        <is>
          <t>Map headings and muted/secondary text to the neutral text tokens. Applies to every admin screen (shown here on the Grievance-Monitoring list).</t>
        </is>
      </c>
      <c r="G10" s="22" t="inlineStr">
        <is>
          <t>https://www.figma.com/design/gH2vQ62cfg4677YKWuOpLc/MoSJE-Portal--Handoff-?node-id=5986-59480</t>
        </is>
      </c>
      <c r="H10" s="22" t="inlineStr">
        <is>
          <t>https://nhapoa-admin-dev.mosje.in/admin/grievances</t>
        </is>
      </c>
      <c r="I10" s="21" t="inlineStr">
        <is>
          <t>Open</t>
        </is>
      </c>
      <c r="J10" s="21" t="inlineStr"/>
      <c r="K10" s="21" t="inlineStr"/>
      <c r="L10" s="21" t="inlineStr">
        <is>
          <t>env: dev  ·  Scope: Global — these elements repeat across the portal (citizen + admin); fix once in the design system. The board shows a representative frame (System Admin — Grievance Monitoring) — open it via 'Figma frame ↗'; each marker's number matches its NHA-GLOBAL id.</t>
        </is>
      </c>
      <c r="M10" s="21" t="inlineStr">
        <is>
          <t>Global</t>
        </is>
      </c>
    </row>
    <row r="11">
      <c r="A11" s="23" t="inlineStr">
        <is>
          <t>NHA-GLOBAL-006</t>
        </is>
      </c>
      <c r="B11" s="23" t="inlineStr">
        <is>
          <t>Global · Admin list &amp; table views</t>
        </is>
      </c>
      <c r="C11" s="23" t="inlineStr">
        <is>
          <t>Typography</t>
        </is>
      </c>
      <c r="D11" s="23" t="inlineStr">
        <is>
          <t>Minor</t>
        </is>
      </c>
      <c r="E11" s="23" t="inlineStr">
        <is>
          <t>Figma: The page header uses the design's text style, spacing, action-button and icon.  →  Live: Page-header text style / spacing / button / icon differ from the design (and some carry an icon the design omits). Repeats on every admin screen.</t>
        </is>
      </c>
      <c r="F11" s="23" t="inlineStr">
        <is>
          <t>Match the page-header text style, spacing, button and icon to the design. Applies to every admin screen.</t>
        </is>
      </c>
      <c r="G11" s="24" t="inlineStr">
        <is>
          <t>https://www.figma.com/design/gH2vQ62cfg4677YKWuOpLc/MoSJE-Portal--Handoff-?node-id=5986-59480</t>
        </is>
      </c>
      <c r="H11" s="24" t="inlineStr">
        <is>
          <t>https://nhapoa-admin-dev.mosje.in/admin/grievances</t>
        </is>
      </c>
      <c r="I11" s="23" t="inlineStr">
        <is>
          <t>Open</t>
        </is>
      </c>
      <c r="J11" s="23" t="inlineStr"/>
      <c r="K11" s="23" t="inlineStr"/>
      <c r="L11" s="23" t="inlineStr">
        <is>
          <t>env: dev  ·  Scope: Global — these elements repeat across the portal (citizen + admin); fix once in the design system. The board shows a representative frame (System Admin — Grievance Monitoring) — open it via 'Figma frame ↗'; each marker's number matches its NHA-GLOBAL id.</t>
        </is>
      </c>
      <c r="M11" s="23" t="inlineStr">
        <is>
          <t>Global</t>
        </is>
      </c>
    </row>
    <row r="12">
      <c r="A12" s="21" t="inlineStr">
        <is>
          <t>NHA-GLOBAL-011</t>
        </is>
      </c>
      <c r="B12" s="21" t="inlineStr">
        <is>
          <t>Global · Admin list &amp; table views</t>
        </is>
      </c>
      <c r="C12" s="21" t="inlineStr">
        <is>
          <t>Components &amp; States</t>
        </is>
      </c>
      <c r="D12" s="21" t="inlineStr">
        <is>
          <t>Minor</t>
        </is>
      </c>
      <c r="E12" s="21" t="inlineStr">
        <is>
          <t>Figma: Table header fill + cell text weight/colour follow the list style; role text is Title Case; on wide tables the Action column stays pinned; row hover uses primary/50.  →  Live: Cell text weight/colour differ, role text is lowercase, the Action column isn't sticky on horizontal scroll, and row hover uses a neutral tint. Repeats on every list/table view.</t>
        </is>
      </c>
      <c r="F12" s="21" t="inlineStr">
        <is>
          <t>Match table header + cell typography, render roles in Title Case, make the Action column sticky on horizontal scroll, and use primary/50 for row hover. Applies to every list/table view.</t>
        </is>
      </c>
      <c r="G12" s="22" t="inlineStr">
        <is>
          <t>https://www.figma.com/design/gH2vQ62cfg4677YKWuOpLc/MoSJE-Portal--Handoff-?node-id=5986-59480</t>
        </is>
      </c>
      <c r="H12" s="22" t="inlineStr">
        <is>
          <t>https://nhapoa-admin-dev.mosje.in/admin/grievances</t>
        </is>
      </c>
      <c r="I12" s="21" t="inlineStr">
        <is>
          <t>Open</t>
        </is>
      </c>
      <c r="J12" s="21" t="inlineStr"/>
      <c r="K12" s="21" t="inlineStr"/>
      <c r="L12" s="21" t="inlineStr">
        <is>
          <t>env: dev  ·  Scope: Global — these elements repeat across the portal (citizen + admin); fix once in the design system. The board shows a representative frame (System Admin — Grievance Monitoring) — open it via 'Figma frame ↗'; each marker's number matches its NHA-GLOBAL id.</t>
        </is>
      </c>
      <c r="M12" s="21" t="inlineStr">
        <is>
          <t>Global</t>
        </is>
      </c>
    </row>
    <row r="13">
      <c r="A13" s="23" t="inlineStr">
        <is>
          <t>NHA-GLOBAL-012</t>
        </is>
      </c>
      <c r="B13" s="23" t="inlineStr">
        <is>
          <t>Global · Admin list &amp; table views</t>
        </is>
      </c>
      <c r="C13" s="23" t="inlineStr">
        <is>
          <t>Components &amp; States</t>
        </is>
      </c>
      <c r="D13" s="23" t="inlineStr">
        <is>
          <t>Minor</t>
        </is>
      </c>
      <c r="E13" s="23" t="inlineStr">
        <is>
          <t>Figma: Status/SLA pills use the DS semantic colours and sit in the Status column only.  →  Live: Status/SLA pills don't use the semantic tokens and sometimes appear outside the Status column. Repeats on every list/case view.</t>
        </is>
      </c>
      <c r="F13" s="23" t="inlineStr">
        <is>
          <t>Use the DS semantic colours for status/SLA pills and keep them in the Status column. Applies to every list/case view.</t>
        </is>
      </c>
      <c r="G13" s="24" t="inlineStr">
        <is>
          <t>https://www.figma.com/design/gH2vQ62cfg4677YKWuOpLc/MoSJE-Portal--Handoff-?node-id=5986-59480</t>
        </is>
      </c>
      <c r="H13" s="24" t="inlineStr">
        <is>
          <t>https://nhapoa-admin-dev.mosje.in/admin/grievances</t>
        </is>
      </c>
      <c r="I13" s="23" t="inlineStr">
        <is>
          <t>Open</t>
        </is>
      </c>
      <c r="J13" s="23" t="inlineStr"/>
      <c r="K13" s="23" t="inlineStr"/>
      <c r="L13" s="23" t="inlineStr">
        <is>
          <t>env: dev  ·  Scope: Global — these elements repeat across the portal (citizen + admin); fix once in the design system. The board shows a representative frame (System Admin — Grievance Monitoring) — open it via 'Figma frame ↗'; each marker's number matches its NHA-GLOBAL id.</t>
        </is>
      </c>
      <c r="M13" s="23" t="inlineStr">
        <is>
          <t>Global</t>
        </is>
      </c>
    </row>
    <row r="14">
      <c r="A14" s="21" t="inlineStr">
        <is>
          <t>NHA-GLOBAL-013</t>
        </is>
      </c>
      <c r="B14" s="21" t="inlineStr">
        <is>
          <t>Global · Admin list &amp; table views</t>
        </is>
      </c>
      <c r="C14" s="21" t="inlineStr">
        <is>
          <t>Components &amp; States</t>
        </is>
      </c>
      <c r="D14" s="21" t="inlineStr">
        <is>
          <t>Minor</t>
        </is>
      </c>
      <c r="E14" s="21" t="inlineStr">
        <is>
          <t>Figma: Lists use numbered pages + a rows-per-page selector.  →  Live: Lists use Prev / Next + 'Page X of N' only. Repeats on every list view.</t>
        </is>
      </c>
      <c r="F14" s="21" t="inlineStr">
        <is>
          <t>Adopt numbered pagination + a rows-per-page selector across list views (paginate tables beyond ~10–15 rows; hide it for a single page). Applies to every list view.</t>
        </is>
      </c>
      <c r="G14" s="22" t="inlineStr">
        <is>
          <t>https://www.figma.com/design/gH2vQ62cfg4677YKWuOpLc/MoSJE-Portal--Handoff-?node-id=5986-59480</t>
        </is>
      </c>
      <c r="H14" s="22" t="inlineStr">
        <is>
          <t>https://nhapoa-admin-dev.mosje.in/admin/grievances</t>
        </is>
      </c>
      <c r="I14" s="21" t="inlineStr">
        <is>
          <t>Open</t>
        </is>
      </c>
      <c r="J14" s="21" t="inlineStr"/>
      <c r="K14" s="21" t="inlineStr"/>
      <c r="L14" s="21" t="inlineStr">
        <is>
          <t>env: dev  ·  Scope: Global — these elements repeat across the portal (citizen + admin); fix once in the design system. The board shows a representative frame (System Admin — Grievance Monitoring) — open it via 'Figma frame ↗'; each marker's number matches its NHA-GLOBAL id.</t>
        </is>
      </c>
      <c r="M14" s="21" t="inlineStr">
        <is>
          <t>Global</t>
        </is>
      </c>
    </row>
    <row r="15">
      <c r="A15" s="23" t="inlineStr">
        <is>
          <t>NHA-GLOBAL-008</t>
        </is>
      </c>
      <c r="B15" s="23" t="inlineStr">
        <is>
          <t>Global · Notifications</t>
        </is>
      </c>
      <c r="C15" s="23" t="inlineStr">
        <is>
          <t>Components &amp; States</t>
        </is>
      </c>
      <c r="D15" s="23" t="inlineStr">
        <is>
          <t>Minor</t>
        </is>
      </c>
      <c r="E15" s="23" t="inlineStr">
        <is>
          <t>Figma: Notification list-item padding, read/unread styling and icons follow the design; the disabled 'Mark all read' shows only when there are read items.  →  Live: Notification list-item padding, read/unread styling and icons don't match the design. Repeats on every Notifications screen.</t>
        </is>
      </c>
      <c r="F15" s="23" t="inlineStr">
        <is>
          <t>Match notification list-item padding, read/unread styling and icons to the design. Applies to every Notifications screen.</t>
        </is>
      </c>
      <c r="G15" s="24" t="inlineStr">
        <is>
          <t>https://www.figma.com/design/gH2vQ62cfg4677YKWuOpLc/MoSJE-Portal--Handoff-?node-id=5986-61146</t>
        </is>
      </c>
      <c r="H15" s="24" t="inlineStr">
        <is>
          <t>https://nhapoa-admin-dev.mosje.in/admin/notifications</t>
        </is>
      </c>
      <c r="I15" s="23" t="inlineStr">
        <is>
          <t>Open</t>
        </is>
      </c>
      <c r="J15" s="23" t="inlineStr"/>
      <c r="K15" s="23" t="inlineStr"/>
      <c r="L15" s="23" t="inlineStr">
        <is>
          <t>env: dev  ·  Scope: Global — these elements repeat across the portal (citizen + admin); fix once in the design system. The board shows a representative frame (System Admin — Notifications) — open it via 'Figma frame ↗'; each marker's number matches its NHA-GLOBAL id.</t>
        </is>
      </c>
      <c r="M15" s="23" t="inlineStr">
        <is>
          <t>Global</t>
        </is>
      </c>
    </row>
    <row r="16">
      <c r="A16" s="21" t="inlineStr">
        <is>
          <t>NHA-CIT-HOME-001</t>
        </is>
      </c>
      <c r="B16" s="21" t="inlineStr">
        <is>
          <t>Citizen — Home / Dashboard</t>
        </is>
      </c>
      <c r="C16" s="21" t="inlineStr">
        <is>
          <t>Typography</t>
        </is>
      </c>
      <c r="D16" s="21" t="inlineStr">
        <is>
          <t>Minor</t>
        </is>
      </c>
      <c r="E16" s="21" t="inlineStr">
        <is>
          <t>Figma: Page title uses the design's display type token.  →  Live: Page title renders in a different type style.</t>
        </is>
      </c>
      <c r="F16" s="21" t="inlineStr">
        <is>
          <t>Apply the design's title type token.</t>
        </is>
      </c>
      <c r="G16" s="22" t="inlineStr">
        <is>
          <t>https://www.figma.com/design/gH2vQ62cfg4677YKWuOpLc/MoSJE-Portal--Handoff-?node-id=5986-51876</t>
        </is>
      </c>
      <c r="H16" s="22" t="inlineStr">
        <is>
          <t>https://nhapoa-user-dev.mosje.in/</t>
        </is>
      </c>
      <c r="I16" s="21" t="inlineStr">
        <is>
          <t>Fixed</t>
        </is>
      </c>
      <c r="J16" s="21" t="inlineStr"/>
      <c r="K16" s="21" t="inlineStr"/>
      <c r="L16" s="21" t="inlineStr">
        <is>
          <t>env: dev</t>
        </is>
      </c>
      <c r="M16" s="21" t="inlineStr">
        <is>
          <t>Screen</t>
        </is>
      </c>
    </row>
    <row r="17">
      <c r="A17" s="23" t="inlineStr">
        <is>
          <t>NHA-CIT-HOME-002</t>
        </is>
      </c>
      <c r="B17" s="23" t="inlineStr">
        <is>
          <t>Citizen — Home / Dashboard</t>
        </is>
      </c>
      <c r="C17" s="23" t="inlineStr">
        <is>
          <t>Components &amp; States</t>
        </is>
      </c>
      <c r="D17" s="23" t="inlineStr">
        <is>
          <t>Minor</t>
        </is>
      </c>
      <c r="E17" s="23" t="inlineStr">
        <is>
          <t>Figma: Hero/action cards use the design's icon set, text styles and spacing.  →  Live: Hero cards render with different icons and typography.</t>
        </is>
      </c>
      <c r="F17" s="23" t="inlineStr">
        <is>
          <t>Match the hero-card icon set, text styles and spacing to the design.</t>
        </is>
      </c>
      <c r="G17" s="24" t="inlineStr">
        <is>
          <t>https://www.figma.com/design/gH2vQ62cfg4677YKWuOpLc/MoSJE-Portal--Handoff-?node-id=5986-51876</t>
        </is>
      </c>
      <c r="H17" s="24" t="inlineStr">
        <is>
          <t>https://nhapoa-user-dev.mosje.in/</t>
        </is>
      </c>
      <c r="I17" s="23" t="inlineStr">
        <is>
          <t>Fixed</t>
        </is>
      </c>
      <c r="J17" s="23" t="inlineStr"/>
      <c r="K17" s="23" t="inlineStr"/>
      <c r="L17" s="23" t="inlineStr">
        <is>
          <t>env: dev</t>
        </is>
      </c>
      <c r="M17" s="23" t="inlineStr">
        <is>
          <t>Screen</t>
        </is>
      </c>
    </row>
    <row r="18">
      <c r="A18" s="21" t="inlineStr">
        <is>
          <t>NHA-CIT-HOME-003</t>
        </is>
      </c>
      <c r="B18" s="21" t="inlineStr">
        <is>
          <t>Citizen — Home / Dashboard</t>
        </is>
      </c>
      <c r="C18" s="21" t="inlineStr">
        <is>
          <t>Color &amp; Token</t>
        </is>
      </c>
      <c r="D18" s="21" t="inlineStr">
        <is>
          <t>Minor</t>
        </is>
      </c>
      <c r="E18" s="21" t="inlineStr">
        <is>
          <t>Figma: Step subtitles use the design's muted-text token.  →  Live: Subtitle colour under the closure steps doesn't match.</t>
        </is>
      </c>
      <c r="F18" s="21" t="inlineStr">
        <is>
          <t>Set the closure-step subtitle colour to the design's muted-text token.</t>
        </is>
      </c>
      <c r="G18" s="22" t="inlineStr">
        <is>
          <t>https://www.figma.com/design/gH2vQ62cfg4677YKWuOpLc/MoSJE-Portal--Handoff-?node-id=5986-51876</t>
        </is>
      </c>
      <c r="H18" s="22" t="inlineStr">
        <is>
          <t>https://nhapoa-user-dev.mosje.in/</t>
        </is>
      </c>
      <c r="I18" s="21" t="inlineStr">
        <is>
          <t>Fixed</t>
        </is>
      </c>
      <c r="J18" s="21" t="inlineStr"/>
      <c r="K18" s="21" t="inlineStr"/>
      <c r="L18" s="21" t="inlineStr">
        <is>
          <t>env: dev</t>
        </is>
      </c>
      <c r="M18" s="21" t="inlineStr">
        <is>
          <t>Screen</t>
        </is>
      </c>
    </row>
    <row r="19">
      <c r="A19" s="23" t="inlineStr">
        <is>
          <t>NHA-CIT-HOME-004</t>
        </is>
      </c>
      <c r="B19" s="23" t="inlineStr">
        <is>
          <t>Citizen — Home / Dashboard</t>
        </is>
      </c>
      <c r="C19" s="23" t="inlineStr">
        <is>
          <t>Components &amp; States</t>
        </is>
      </c>
      <c r="D19" s="23" t="inlineStr">
        <is>
          <t>Nit</t>
        </is>
      </c>
      <c r="E19" s="23" t="inlineStr">
        <is>
          <t>Figma: A navy 'Admin Login' button sits top-right for quick admin access.  →  Live: No Admin Login button in the citizen masthead.</t>
        </is>
      </c>
      <c r="F19" s="23" t="inlineStr">
        <is>
          <t>Add the 'Admin Login' button (good-to-have).</t>
        </is>
      </c>
      <c r="G19" s="24" t="inlineStr">
        <is>
          <t>https://www.figma.com/design/gH2vQ62cfg4677YKWuOpLc/MoSJE-Portal--Handoff-?node-id=5986-51876</t>
        </is>
      </c>
      <c r="H19" s="24" t="inlineStr">
        <is>
          <t>https://nhapoa-user-dev.mosje.in/</t>
        </is>
      </c>
      <c r="I19" s="23" t="inlineStr">
        <is>
          <t>Fixed</t>
        </is>
      </c>
      <c r="J19" s="23" t="inlineStr"/>
      <c r="K19" s="23" t="inlineStr"/>
      <c r="L19" s="23" t="inlineStr">
        <is>
          <t>env: dev</t>
        </is>
      </c>
      <c r="M19" s="23" t="inlineStr">
        <is>
          <t>Screen</t>
        </is>
      </c>
    </row>
    <row r="20">
      <c r="A20" s="21" t="inlineStr">
        <is>
          <t>NHA-CIT-HOME-005</t>
        </is>
      </c>
      <c r="B20" s="21" t="inlineStr">
        <is>
          <t>Citizen — Home / Dashboard</t>
        </is>
      </c>
      <c r="C20" s="21" t="inlineStr">
        <is>
          <t>Content &amp; Iconography</t>
        </is>
      </c>
      <c r="D20" s="21" t="inlineStr">
        <is>
          <t>Nit</t>
        </is>
      </c>
      <c r="E20" s="21" t="inlineStr">
        <is>
          <t>Figma: Footer should carry the real ministry footer text.  →  Live: Footer reuses the design's placeholder text.</t>
        </is>
      </c>
      <c r="F20" s="21" t="inlineStr">
        <is>
          <t>Replace with the real production footer text.</t>
        </is>
      </c>
      <c r="G20" s="22" t="inlineStr">
        <is>
          <t>https://www.figma.com/design/gH2vQ62cfg4677YKWuOpLc/MoSJE-Portal--Handoff-?node-id=5986-51876</t>
        </is>
      </c>
      <c r="H20" s="22" t="inlineStr">
        <is>
          <t>https://nhapoa-user-dev.mosje.in/</t>
        </is>
      </c>
      <c r="I20" s="21" t="inlineStr">
        <is>
          <t>Fixed</t>
        </is>
      </c>
      <c r="J20" s="21" t="inlineStr"/>
      <c r="K20" s="21" t="inlineStr"/>
      <c r="L20" s="21" t="inlineStr">
        <is>
          <t>env: dev</t>
        </is>
      </c>
      <c r="M20" s="21" t="inlineStr">
        <is>
          <t>Screen</t>
        </is>
      </c>
    </row>
    <row r="21">
      <c r="A21" s="23" t="inlineStr">
        <is>
          <t>NHA-CIT-RG1-001</t>
        </is>
      </c>
      <c r="B21" s="23" t="inlineStr">
        <is>
          <t>Citizen — Register Grievance · Step 1: Grievance Registration</t>
        </is>
      </c>
      <c r="C21" s="23" t="inlineStr">
        <is>
          <t>Layout &amp; Spacing</t>
        </is>
      </c>
      <c r="D21" s="23" t="inlineStr">
        <is>
          <t>Major</t>
        </is>
      </c>
      <c r="E21" s="23" t="inlineStr">
        <is>
          <t>Figma: On long multi-step forms the sidebar is collapsed by default and the form column is capped at 800px, keeping CTAs clear of the chatbot.  →  Live: Sidebar is expanded and the form is full-width, so the chatbot overlaps the CTAs on narrow screens.</t>
        </is>
      </c>
      <c r="F21" s="23" t="inlineStr">
        <is>
          <t>Collapse sidebar by default; set form max-width 800px; add bottom spacing equal to the chatbot icon height so it never overlaps CTAs.</t>
        </is>
      </c>
      <c r="G21" s="24" t="inlineStr">
        <is>
          <t>https://www.figma.com/design/gH2vQ62cfg4677YKWuOpLc/MoSJE-Portal--Handoff-?node-id=5986-51959</t>
        </is>
      </c>
      <c r="H21" s="24" t="inlineStr">
        <is>
          <t>https://nhapoa-user-dev.mosje.in/register-grievance</t>
        </is>
      </c>
      <c r="I21" s="23" t="inlineStr">
        <is>
          <t>Fixed</t>
        </is>
      </c>
      <c r="J21" s="23" t="inlineStr"/>
      <c r="K21" s="23" t="inlineStr"/>
      <c r="L21" s="23" t="inlineStr">
        <is>
          <t>env: dev</t>
        </is>
      </c>
      <c r="M21" s="23" t="inlineStr">
        <is>
          <t>Screen</t>
        </is>
      </c>
    </row>
    <row r="22">
      <c r="A22" s="21" t="inlineStr">
        <is>
          <t>NHA-CIT-RG1-002</t>
        </is>
      </c>
      <c r="B22" s="21" t="inlineStr">
        <is>
          <t>Citizen — Register Grievance · Step 1: Grievance Registration</t>
        </is>
      </c>
      <c r="C22" s="21" t="inlineStr">
        <is>
          <t>Components &amp; States</t>
        </is>
      </c>
      <c r="D22" s="21" t="inlineStr">
        <is>
          <t>Minor</t>
        </is>
      </c>
      <c r="E22" s="21" t="inlineStr">
        <is>
          <t>Figma: Active step is a solid navy disc with a white numeral.  →  Live: Active step renders as an outlined ring, reading like inactive steps.</t>
        </is>
      </c>
      <c r="F22" s="21" t="inlineStr">
        <is>
          <t>Give the active step the design's solid navy fill + white numeral.</t>
        </is>
      </c>
      <c r="G22" s="22" t="inlineStr">
        <is>
          <t>https://www.figma.com/design/gH2vQ62cfg4677YKWuOpLc/MoSJE-Portal--Handoff-?node-id=5986-51959</t>
        </is>
      </c>
      <c r="H22" s="22" t="inlineStr">
        <is>
          <t>https://nhapoa-user-dev.mosje.in/register-grievance</t>
        </is>
      </c>
      <c r="I22" s="21" t="inlineStr">
        <is>
          <t>Fixed</t>
        </is>
      </c>
      <c r="J22" s="21" t="inlineStr"/>
      <c r="K22" s="21" t="inlineStr"/>
      <c r="L22" s="21" t="inlineStr">
        <is>
          <t>env: dev</t>
        </is>
      </c>
      <c r="M22" s="21" t="inlineStr">
        <is>
          <t>Screen</t>
        </is>
      </c>
    </row>
    <row r="23">
      <c r="A23" s="23" t="inlineStr">
        <is>
          <t>NHA-CIT-RG1-003</t>
        </is>
      </c>
      <c r="B23" s="23" t="inlineStr">
        <is>
          <t>Citizen — Register Grievance · Step 1: Grievance Registration</t>
        </is>
      </c>
      <c r="C23" s="23" t="inlineStr">
        <is>
          <t>Typography</t>
        </is>
      </c>
      <c r="D23" s="23" t="inlineStr">
        <is>
          <t>Minor</t>
        </is>
      </c>
      <c r="E23" s="23" t="inlineStr">
        <is>
          <t>Figma: Upcoming step labels use the design's muted label token.  →  Live: Upcoming-step labels render in a different style.</t>
        </is>
      </c>
      <c r="F23" s="23" t="inlineStr">
        <is>
          <t>Match the upcoming-step label type style.</t>
        </is>
      </c>
      <c r="G23" s="24" t="inlineStr">
        <is>
          <t>https://www.figma.com/design/gH2vQ62cfg4677YKWuOpLc/MoSJE-Portal--Handoff-?node-id=5986-51959</t>
        </is>
      </c>
      <c r="H23" s="24" t="inlineStr">
        <is>
          <t>https://nhapoa-user-dev.mosje.in/register-grievance</t>
        </is>
      </c>
      <c r="I23" s="23" t="inlineStr">
        <is>
          <t>Fixed</t>
        </is>
      </c>
      <c r="J23" s="23" t="inlineStr"/>
      <c r="K23" s="23" t="inlineStr"/>
      <c r="L23" s="23" t="inlineStr">
        <is>
          <t>env: dev</t>
        </is>
      </c>
      <c r="M23" s="23" t="inlineStr">
        <is>
          <t>Screen</t>
        </is>
      </c>
    </row>
    <row r="24">
      <c r="A24" s="21" t="inlineStr">
        <is>
          <t>NHA-CIT-RG1-004</t>
        </is>
      </c>
      <c r="B24" s="21" t="inlineStr">
        <is>
          <t>Citizen — Register Grievance · Step 1: Grievance Registration</t>
        </is>
      </c>
      <c r="C24" s="21" t="inlineStr">
        <is>
          <t>Layout &amp; Spacing</t>
        </is>
      </c>
      <c r="D24" s="21" t="inlineStr">
        <is>
          <t>Minor</t>
        </is>
      </c>
      <c r="E24" s="21" t="inlineStr">
        <is>
          <t>Figma: 'OTP will be sent…' helper sits below the field; the change-number trigger sits beside the input where 'verified' shows, and the verified hint matches the design position.  →  Live: OTP helper is beside the input; verified/change-number placement differs from design.</t>
        </is>
      </c>
      <c r="F24" s="21" t="inlineStr">
        <is>
          <t>Move the OTP helper below the input; place change-number beside the field (where verified shows) and match the verified-hint position to design.</t>
        </is>
      </c>
      <c r="G24" s="22" t="inlineStr">
        <is>
          <t>https://www.figma.com/design/gH2vQ62cfg4677YKWuOpLc/MoSJE-Portal--Handoff-?node-id=5986-51959</t>
        </is>
      </c>
      <c r="H24" s="22" t="inlineStr">
        <is>
          <t>https://nhapoa-user-dev.mosje.in/register-grievance</t>
        </is>
      </c>
      <c r="I24" s="21" t="inlineStr">
        <is>
          <t>Fixed</t>
        </is>
      </c>
      <c r="J24" s="21" t="inlineStr"/>
      <c r="K24" s="21" t="inlineStr"/>
      <c r="L24" s="21" t="inlineStr">
        <is>
          <t>env: dev</t>
        </is>
      </c>
      <c r="M24" s="21" t="inlineStr">
        <is>
          <t>Screen</t>
        </is>
      </c>
    </row>
    <row r="25">
      <c r="A25" s="23" t="inlineStr">
        <is>
          <t>NHA-CIT-RG1-005</t>
        </is>
      </c>
      <c r="B25" s="23" t="inlineStr">
        <is>
          <t>Citizen — Register Grievance · Step 1: Grievance Registration</t>
        </is>
      </c>
      <c r="C25" s="23" t="inlineStr">
        <is>
          <t>Components &amp; States</t>
        </is>
      </c>
      <c r="D25" s="23" t="inlineStr">
        <is>
          <t>Minor</t>
        </is>
      </c>
      <c r="E25" s="23" t="inlineStr">
        <is>
          <t>Figma: Bottom-left control is 'Cancel', always enabled.  →  Live: Build shows 'Back', not an always-active cancel.</t>
        </is>
      </c>
      <c r="F25" s="23" t="inlineStr">
        <is>
          <t>Relabel to 'Cancel' and keep it active so users can exit the flow.</t>
        </is>
      </c>
      <c r="G25" s="24" t="inlineStr">
        <is>
          <t>https://www.figma.com/design/gH2vQ62cfg4677YKWuOpLc/MoSJE-Portal--Handoff-?node-id=5986-51959</t>
        </is>
      </c>
      <c r="H25" s="24" t="inlineStr">
        <is>
          <t>https://nhapoa-user-dev.mosje.in/register-grievance</t>
        </is>
      </c>
      <c r="I25" s="23" t="inlineStr">
        <is>
          <t>Fixed</t>
        </is>
      </c>
      <c r="J25" s="23" t="inlineStr"/>
      <c r="K25" s="23" t="inlineStr"/>
      <c r="L25" s="23" t="inlineStr">
        <is>
          <t>env: dev</t>
        </is>
      </c>
      <c r="M25" s="23" t="inlineStr">
        <is>
          <t>Screen</t>
        </is>
      </c>
    </row>
    <row r="26">
      <c r="A26" s="21" t="inlineStr">
        <is>
          <t>NHA-CIT-RG1-006</t>
        </is>
      </c>
      <c r="B26" s="21" t="inlineStr">
        <is>
          <t>Citizen — Register Grievance · Step 1: Grievance Registration</t>
        </is>
      </c>
      <c r="C26" s="21" t="inlineStr">
        <is>
          <t>Components &amp; States</t>
        </is>
      </c>
      <c r="D26" s="21" t="inlineStr">
        <is>
          <t>Minor</t>
        </is>
      </c>
      <c r="E26" s="21" t="inlineStr">
        <is>
          <t>Figma: Primary action enables only when required fields are complete.  →  Live: 'Save and Continue' is enabled even with empty required fields.</t>
        </is>
      </c>
      <c r="F26" s="21" t="inlineStr">
        <is>
          <t>Disable it until the step's required fields are valid.</t>
        </is>
      </c>
      <c r="G26" s="22" t="inlineStr">
        <is>
          <t>https://www.figma.com/design/gH2vQ62cfg4677YKWuOpLc/MoSJE-Portal--Handoff-?node-id=5986-51959</t>
        </is>
      </c>
      <c r="H26" s="22" t="inlineStr">
        <is>
          <t>https://nhapoa-user-dev.mosje.in/register-grievance</t>
        </is>
      </c>
      <c r="I26" s="21" t="inlineStr">
        <is>
          <t>Fixed</t>
        </is>
      </c>
      <c r="J26" s="21" t="inlineStr"/>
      <c r="K26" s="21" t="inlineStr"/>
      <c r="L26" s="21" t="inlineStr">
        <is>
          <t>env: dev</t>
        </is>
      </c>
      <c r="M26" s="21" t="inlineStr">
        <is>
          <t>Screen</t>
        </is>
      </c>
    </row>
    <row r="27">
      <c r="A27" s="23" t="inlineStr">
        <is>
          <t>NHA-CIT-RG2-001</t>
        </is>
      </c>
      <c r="B27" s="23" t="inlineStr">
        <is>
          <t>Citizen — Register Grievance · Step 2: Informer Details</t>
        </is>
      </c>
      <c r="C27" s="23" t="inlineStr">
        <is>
          <t>Components &amp; States</t>
        </is>
      </c>
      <c r="D27" s="23" t="inlineStr">
        <is>
          <t>Minor</t>
        </is>
      </c>
      <c r="E27" s="23" t="inlineStr">
        <is>
          <t>Figma: Read-only fields use the design's read-only input style incl. icon + text style.  →  Live: Read-only inputs render differently.</t>
        </is>
      </c>
      <c r="F27" s="23" t="inlineStr">
        <is>
          <t>Apply the design's read-only input style (icon + text) to read-only fields.</t>
        </is>
      </c>
      <c r="G27" s="24" t="inlineStr">
        <is>
          <t>https://www.figma.com/design/gH2vQ62cfg4677YKWuOpLc/MoSJE-Portal--Handoff-?node-id=5986-52133</t>
        </is>
      </c>
      <c r="H27" s="24" t="inlineStr">
        <is>
          <t>https://nhapoa-user-dev.mosje.in/register-grievance</t>
        </is>
      </c>
      <c r="I27" s="23" t="inlineStr">
        <is>
          <t>Fixed</t>
        </is>
      </c>
      <c r="J27" s="23" t="inlineStr"/>
      <c r="K27" s="23" t="inlineStr"/>
      <c r="L27" s="23" t="inlineStr">
        <is>
          <t>env: dev</t>
        </is>
      </c>
      <c r="M27" s="23" t="inlineStr">
        <is>
          <t>Screen</t>
        </is>
      </c>
    </row>
    <row r="28">
      <c r="A28" s="21" t="inlineStr">
        <is>
          <t>NHA-CIT-RG2-002</t>
        </is>
      </c>
      <c r="B28" s="21" t="inlineStr">
        <is>
          <t>Citizen — Register Grievance · Step 2: Informer Details</t>
        </is>
      </c>
      <c r="C28" s="21" t="inlineStr">
        <is>
          <t>Layout &amp; Spacing</t>
        </is>
      </c>
      <c r="D28" s="21" t="inlineStr">
        <is>
          <t>Minor</t>
        </is>
      </c>
      <c r="E28" s="21" t="inlineStr">
        <is>
          <t>Figma: Buttons use 16px padding on the icon side, 24px on the other.  →  Live: Button padding doesn't match 16 / 24px.</t>
        </is>
      </c>
      <c r="F28" s="21" t="inlineStr">
        <is>
          <t>Set button padding to 16px (icon side) / 24px (other side).</t>
        </is>
      </c>
      <c r="G28" s="22" t="inlineStr">
        <is>
          <t>https://www.figma.com/design/gH2vQ62cfg4677YKWuOpLc/MoSJE-Portal--Handoff-?node-id=5986-52133</t>
        </is>
      </c>
      <c r="H28" s="22" t="inlineStr">
        <is>
          <t>https://nhapoa-user-dev.mosje.in/register-grievance</t>
        </is>
      </c>
      <c r="I28" s="21" t="inlineStr">
        <is>
          <t>Fixed</t>
        </is>
      </c>
      <c r="J28" s="21" t="inlineStr"/>
      <c r="K28" s="21" t="inlineStr"/>
      <c r="L28" s="21" t="inlineStr">
        <is>
          <t>env: dev</t>
        </is>
      </c>
      <c r="M28" s="21" t="inlineStr">
        <is>
          <t>Screen</t>
        </is>
      </c>
    </row>
    <row r="29">
      <c r="A29" s="23" t="inlineStr">
        <is>
          <t>NHA-CIT-RG2-003</t>
        </is>
      </c>
      <c r="B29" s="23" t="inlineStr">
        <is>
          <t>Citizen — Register Grievance · Step 2: Informer Details</t>
        </is>
      </c>
      <c r="C29" s="23" t="inlineStr">
        <is>
          <t>Components &amp; States</t>
        </is>
      </c>
      <c r="D29" s="23" t="inlineStr">
        <is>
          <t>Nit</t>
        </is>
      </c>
      <c r="E29" s="23" t="inlineStr">
        <is>
          <t>Figma: 'Use my location' is a simple text button.  →  Live: Rendered as an outlined/box button.</t>
        </is>
      </c>
      <c r="F29" s="23" t="inlineStr">
        <is>
          <t>Use the simple text-button style.</t>
        </is>
      </c>
      <c r="G29" s="24" t="inlineStr">
        <is>
          <t>https://www.figma.com/design/gH2vQ62cfg4677YKWuOpLc/MoSJE-Portal--Handoff-?node-id=5986-52133</t>
        </is>
      </c>
      <c r="H29" s="24" t="inlineStr">
        <is>
          <t>https://nhapoa-user-dev.mosje.in/register-grievance</t>
        </is>
      </c>
      <c r="I29" s="23" t="inlineStr">
        <is>
          <t>Fixed</t>
        </is>
      </c>
      <c r="J29" s="23" t="inlineStr"/>
      <c r="K29" s="23" t="inlineStr"/>
      <c r="L29" s="23" t="inlineStr">
        <is>
          <t>env: dev</t>
        </is>
      </c>
      <c r="M29" s="23" t="inlineStr">
        <is>
          <t>Screen</t>
        </is>
      </c>
    </row>
    <row r="30">
      <c r="A30" s="21" t="inlineStr">
        <is>
          <t>NHA-CIT-RG3-001</t>
        </is>
      </c>
      <c r="B30" s="21" t="inlineStr">
        <is>
          <t>Citizen — Register Grievance · Step 3: Victim Details</t>
        </is>
      </c>
      <c r="C30" s="21" t="inlineStr">
        <is>
          <t>Color &amp; Token</t>
        </is>
      </c>
      <c r="D30" s="21" t="inlineStr">
        <is>
          <t>Minor</t>
        </is>
      </c>
      <c r="E30" s="21" t="inlineStr">
        <is>
          <t>Figma: Section headers use the design's header token.  →  Live: Section-header colour doesn't match.</t>
        </is>
      </c>
      <c r="F30" s="21" t="inlineStr">
        <is>
          <t>Set the section-header colour to the design token.</t>
        </is>
      </c>
      <c r="G30" s="22" t="inlineStr">
        <is>
          <t>https://www.figma.com/design/gH2vQ62cfg4677YKWuOpLc/MoSJE-Portal--Handoff-?node-id=5986-52231</t>
        </is>
      </c>
      <c r="H30" s="22" t="inlineStr">
        <is>
          <t>https://nhapoa-user-dev.mosje.in/register-grievance</t>
        </is>
      </c>
      <c r="I30" s="21" t="inlineStr">
        <is>
          <t>Fixed</t>
        </is>
      </c>
      <c r="J30" s="21" t="inlineStr"/>
      <c r="K30" s="21" t="inlineStr"/>
      <c r="L30" s="21" t="inlineStr">
        <is>
          <t>env: dev</t>
        </is>
      </c>
      <c r="M30" s="21" t="inlineStr">
        <is>
          <t>Screen</t>
        </is>
      </c>
    </row>
    <row r="31">
      <c r="A31" s="23" t="inlineStr">
        <is>
          <t>NHA-CIT-RG3-002</t>
        </is>
      </c>
      <c r="B31" s="23" t="inlineStr">
        <is>
          <t>Citizen — Register Grievance · Step 3: Victim Details</t>
        </is>
      </c>
      <c r="C31" s="23" t="inlineStr">
        <is>
          <t>Components &amp; States</t>
        </is>
      </c>
      <c r="D31" s="23" t="inlineStr">
        <is>
          <t>Minor</t>
        </is>
      </c>
      <c r="E31" s="23" t="inlineStr">
        <is>
          <t>Figma: Validation uses the app's inline red error, per design.  →  Live: Wrong Aadhaar shows the browser's native tooltip, inconsistent with the app's inline errors.</t>
        </is>
      </c>
      <c r="F31" s="23" t="inlineStr">
        <is>
          <t>Replace native validation with the app's inline red-error styling.</t>
        </is>
      </c>
      <c r="G31" s="24" t="inlineStr">
        <is>
          <t>https://www.figma.com/design/gH2vQ62cfg4677YKWuOpLc/MoSJE-Portal--Handoff-?node-id=5986-52231</t>
        </is>
      </c>
      <c r="H31" s="24" t="inlineStr">
        <is>
          <t>https://nhapoa-user-dev.mosje.in/register-grievance</t>
        </is>
      </c>
      <c r="I31" s="23" t="inlineStr">
        <is>
          <t>Fixed</t>
        </is>
      </c>
      <c r="J31" s="23" t="inlineStr"/>
      <c r="K31" s="23" t="inlineStr"/>
      <c r="L31" s="23" t="inlineStr">
        <is>
          <t>env: dev</t>
        </is>
      </c>
      <c r="M31" s="23" t="inlineStr">
        <is>
          <t>Screen</t>
        </is>
      </c>
    </row>
    <row r="32">
      <c r="A32" s="21" t="inlineStr">
        <is>
          <t>NHA-CIT-RG3-003</t>
        </is>
      </c>
      <c r="B32" s="21" t="inlineStr">
        <is>
          <t>Citizen — Register Grievance · Step 3: Victim Details</t>
        </is>
      </c>
      <c r="C32" s="21" t="inlineStr">
        <is>
          <t>Layout &amp; Spacing</t>
        </is>
      </c>
      <c r="D32" s="21" t="inlineStr">
        <is>
          <t>Nit</t>
        </is>
      </c>
      <c r="E32" s="21" t="inlineStr">
        <is>
          <t>Figma: Design shows a connector line grouping the ID section.  →  Live: Connector line not shown.</t>
        </is>
      </c>
      <c r="F32" s="21" t="inlineStr">
        <is>
          <t>Render the ID-section connector line.</t>
        </is>
      </c>
      <c r="G32" s="22" t="inlineStr">
        <is>
          <t>https://www.figma.com/design/gH2vQ62cfg4677YKWuOpLc/MoSJE-Portal--Handoff-?node-id=5986-52231</t>
        </is>
      </c>
      <c r="H32" s="22" t="inlineStr">
        <is>
          <t>https://nhapoa-user-dev.mosje.in/register-grievance</t>
        </is>
      </c>
      <c r="I32" s="21" t="inlineStr">
        <is>
          <t>Fixed</t>
        </is>
      </c>
      <c r="J32" s="21" t="inlineStr"/>
      <c r="K32" s="21" t="inlineStr"/>
      <c r="L32" s="21" t="inlineStr">
        <is>
          <t>env: dev</t>
        </is>
      </c>
      <c r="M32" s="21" t="inlineStr">
        <is>
          <t>Screen</t>
        </is>
      </c>
    </row>
    <row r="33">
      <c r="A33" s="23" t="inlineStr">
        <is>
          <t>NHA-CIT-RG4-001</t>
        </is>
      </c>
      <c r="B33" s="23" t="inlineStr">
        <is>
          <t>Citizen — Register Grievance · Step 4: Grievance Details</t>
        </is>
      </c>
      <c r="C33" s="23" t="inlineStr">
        <is>
          <t>Layout &amp; Spacing</t>
        </is>
      </c>
      <c r="D33" s="23" t="inlineStr">
        <is>
          <t>Minor</t>
        </is>
      </c>
      <c r="E33" s="23" t="inlineStr">
        <is>
          <t>Figma: Character counter sits bottom-right.  →  Live: Character count is on the left.</t>
        </is>
      </c>
      <c r="F33" s="23" t="inlineStr">
        <is>
          <t>Move the counter to the right.</t>
        </is>
      </c>
      <c r="G33" s="24" t="inlineStr">
        <is>
          <t>https://www.figma.com/design/gH2vQ62cfg4677YKWuOpLc/MoSJE-Portal--Handoff-?node-id=5986-52298</t>
        </is>
      </c>
      <c r="H33" s="24" t="inlineStr">
        <is>
          <t>https://nhapoa-user-dev.mosje.in/register-grievance</t>
        </is>
      </c>
      <c r="I33" s="23" t="inlineStr">
        <is>
          <t>Fixed</t>
        </is>
      </c>
      <c r="J33" s="23" t="inlineStr"/>
      <c r="K33" s="23" t="inlineStr"/>
      <c r="L33" s="23" t="inlineStr">
        <is>
          <t>env: dev</t>
        </is>
      </c>
      <c r="M33" s="23" t="inlineStr">
        <is>
          <t>Screen</t>
        </is>
      </c>
    </row>
    <row r="34">
      <c r="A34" s="21" t="inlineStr">
        <is>
          <t>NHA-CIT-RG4-002</t>
        </is>
      </c>
      <c r="B34" s="21" t="inlineStr">
        <is>
          <t>Citizen — Register Grievance · Step 4: Grievance Details</t>
        </is>
      </c>
      <c r="C34" s="21" t="inlineStr">
        <is>
          <t>Components &amp; States</t>
        </is>
      </c>
      <c r="D34" s="21" t="inlineStr">
        <is>
          <t>Minor</t>
        </is>
      </c>
      <c r="E34" s="21" t="inlineStr">
        <is>
          <t>Figma: Required inputs are marked required per design.  →  Live: Upload blocks submission but isn't marked mandatory.</t>
        </is>
      </c>
      <c r="F34" s="21" t="inlineStr">
        <is>
          <t>If mandatory, mark it required (asterisk + validation copy).</t>
        </is>
      </c>
      <c r="G34" s="22" t="inlineStr">
        <is>
          <t>https://www.figma.com/design/gH2vQ62cfg4677YKWuOpLc/MoSJE-Portal--Handoff-?node-id=5986-52298</t>
        </is>
      </c>
      <c r="H34" s="22" t="inlineStr">
        <is>
          <t>https://nhapoa-user-dev.mosje.in/register-grievance</t>
        </is>
      </c>
      <c r="I34" s="21" t="inlineStr">
        <is>
          <t>Fixed</t>
        </is>
      </c>
      <c r="J34" s="21" t="inlineStr"/>
      <c r="K34" s="21" t="inlineStr"/>
      <c r="L34" s="21" t="inlineStr">
        <is>
          <t>env: dev</t>
        </is>
      </c>
      <c r="M34" s="21" t="inlineStr">
        <is>
          <t>Screen</t>
        </is>
      </c>
    </row>
    <row r="35">
      <c r="A35" s="23" t="inlineStr">
        <is>
          <t>NHA-CIT-RG4-003</t>
        </is>
      </c>
      <c r="B35" s="23" t="inlineStr">
        <is>
          <t>Citizen — Register Grievance · Step 4: Grievance Details</t>
        </is>
      </c>
      <c r="C35" s="23" t="inlineStr">
        <is>
          <t>Components &amp; States</t>
        </is>
      </c>
      <c r="D35" s="23" t="inlineStr">
        <is>
          <t>Minor</t>
        </is>
      </c>
      <c r="E35" s="23" t="inlineStr">
        <is>
          <t>Figma: Attached-file card and remove button use the design's styling.  →  Live: They don't match the design.</t>
        </is>
      </c>
      <c r="F35" s="23" t="inlineStr">
        <is>
          <t>Match the attached-file card + remove-button style to design.</t>
        </is>
      </c>
      <c r="G35" s="24" t="inlineStr">
        <is>
          <t>https://www.figma.com/design/gH2vQ62cfg4677YKWuOpLc/MoSJE-Portal--Handoff-?node-id=5986-52298</t>
        </is>
      </c>
      <c r="H35" s="24" t="inlineStr">
        <is>
          <t>https://nhapoa-user-dev.mosje.in/register-grievance</t>
        </is>
      </c>
      <c r="I35" s="23" t="inlineStr">
        <is>
          <t>Fixed</t>
        </is>
      </c>
      <c r="J35" s="23" t="inlineStr"/>
      <c r="K35" s="23" t="inlineStr"/>
      <c r="L35" s="23" t="inlineStr">
        <is>
          <t>env: dev</t>
        </is>
      </c>
      <c r="M35" s="23" t="inlineStr">
        <is>
          <t>Screen</t>
        </is>
      </c>
    </row>
    <row r="36">
      <c r="A36" s="21" t="inlineStr">
        <is>
          <t>NHA-CIT-RG5-001</t>
        </is>
      </c>
      <c r="B36" s="21" t="inlineStr">
        <is>
          <t>Citizen — Register Grievance · Step 5: Review &amp; Submit</t>
        </is>
      </c>
      <c r="C36" s="21" t="inlineStr">
        <is>
          <t>Components &amp; States</t>
        </is>
      </c>
      <c r="D36" s="21" t="inlineStr">
        <is>
          <t>Minor</t>
        </is>
      </c>
      <c r="E36" s="21" t="inlineStr">
        <is>
          <t>Figma: The Edit-details button uses the design's button style.  →  Live: Build's Edit-details button differs.</t>
        </is>
      </c>
      <c r="F36" s="21" t="inlineStr">
        <is>
          <t>Match the Edit-details button style to the design.</t>
        </is>
      </c>
      <c r="G36" s="22" t="inlineStr">
        <is>
          <t>https://www.figma.com/design/gH2vQ62cfg4677YKWuOpLc/MoSJE-Portal--Handoff-?node-id=5986-52429</t>
        </is>
      </c>
      <c r="H36" s="22" t="inlineStr">
        <is>
          <t>https://nhapoa-user-dev.mosje.in/register-grievance</t>
        </is>
      </c>
      <c r="I36" s="21" t="inlineStr">
        <is>
          <t>Fixed</t>
        </is>
      </c>
      <c r="J36" s="21" t="inlineStr"/>
      <c r="K36" s="21" t="inlineStr"/>
      <c r="L36" s="21" t="inlineStr">
        <is>
          <t>env: dev</t>
        </is>
      </c>
      <c r="M36" s="21" t="inlineStr">
        <is>
          <t>Screen</t>
        </is>
      </c>
    </row>
    <row r="37">
      <c r="A37" s="23" t="inlineStr">
        <is>
          <t>NHA-CIT-RG5-002</t>
        </is>
      </c>
      <c r="B37" s="23" t="inlineStr">
        <is>
          <t>Citizen — Register Grievance · Step 5: Review &amp; Submit</t>
        </is>
      </c>
      <c r="C37" s="23" t="inlineStr">
        <is>
          <t>Components &amp; States</t>
        </is>
      </c>
      <c r="D37" s="23" t="inlineStr">
        <is>
          <t>Minor</t>
        </is>
      </c>
      <c r="E37" s="23" t="inlineStr">
        <is>
          <t>Figma: The design provides a View action for attached documents.  →  Live: No View button for the attached document.</t>
        </is>
      </c>
      <c r="F37" s="23" t="inlineStr">
        <is>
          <t>Add a 'View' action for the uploaded document.</t>
        </is>
      </c>
      <c r="G37" s="24" t="inlineStr">
        <is>
          <t>https://www.figma.com/design/gH2vQ62cfg4677YKWuOpLc/MoSJE-Portal--Handoff-?node-id=5986-52429</t>
        </is>
      </c>
      <c r="H37" s="24" t="inlineStr">
        <is>
          <t>https://nhapoa-user-dev.mosje.in/register-grievance</t>
        </is>
      </c>
      <c r="I37" s="23" t="inlineStr">
        <is>
          <t>Fixed</t>
        </is>
      </c>
      <c r="J37" s="23" t="inlineStr"/>
      <c r="K37" s="23" t="inlineStr"/>
      <c r="L37" s="23" t="inlineStr">
        <is>
          <t>env: dev</t>
        </is>
      </c>
      <c r="M37" s="23" t="inlineStr">
        <is>
          <t>Screen</t>
        </is>
      </c>
    </row>
    <row r="38">
      <c r="A38" s="21" t="inlineStr">
        <is>
          <t>NHA-CIT-RG5-003</t>
        </is>
      </c>
      <c r="B38" s="21" t="inlineStr">
        <is>
          <t>Citizen — Register Grievance · Step 5: Review &amp; Submit</t>
        </is>
      </c>
      <c r="C38" s="21" t="inlineStr">
        <is>
          <t>Color &amp; Token</t>
        </is>
      </c>
      <c r="D38" s="21" t="inlineStr">
        <is>
          <t>Minor</t>
        </is>
      </c>
      <c r="E38" s="21" t="inlineStr">
        <is>
          <t>Figma: The consent checkbox matches the design component (visible check).  →  Live: The check stroke is so light it looks disabled.</t>
        </is>
      </c>
      <c r="F38" s="21" t="inlineStr">
        <is>
          <t>Match the checkbox to the design component so the check reads as active.</t>
        </is>
      </c>
      <c r="G38" s="22" t="inlineStr">
        <is>
          <t>https://www.figma.com/design/gH2vQ62cfg4677YKWuOpLc/MoSJE-Portal--Handoff-?node-id=5986-52429</t>
        </is>
      </c>
      <c r="H38" s="22" t="inlineStr">
        <is>
          <t>https://nhapoa-user-dev.mosje.in/register-grievance</t>
        </is>
      </c>
      <c r="I38" s="21" t="inlineStr">
        <is>
          <t>Fixed</t>
        </is>
      </c>
      <c r="J38" s="21" t="inlineStr"/>
      <c r="K38" s="21" t="inlineStr"/>
      <c r="L38" s="21" t="inlineStr">
        <is>
          <t>env: dev</t>
        </is>
      </c>
      <c r="M38" s="21" t="inlineStr">
        <is>
          <t>Screen</t>
        </is>
      </c>
    </row>
    <row r="39">
      <c r="A39" s="23" t="inlineStr">
        <is>
          <t>NHA-CIT-RG6-001</t>
        </is>
      </c>
      <c r="B39" s="23" t="inlineStr">
        <is>
          <t>Citizen — Register Grievance · Confirm Submission (modal)</t>
        </is>
      </c>
      <c r="C39" s="23" t="inlineStr">
        <is>
          <t>Components &amp; States</t>
        </is>
      </c>
      <c r="D39" s="23" t="inlineStr">
        <is>
          <t>Minor</t>
        </is>
      </c>
      <c r="E39" s="23" t="inlineStr">
        <is>
          <t>Figma: The confirm dialog matches the design; there is no Close (×) — 'Review again' returns to the previous screen.  →  Live: The build's confirm dialog differs and includes a Close button.</t>
        </is>
      </c>
      <c r="F39" s="23" t="inlineStr">
        <is>
          <t>Match the confirm dialog to the design; remove the Close button ('Review again' handles going back).</t>
        </is>
      </c>
      <c r="G39" s="24" t="inlineStr">
        <is>
          <t>https://www.figma.com/design/gH2vQ62cfg4677YKWuOpLc/MoSJE-Portal--Handoff-?node-id=5986-52830</t>
        </is>
      </c>
      <c r="H39" s="24" t="inlineStr">
        <is>
          <t>https://nhapoa-user-dev.mosje.in/register-grievance</t>
        </is>
      </c>
      <c r="I39" s="23" t="inlineStr">
        <is>
          <t>Fixed</t>
        </is>
      </c>
      <c r="J39" s="23" t="inlineStr"/>
      <c r="K39" s="23" t="inlineStr"/>
      <c r="L39" s="23" t="inlineStr">
        <is>
          <t>env: dev</t>
        </is>
      </c>
      <c r="M39" s="23" t="inlineStr">
        <is>
          <t>Screen</t>
        </is>
      </c>
    </row>
    <row r="40">
      <c r="A40" s="21" t="inlineStr">
        <is>
          <t>NHA-CIT-RG7-001</t>
        </is>
      </c>
      <c r="B40" s="21" t="inlineStr">
        <is>
          <t>Citizen — Register Grievance · Success</t>
        </is>
      </c>
      <c r="C40" s="21" t="inlineStr">
        <is>
          <t>Content &amp; Iconography</t>
        </is>
      </c>
      <c r="D40" s="21" t="inlineStr">
        <is>
          <t>Minor</t>
        </is>
      </c>
      <c r="E40" s="21" t="inlineStr">
        <is>
          <t>Figma: Success uses the correct check icon from the icon family.  →  Live: The success check icon isn't the right one.</t>
        </is>
      </c>
      <c r="F40" s="21" t="inlineStr">
        <is>
          <t>Use the correct check icon.</t>
        </is>
      </c>
      <c r="G40" s="22" t="inlineStr">
        <is>
          <t>https://www.figma.com/design/gH2vQ62cfg4677YKWuOpLc/MoSJE-Portal--Handoff-?node-id=5986-52526</t>
        </is>
      </c>
      <c r="H40" s="22" t="inlineStr">
        <is>
          <t>https://nhapoa-user-dev.mosje.in/register-grievance</t>
        </is>
      </c>
      <c r="I40" s="21" t="inlineStr">
        <is>
          <t>Fixed</t>
        </is>
      </c>
      <c r="J40" s="21" t="inlineStr"/>
      <c r="K40" s="21" t="inlineStr"/>
      <c r="L40" s="21" t="inlineStr">
        <is>
          <t>env: dev</t>
        </is>
      </c>
      <c r="M40" s="21" t="inlineStr">
        <is>
          <t>Screen</t>
        </is>
      </c>
    </row>
    <row r="41">
      <c r="A41" s="23" t="inlineStr">
        <is>
          <t>NHA-CIT-RES-001</t>
        </is>
      </c>
      <c r="B41" s="23" t="inlineStr">
        <is>
          <t>Citizen — Register Rescue</t>
        </is>
      </c>
      <c r="C41" s="23" t="inlineStr">
        <is>
          <t>Typography</t>
        </is>
      </c>
      <c r="D41" s="23" t="inlineStr">
        <is>
          <t>Minor</t>
        </is>
      </c>
      <c r="E41" s="23" t="inlineStr">
        <is>
          <t>Figma: Title follows the established design language, with no icon.  →  Live: Title style differs and includes an icon.</t>
        </is>
      </c>
      <c r="F41" s="23" t="inlineStr">
        <is>
          <t>Match the page-title style; remove the title icon.</t>
        </is>
      </c>
      <c r="G41" s="23" t="inlineStr"/>
      <c r="H41" s="24" t="inlineStr">
        <is>
          <t>https://nhapoa-user-dev.mosje.in/register-rescue</t>
        </is>
      </c>
      <c r="I41" s="23" t="inlineStr">
        <is>
          <t>Fixed</t>
        </is>
      </c>
      <c r="J41" s="23" t="inlineStr"/>
      <c r="K41" s="23" t="inlineStr"/>
      <c r="L41" s="23" t="inlineStr">
        <is>
          <t>env: dev</t>
        </is>
      </c>
      <c r="M41" s="23" t="inlineStr">
        <is>
          <t>Screen</t>
        </is>
      </c>
    </row>
    <row r="42">
      <c r="A42" s="21" t="inlineStr">
        <is>
          <t>NHA-CIT-RES-002</t>
        </is>
      </c>
      <c r="B42" s="21" t="inlineStr">
        <is>
          <t>Citizen — Register Rescue</t>
        </is>
      </c>
      <c r="C42" s="21" t="inlineStr">
        <is>
          <t>Layout &amp; Spacing</t>
        </is>
      </c>
      <c r="D42" s="21" t="inlineStr">
        <is>
          <t>Minor</t>
        </is>
      </c>
      <c r="E42" s="21" t="inlineStr">
        <is>
          <t>Figma: These fields sit in a row; Gender is a dropdown.  →  Live: Each field is on its own line; Gender isn't a dropdown.</t>
        </is>
      </c>
      <c r="F42" s="21" t="inlineStr">
        <is>
          <t>Put Name/Gender/Mobile in a row; make Gender a dropdown.</t>
        </is>
      </c>
      <c r="G42" s="21" t="inlineStr"/>
      <c r="H42" s="22" t="inlineStr">
        <is>
          <t>https://nhapoa-user-dev.mosje.in/register-rescue</t>
        </is>
      </c>
      <c r="I42" s="21" t="inlineStr">
        <is>
          <t>Fixed</t>
        </is>
      </c>
      <c r="J42" s="21" t="inlineStr"/>
      <c r="K42" s="21" t="inlineStr"/>
      <c r="L42" s="21" t="inlineStr">
        <is>
          <t>env: dev</t>
        </is>
      </c>
      <c r="M42" s="21" t="inlineStr">
        <is>
          <t>Screen</t>
        </is>
      </c>
    </row>
    <row r="43">
      <c r="A43" s="23" t="inlineStr">
        <is>
          <t>NHA-CIT-RES-003</t>
        </is>
      </c>
      <c r="B43" s="23" t="inlineStr">
        <is>
          <t>Citizen — Register Rescue</t>
        </is>
      </c>
      <c r="C43" s="23" t="inlineStr">
        <is>
          <t>Color &amp; Token</t>
        </is>
      </c>
      <c r="D43" s="23" t="inlineStr">
        <is>
          <t>Minor</t>
        </is>
      </c>
      <c r="E43" s="23" t="inlineStr">
        <is>
          <t>Figma: OTP modal layout/colours use the design's primary colour.  →  Live: OTP modal uses a random/non-token colour.</t>
        </is>
      </c>
      <c r="F43" s="23" t="inlineStr">
        <is>
          <t>Use the design primary colour in the OTP modal (refer to Figma).</t>
        </is>
      </c>
      <c r="G43" s="23" t="inlineStr"/>
      <c r="H43" s="24" t="inlineStr">
        <is>
          <t>https://nhapoa-user-dev.mosje.in/register-rescue</t>
        </is>
      </c>
      <c r="I43" s="23" t="inlineStr">
        <is>
          <t>Fixed</t>
        </is>
      </c>
      <c r="J43" s="23" t="inlineStr"/>
      <c r="K43" s="23" t="inlineStr"/>
      <c r="L43" s="23" t="inlineStr">
        <is>
          <t>env: dev</t>
        </is>
      </c>
      <c r="M43" s="23" t="inlineStr">
        <is>
          <t>Screen</t>
        </is>
      </c>
    </row>
    <row r="44">
      <c r="A44" s="21" t="inlineStr">
        <is>
          <t>NHA-CIT-RES-004</t>
        </is>
      </c>
      <c r="B44" s="21" t="inlineStr">
        <is>
          <t>Citizen — Register Rescue</t>
        </is>
      </c>
      <c r="C44" s="21" t="inlineStr">
        <is>
          <t>Layout &amp; Spacing</t>
        </is>
      </c>
      <c r="D44" s="21" t="inlineStr">
        <is>
          <t>Minor</t>
        </is>
      </c>
      <c r="E44" s="21" t="inlineStr">
        <is>
          <t>Figma: Location title + current-location button follow the established language (no separate divider between sections).  →  Live: A separate line divider is used between sections.</t>
        </is>
      </c>
      <c r="F44" s="21" t="inlineStr">
        <is>
          <t>Follow the established section pattern; drop the extra divider.</t>
        </is>
      </c>
      <c r="G44" s="21" t="inlineStr"/>
      <c r="H44" s="22" t="inlineStr">
        <is>
          <t>https://nhapoa-user-dev.mosje.in/register-rescue</t>
        </is>
      </c>
      <c r="I44" s="21" t="inlineStr">
        <is>
          <t>Fixed</t>
        </is>
      </c>
      <c r="J44" s="21" t="inlineStr"/>
      <c r="K44" s="21" t="inlineStr"/>
      <c r="L44" s="21" t="inlineStr">
        <is>
          <t>env: dev</t>
        </is>
      </c>
      <c r="M44" s="21" t="inlineStr">
        <is>
          <t>Screen</t>
        </is>
      </c>
    </row>
    <row r="45">
      <c r="A45" s="23" t="inlineStr">
        <is>
          <t>NHA-CIT-TRK1-001</t>
        </is>
      </c>
      <c r="B45" s="23" t="inlineStr">
        <is>
          <t>Citizen — Track Status · Lookup (Reference ID / Mobile)</t>
        </is>
      </c>
      <c r="C45" s="23" t="inlineStr">
        <is>
          <t>Typography</t>
        </is>
      </c>
      <c r="D45" s="23" t="inlineStr">
        <is>
          <t>Minor</t>
        </is>
      </c>
      <c r="E45" s="23" t="inlineStr">
        <is>
          <t>Figma: Title follows the established language.  →  Live: Title differs.</t>
        </is>
      </c>
      <c r="F45" s="23" t="inlineStr">
        <is>
          <t>Match the page-title style to the design language.</t>
        </is>
      </c>
      <c r="G45" s="24" t="inlineStr">
        <is>
          <t>https://www.figma.com/design/gH2vQ62cfg4677YKWuOpLc/MoSJE-Portal--Handoff-?node-id=5986-53203</t>
        </is>
      </c>
      <c r="H45" s="24" t="inlineStr">
        <is>
          <t>https://nhapoa-user-dev.mosje.in/track-status</t>
        </is>
      </c>
      <c r="I45" s="23" t="inlineStr">
        <is>
          <t>Fixed</t>
        </is>
      </c>
      <c r="J45" s="23" t="inlineStr"/>
      <c r="K45" s="23" t="inlineStr"/>
      <c r="L45" s="23" t="inlineStr">
        <is>
          <t>env: dev</t>
        </is>
      </c>
      <c r="M45" s="23" t="inlineStr">
        <is>
          <t>Screen</t>
        </is>
      </c>
    </row>
    <row r="46">
      <c r="A46" s="21" t="inlineStr">
        <is>
          <t>NHA-CIT-TRK1-002</t>
        </is>
      </c>
      <c r="B46" s="21" t="inlineStr">
        <is>
          <t>Citizen — Track Status · Lookup (Reference ID / Mobile)</t>
        </is>
      </c>
      <c r="C46" s="21" t="inlineStr">
        <is>
          <t>Components &amp; States</t>
        </is>
      </c>
      <c r="D46" s="21" t="inlineStr">
        <is>
          <t>Minor</t>
        </is>
      </c>
      <c r="E46" s="21" t="inlineStr">
        <is>
          <t>Figma: The lookup card uses the design's corner radius.  →  Live: Card radius differs from the design.</t>
        </is>
      </c>
      <c r="F46" s="21" t="inlineStr">
        <is>
          <t>Match the card corner radius to the design.</t>
        </is>
      </c>
      <c r="G46" s="22" t="inlineStr">
        <is>
          <t>https://www.figma.com/design/gH2vQ62cfg4677YKWuOpLc/MoSJE-Portal--Handoff-?node-id=5986-53203</t>
        </is>
      </c>
      <c r="H46" s="22" t="inlineStr">
        <is>
          <t>https://nhapoa-user-dev.mosje.in/track-status</t>
        </is>
      </c>
      <c r="I46" s="21" t="inlineStr">
        <is>
          <t>Fixed</t>
        </is>
      </c>
      <c r="J46" s="21" t="inlineStr"/>
      <c r="K46" s="21" t="inlineStr"/>
      <c r="L46" s="21" t="inlineStr">
        <is>
          <t>env: dev</t>
        </is>
      </c>
      <c r="M46" s="21" t="inlineStr">
        <is>
          <t>Screen</t>
        </is>
      </c>
    </row>
    <row r="47">
      <c r="A47" s="23" t="inlineStr">
        <is>
          <t>NHA-CIT-TRK1-003</t>
        </is>
      </c>
      <c r="B47" s="23" t="inlineStr">
        <is>
          <t>Citizen — Track Status · Lookup (Reference ID / Mobile)</t>
        </is>
      </c>
      <c r="C47" s="23" t="inlineStr">
        <is>
          <t>Color &amp; Token</t>
        </is>
      </c>
      <c r="D47" s="23" t="inlineStr">
        <is>
          <t>Minor</t>
        </is>
      </c>
      <c r="E47" s="23" t="inlineStr">
        <is>
          <t>Figma: Primary elements use the design's primary colour token.  →  Live: A non-token/random primary colour is used.</t>
        </is>
      </c>
      <c r="F47" s="23" t="inlineStr">
        <is>
          <t>Use the design's primary colour token.</t>
        </is>
      </c>
      <c r="G47" s="24" t="inlineStr">
        <is>
          <t>https://www.figma.com/design/gH2vQ62cfg4677YKWuOpLc/MoSJE-Portal--Handoff-?node-id=5986-53203</t>
        </is>
      </c>
      <c r="H47" s="24" t="inlineStr">
        <is>
          <t>https://nhapoa-user-dev.mosje.in/track-status</t>
        </is>
      </c>
      <c r="I47" s="23" t="inlineStr">
        <is>
          <t>Fixed</t>
        </is>
      </c>
      <c r="J47" s="23" t="inlineStr"/>
      <c r="K47" s="23" t="inlineStr"/>
      <c r="L47" s="23" t="inlineStr">
        <is>
          <t>env: dev</t>
        </is>
      </c>
      <c r="M47" s="23" t="inlineStr">
        <is>
          <t>Screen</t>
        </is>
      </c>
    </row>
    <row r="48">
      <c r="A48" s="21" t="inlineStr">
        <is>
          <t>NHA-CIT-TRK3-001</t>
        </is>
      </c>
      <c r="B48" s="21" t="inlineStr">
        <is>
          <t>Citizen — Track Status · Result (View Details)</t>
        </is>
      </c>
      <c r="C48" s="21" t="inlineStr">
        <is>
          <t>Color &amp; Token</t>
        </is>
      </c>
      <c r="D48" s="21" t="inlineStr">
        <is>
          <t>Minor</t>
        </is>
      </c>
      <c r="E48" s="21" t="inlineStr">
        <is>
          <t>Figma: Elements use the design's primary colour token.  →  Live: A non-token/random colour is used.</t>
        </is>
      </c>
      <c r="F48" s="21" t="inlineStr">
        <is>
          <t>Use the design's primary colour token.</t>
        </is>
      </c>
      <c r="G48" s="22" t="inlineStr">
        <is>
          <t>https://www.figma.com/design/gH2vQ62cfg4677YKWuOpLc/MoSJE-Portal--Handoff-?node-id=5986-53285</t>
        </is>
      </c>
      <c r="H48" s="22" t="inlineStr">
        <is>
          <t>https://nhapoa-user-dev.mosje.in/track-status</t>
        </is>
      </c>
      <c r="I48" s="21" t="inlineStr">
        <is>
          <t>Fixed</t>
        </is>
      </c>
      <c r="J48" s="21" t="inlineStr"/>
      <c r="K48" s="21" t="inlineStr"/>
      <c r="L48" s="21" t="inlineStr">
        <is>
          <t>env: dev</t>
        </is>
      </c>
      <c r="M48" s="21" t="inlineStr">
        <is>
          <t>Screen</t>
        </is>
      </c>
    </row>
    <row r="49">
      <c r="A49" s="23" t="inlineStr">
        <is>
          <t>NHA-CIT-TRK3-002</t>
        </is>
      </c>
      <c r="B49" s="23" t="inlineStr">
        <is>
          <t>Citizen — Track Status · Result (View Details)</t>
        </is>
      </c>
      <c r="C49" s="23" t="inlineStr">
        <is>
          <t>Layout &amp; Spacing</t>
        </is>
      </c>
      <c r="D49" s="23" t="inlineStr">
        <is>
          <t>Minor</t>
        </is>
      </c>
      <c r="E49" s="23" t="inlineStr">
        <is>
          <t>Figma: The status/result view layout matches the design (View-Details).  →  Live: The result layout differs from the design.</t>
        </is>
      </c>
      <c r="F49" s="23" t="inlineStr">
        <is>
          <t>Match the result-view layout to the design (ref Figma).</t>
        </is>
      </c>
      <c r="G49" s="24" t="inlineStr">
        <is>
          <t>https://www.figma.com/design/gH2vQ62cfg4677YKWuOpLc/MoSJE-Portal--Handoff-?node-id=5986-53285</t>
        </is>
      </c>
      <c r="H49" s="24" t="inlineStr">
        <is>
          <t>https://nhapoa-user-dev.mosje.in/track-status</t>
        </is>
      </c>
      <c r="I49" s="23" t="inlineStr">
        <is>
          <t>Fixed</t>
        </is>
      </c>
      <c r="J49" s="23" t="inlineStr"/>
      <c r="K49" s="23" t="inlineStr"/>
      <c r="L49" s="23" t="inlineStr">
        <is>
          <t>env: dev</t>
        </is>
      </c>
      <c r="M49" s="23" t="inlineStr">
        <is>
          <t>Screen</t>
        </is>
      </c>
    </row>
    <row r="50">
      <c r="A50" s="21" t="inlineStr">
        <is>
          <t>NHA-CIT-FAQ-001</t>
        </is>
      </c>
      <c r="B50" s="21" t="inlineStr">
        <is>
          <t>Citizen — Help &amp; FAQs</t>
        </is>
      </c>
      <c r="C50" s="21" t="inlineStr">
        <is>
          <t>Responsive &amp; A11y</t>
        </is>
      </c>
      <c r="D50" s="21" t="inlineStr">
        <is>
          <t>Major</t>
        </is>
      </c>
      <c r="E50" s="21" t="inlineStr">
        <is>
          <t>Figma: Clicking anywhere on the question row expands the answer (a full-width, ≥44px target).  →  Live: The answer opens only from the small chevron; the question row is a dead element (target far below the 44px minimum).</t>
        </is>
      </c>
      <c r="F50" s="21" t="inlineStr">
        <is>
          <t>Make the entire question row the toggle target (keep the chevron as an affordance).</t>
        </is>
      </c>
      <c r="G50" s="22" t="inlineStr">
        <is>
          <t>https://www.figma.com/design/gH2vQ62cfg4677YKWuOpLc/MoSJE-Portal--Handoff-?node-id=5986-53669</t>
        </is>
      </c>
      <c r="H50" s="22" t="inlineStr">
        <is>
          <t>https://nhapoa-user-dev.mosje.in/help-faqs</t>
        </is>
      </c>
      <c r="I50" s="21" t="inlineStr">
        <is>
          <t>Fixed</t>
        </is>
      </c>
      <c r="J50" s="21" t="inlineStr"/>
      <c r="K50" s="21" t="inlineStr"/>
      <c r="L50" s="21" t="inlineStr">
        <is>
          <t>env: dev</t>
        </is>
      </c>
      <c r="M50" s="21" t="inlineStr">
        <is>
          <t>Screen</t>
        </is>
      </c>
    </row>
    <row r="51">
      <c r="A51" s="23" t="inlineStr">
        <is>
          <t>NHA-CIT-FAQ-002</t>
        </is>
      </c>
      <c r="B51" s="23" t="inlineStr">
        <is>
          <t>Citizen — Help &amp; FAQs</t>
        </is>
      </c>
      <c r="C51" s="23" t="inlineStr">
        <is>
          <t>Components &amp; States</t>
        </is>
      </c>
      <c r="D51" s="23" t="inlineStr">
        <is>
          <t>Minor</t>
        </is>
      </c>
      <c r="E51" s="23" t="inlineStr">
        <is>
          <t>Figma: Accordions use the design's style.  →  Live: Accordion style differs from the design.</t>
        </is>
      </c>
      <c r="F51" s="23" t="inlineStr">
        <is>
          <t>Match the accordion style to the design.</t>
        </is>
      </c>
      <c r="G51" s="24" t="inlineStr">
        <is>
          <t>https://www.figma.com/design/gH2vQ62cfg4677YKWuOpLc/MoSJE-Portal--Handoff-?node-id=5986-53669</t>
        </is>
      </c>
      <c r="H51" s="24" t="inlineStr">
        <is>
          <t>https://nhapoa-user-dev.mosje.in/help-faqs</t>
        </is>
      </c>
      <c r="I51" s="23" t="inlineStr">
        <is>
          <t>Fixed</t>
        </is>
      </c>
      <c r="J51" s="23" t="inlineStr"/>
      <c r="K51" s="23" t="inlineStr"/>
      <c r="L51" s="23" t="inlineStr">
        <is>
          <t>env: dev</t>
        </is>
      </c>
      <c r="M51" s="23" t="inlineStr">
        <is>
          <t>Screen</t>
        </is>
      </c>
    </row>
    <row r="52">
      <c r="A52" s="21" t="inlineStr">
        <is>
          <t>NHA-RES2-001</t>
        </is>
      </c>
      <c r="B52" s="21" t="inlineStr">
        <is>
          <t>Register Rescue · Filled</t>
        </is>
      </c>
      <c r="C52" s="21" t="inlineStr">
        <is>
          <t>Components &amp; States</t>
        </is>
      </c>
      <c r="D52" s="21" t="inlineStr">
        <is>
          <t>Minor</t>
        </is>
      </c>
      <c r="E52" s="21" t="inlineStr">
        <is>
          <t>Figma: Match the established admin design language.  →  Live: Use the already established visual pattern.</t>
        </is>
      </c>
      <c r="F52" s="21" t="inlineStr">
        <is>
          <t>Use the already established visual pattern.</t>
        </is>
      </c>
      <c r="G52" s="21" t="inlineStr"/>
      <c r="H52" s="22" t="inlineStr">
        <is>
          <t>https://nhapoa-user-dev.mosje.in/register-rescue</t>
        </is>
      </c>
      <c r="I52" s="21" t="inlineStr">
        <is>
          <t>Fixed</t>
        </is>
      </c>
      <c r="J52" s="21" t="inlineStr"/>
      <c r="K52" s="21" t="inlineStr"/>
      <c r="L52" s="21" t="inlineStr">
        <is>
          <t>env: dev</t>
        </is>
      </c>
      <c r="M52" s="21" t="inlineStr">
        <is>
          <t>Screen</t>
        </is>
      </c>
    </row>
    <row r="53">
      <c r="A53" s="23" t="inlineStr">
        <is>
          <t>NHA-RES3-001</t>
        </is>
      </c>
      <c r="B53" s="23" t="inlineStr">
        <is>
          <t>Register Rescue · OTP verification</t>
        </is>
      </c>
      <c r="C53" s="23" t="inlineStr">
        <is>
          <t>Color &amp; Token</t>
        </is>
      </c>
      <c r="D53" s="23" t="inlineStr">
        <is>
          <t>Minor</t>
        </is>
      </c>
      <c r="E53" s="23" t="inlineStr">
        <is>
          <t>Figma: Match the established admin design language.  →  Live: The layout and colours in the OTP modal must match the design. Use the correct primary colour from the design instead of anything random. Refer to Figma.</t>
        </is>
      </c>
      <c r="F53" s="23" t="inlineStr">
        <is>
          <t>The layout and colours in the OTP modal must match the design. Use the correct primary colour from the design instead of anything random. Refer to Figma.</t>
        </is>
      </c>
      <c r="G53" s="23" t="inlineStr"/>
      <c r="H53" s="24" t="inlineStr">
        <is>
          <t>https://nhapoa-user-dev.mosje.in/register-rescue</t>
        </is>
      </c>
      <c r="I53" s="23" t="inlineStr">
        <is>
          <t>Fixed</t>
        </is>
      </c>
      <c r="J53" s="23" t="inlineStr"/>
      <c r="K53" s="23" t="inlineStr"/>
      <c r="L53" s="23" t="inlineStr">
        <is>
          <t>env: dev</t>
        </is>
      </c>
      <c r="M53" s="23" t="inlineStr">
        <is>
          <t>Screen</t>
        </is>
      </c>
    </row>
    <row r="54">
      <c r="A54" s="21" t="inlineStr">
        <is>
          <t>NHA-RES4-001</t>
        </is>
      </c>
      <c r="B54" s="21" t="inlineStr">
        <is>
          <t>Register Rescue · Mobile verified</t>
        </is>
      </c>
      <c r="C54" s="21" t="inlineStr">
        <is>
          <t>Components &amp; States</t>
        </is>
      </c>
      <c r="D54" s="21" t="inlineStr">
        <is>
          <t>Minor</t>
        </is>
      </c>
      <c r="E54" s="21" t="inlineStr">
        <is>
          <t>Figma: Match the established admin design language.  →  Live: The mobile-verified state should match the already established visual language.</t>
        </is>
      </c>
      <c r="F54" s="21" t="inlineStr">
        <is>
          <t>The mobile-verified state should match the already established visual language.</t>
        </is>
      </c>
      <c r="G54" s="21" t="inlineStr"/>
      <c r="H54" s="22" t="inlineStr">
        <is>
          <t>https://nhapoa-user-dev.mosje.in/register-rescue</t>
        </is>
      </c>
      <c r="I54" s="21" t="inlineStr">
        <is>
          <t>Fixed</t>
        </is>
      </c>
      <c r="J54" s="21" t="inlineStr"/>
      <c r="K54" s="21" t="inlineStr"/>
      <c r="L54" s="21" t="inlineStr">
        <is>
          <t>env: dev</t>
        </is>
      </c>
      <c r="M54" s="21" t="inlineStr">
        <is>
          <t>Screen</t>
        </is>
      </c>
    </row>
    <row r="55">
      <c r="A55" s="23" t="inlineStr">
        <is>
          <t>NHA-RES5-001</t>
        </is>
      </c>
      <c r="B55" s="23" t="inlineStr">
        <is>
          <t>Register Rescue · Success</t>
        </is>
      </c>
      <c r="C55" s="23" t="inlineStr">
        <is>
          <t>Components &amp; States</t>
        </is>
      </c>
      <c r="D55" s="23" t="inlineStr">
        <is>
          <t>Minor</t>
        </is>
      </c>
      <c r="E55" s="23" t="inlineStr">
        <is>
          <t>Figma: Match the established admin design language.  →  Live: Feedback already given above — the same applies to all similar screens.</t>
        </is>
      </c>
      <c r="F55" s="23" t="inlineStr">
        <is>
          <t>Feedback already given above — the same applies to all similar screens.</t>
        </is>
      </c>
      <c r="G55" s="23" t="inlineStr"/>
      <c r="H55" s="24" t="inlineStr">
        <is>
          <t>https://nhapoa-user-dev.mosje.in/register-rescue</t>
        </is>
      </c>
      <c r="I55" s="23" t="inlineStr">
        <is>
          <t>Fixed</t>
        </is>
      </c>
      <c r="J55" s="23" t="inlineStr"/>
      <c r="K55" s="23" t="inlineStr"/>
      <c r="L55" s="23" t="inlineStr">
        <is>
          <t>env: dev</t>
        </is>
      </c>
      <c r="M55" s="23" t="inlineStr">
        <is>
          <t>Screen</t>
        </is>
      </c>
    </row>
    <row r="56">
      <c r="A56" s="21" t="inlineStr">
        <is>
          <t>NHA-TRK2-001</t>
        </is>
      </c>
      <c r="B56" s="21" t="inlineStr">
        <is>
          <t>Track Status · Reference entered (pre-OTP)</t>
        </is>
      </c>
      <c r="C56" s="21" t="inlineStr">
        <is>
          <t>Components &amp; States</t>
        </is>
      </c>
      <c r="D56" s="21" t="inlineStr">
        <is>
          <t>Minor</t>
        </is>
      </c>
      <c r="E56" s="21" t="inlineStr">
        <is>
          <t>Figma: Match the established admin design language.  →  Live: Page title must follow the already established visual language.</t>
        </is>
      </c>
      <c r="F56" s="21" t="inlineStr">
        <is>
          <t>Page title must follow the already established visual language.</t>
        </is>
      </c>
      <c r="G56" s="21" t="inlineStr"/>
      <c r="H56" s="22" t="inlineStr">
        <is>
          <t>https://nhapoa-user-dev.mosje.in/track-status</t>
        </is>
      </c>
      <c r="I56" s="21" t="inlineStr">
        <is>
          <t>Fixed</t>
        </is>
      </c>
      <c r="J56" s="21" t="inlineStr"/>
      <c r="K56" s="21" t="inlineStr"/>
      <c r="L56" s="21" t="inlineStr">
        <is>
          <t>env: dev</t>
        </is>
      </c>
      <c r="M56" s="21" t="inlineStr">
        <is>
          <t>Screen</t>
        </is>
      </c>
    </row>
    <row r="57">
      <c r="A57" s="23" t="inlineStr">
        <is>
          <t>NHA-TRK2-002</t>
        </is>
      </c>
      <c r="B57" s="23" t="inlineStr">
        <is>
          <t>Track Status · Reference entered (pre-OTP)</t>
        </is>
      </c>
      <c r="C57" s="23" t="inlineStr">
        <is>
          <t>Color &amp; Token</t>
        </is>
      </c>
      <c r="D57" s="23" t="inlineStr">
        <is>
          <t>Minor</t>
        </is>
      </c>
      <c r="E57" s="23" t="inlineStr">
        <is>
          <t>Figma: Match the established admin design language.  →  Live: Use the appropriate primary colour from the design.</t>
        </is>
      </c>
      <c r="F57" s="23" t="inlineStr">
        <is>
          <t>Use the appropriate primary colour from the design.</t>
        </is>
      </c>
      <c r="G57" s="23" t="inlineStr"/>
      <c r="H57" s="24" t="inlineStr">
        <is>
          <t>https://nhapoa-user-dev.mosje.in/track-status</t>
        </is>
      </c>
      <c r="I57" s="23" t="inlineStr">
        <is>
          <t>Fixed</t>
        </is>
      </c>
      <c r="J57" s="23" t="inlineStr"/>
      <c r="K57" s="23" t="inlineStr"/>
      <c r="L57" s="23" t="inlineStr">
        <is>
          <t>env: dev</t>
        </is>
      </c>
      <c r="M57" s="23" t="inlineStr">
        <is>
          <t>Screen</t>
        </is>
      </c>
    </row>
    <row r="58">
      <c r="A58" s="21" t="inlineStr">
        <is>
          <t>NHA-TRK2-003</t>
        </is>
      </c>
      <c r="B58" s="21" t="inlineStr">
        <is>
          <t>Track Status · Reference entered (pre-OTP)</t>
        </is>
      </c>
      <c r="C58" s="21" t="inlineStr">
        <is>
          <t>Layout &amp; Spacing</t>
        </is>
      </c>
      <c r="D58" s="21" t="inlineStr">
        <is>
          <t>Minor</t>
        </is>
      </c>
      <c r="E58" s="21" t="inlineStr">
        <is>
          <t>Figma: Match the established admin design language.  →  Live: Rounded corner of the card must match the design visually.</t>
        </is>
      </c>
      <c r="F58" s="21" t="inlineStr">
        <is>
          <t>Rounded corner of the card must match the design visually.</t>
        </is>
      </c>
      <c r="G58" s="21" t="inlineStr"/>
      <c r="H58" s="22" t="inlineStr">
        <is>
          <t>https://nhapoa-user-dev.mosje.in/track-status</t>
        </is>
      </c>
      <c r="I58" s="21" t="inlineStr">
        <is>
          <t>Fixed</t>
        </is>
      </c>
      <c r="J58" s="21" t="inlineStr"/>
      <c r="K58" s="21" t="inlineStr"/>
      <c r="L58" s="21" t="inlineStr">
        <is>
          <t>env: dev</t>
        </is>
      </c>
      <c r="M58" s="21" t="inlineStr">
        <is>
          <t>Screen</t>
        </is>
      </c>
    </row>
    <row r="59">
      <c r="A59" s="23" t="inlineStr">
        <is>
          <t>NHA-AUTH-LOGIN-001</t>
        </is>
      </c>
      <c r="B59" s="23" t="inlineStr">
        <is>
          <t>Login &amp; Authentication — Sign In</t>
        </is>
      </c>
      <c r="C59" s="23" t="inlineStr">
        <is>
          <t>Content &amp; Iconography</t>
        </is>
      </c>
      <c r="D59" s="23" t="inlineStr">
        <is>
          <t>Major</t>
        </is>
      </c>
      <c r="E59" s="23" t="inlineStr">
        <is>
          <t>Figma: See the Figma design frame ↗ (linked on the board) for the intended design.  →  Live: The logo of SAMAVESH is blurred, use a Hi-Res image / SVG.</t>
        </is>
      </c>
      <c r="F59" s="23" t="inlineStr">
        <is>
          <t>The logo of SAMAVESH is blurred, use a Hi-Res image / SVG.</t>
        </is>
      </c>
      <c r="G59" s="24" t="inlineStr">
        <is>
          <t>https://www.figma.com/design/gH2vQ62cfg4677YKWuOpLc/MoSJE-Portal--Handoff-?node-id=10434-159436</t>
        </is>
      </c>
      <c r="H59" s="24" t="inlineStr">
        <is>
          <t>https://nhapoa-admin-dev.mosje.in/login</t>
        </is>
      </c>
      <c r="I59" s="23" t="inlineStr">
        <is>
          <t>Open</t>
        </is>
      </c>
      <c r="J59" s="23" t="inlineStr"/>
      <c r="K59" s="23" t="inlineStr"/>
      <c r="L59" s="23" t="inlineStr">
        <is>
          <t>env: dev</t>
        </is>
      </c>
      <c r="M59" s="23" t="inlineStr">
        <is>
          <t>Screen</t>
        </is>
      </c>
    </row>
    <row r="60">
      <c r="A60" s="21" t="inlineStr">
        <is>
          <t>NHA-AUTH-LOGIN-002</t>
        </is>
      </c>
      <c r="B60" s="21" t="inlineStr">
        <is>
          <t>Login &amp; Authentication — Sign In</t>
        </is>
      </c>
      <c r="C60" s="21" t="inlineStr">
        <is>
          <t>Typography</t>
        </is>
      </c>
      <c r="D60" s="21" t="inlineStr">
        <is>
          <t>Minor</t>
        </is>
      </c>
      <c r="E60" s="21" t="inlineStr">
        <is>
          <t>Figma: See the Figma design frame ↗ (linked on the board) for the intended design.  →  Live: The tone of copy should be kept uniform — make it 'Log in' instead of 'Sign in'.</t>
        </is>
      </c>
      <c r="F60" s="21" t="inlineStr">
        <is>
          <t>The tone of copy should be kept uniform — make it 'Log in' instead of 'Sign in'.</t>
        </is>
      </c>
      <c r="G60" s="22" t="inlineStr">
        <is>
          <t>https://www.figma.com/design/gH2vQ62cfg4677YKWuOpLc/MoSJE-Portal--Handoff-?node-id=10434-159436</t>
        </is>
      </c>
      <c r="H60" s="22" t="inlineStr">
        <is>
          <t>https://nhapoa-admin-dev.mosje.in/login</t>
        </is>
      </c>
      <c r="I60" s="21" t="inlineStr">
        <is>
          <t>Open</t>
        </is>
      </c>
      <c r="J60" s="21" t="inlineStr"/>
      <c r="K60" s="21" t="inlineStr"/>
      <c r="L60" s="21" t="inlineStr">
        <is>
          <t>env: dev</t>
        </is>
      </c>
      <c r="M60" s="21" t="inlineStr">
        <is>
          <t>Screen</t>
        </is>
      </c>
    </row>
    <row r="61">
      <c r="A61" s="23" t="inlineStr">
        <is>
          <t>NHA-AUTH-LOGIN-003</t>
        </is>
      </c>
      <c r="B61" s="23" t="inlineStr">
        <is>
          <t>Login &amp; Authentication — Sign In</t>
        </is>
      </c>
      <c r="C61" s="23" t="inlineStr">
        <is>
          <t>Layout &amp; Spacing</t>
        </is>
      </c>
      <c r="D61" s="23" t="inlineStr">
        <is>
          <t>Minor</t>
        </is>
      </c>
      <c r="E61" s="23" t="inlineStr">
        <is>
          <t>Figma: See the Figma design frame ↗ (linked on the board) for the intended design.  →  Live: The margin &amp; padding of the header and content area must be uniform all across.</t>
        </is>
      </c>
      <c r="F61" s="23" t="inlineStr">
        <is>
          <t>The margin &amp; padding of the header and content area must be uniform all across.</t>
        </is>
      </c>
      <c r="G61" s="24" t="inlineStr">
        <is>
          <t>https://www.figma.com/design/gH2vQ62cfg4677YKWuOpLc/MoSJE-Portal--Handoff-?node-id=10434-159436</t>
        </is>
      </c>
      <c r="H61" s="24" t="inlineStr">
        <is>
          <t>https://nhapoa-admin-dev.mosje.in/login</t>
        </is>
      </c>
      <c r="I61" s="23" t="inlineStr">
        <is>
          <t>Open</t>
        </is>
      </c>
      <c r="J61" s="23" t="inlineStr"/>
      <c r="K61" s="23" t="inlineStr"/>
      <c r="L61" s="23" t="inlineStr">
        <is>
          <t>env: dev</t>
        </is>
      </c>
      <c r="M61" s="23" t="inlineStr">
        <is>
          <t>Screen</t>
        </is>
      </c>
    </row>
    <row r="62">
      <c r="A62" s="21" t="inlineStr">
        <is>
          <t>NHA-AUTH-LOGIN-004</t>
        </is>
      </c>
      <c r="B62" s="21" t="inlineStr">
        <is>
          <t>Login &amp; Authentication — Sign In</t>
        </is>
      </c>
      <c r="C62" s="21" t="inlineStr">
        <is>
          <t>Content &amp; Iconography</t>
        </is>
      </c>
      <c r="D62" s="21" t="inlineStr">
        <is>
          <t>Minor</t>
        </is>
      </c>
      <c r="E62" s="21" t="inlineStr">
        <is>
          <t>Figma: See the Figma design frame ↗ (linked on the board) for the intended design.  →  Live: The left hero panel is a flat navy fill — the design shows a background photograph (justice / court imagery) behind the SAMAVESH lockup.</t>
        </is>
      </c>
      <c r="F62" s="21" t="inlineStr">
        <is>
          <t>The left hero panel is a flat navy fill — the design shows a background photograph (justice / court imagery) behind the SAMAVESH lockup.</t>
        </is>
      </c>
      <c r="G62" s="22" t="inlineStr">
        <is>
          <t>https://www.figma.com/design/gH2vQ62cfg4677YKWuOpLc/MoSJE-Portal--Handoff-?node-id=10434-159436</t>
        </is>
      </c>
      <c r="H62" s="22" t="inlineStr">
        <is>
          <t>https://nhapoa-admin-dev.mosje.in/login</t>
        </is>
      </c>
      <c r="I62" s="21" t="inlineStr">
        <is>
          <t>Open</t>
        </is>
      </c>
      <c r="J62" s="21" t="inlineStr"/>
      <c r="K62" s="21" t="inlineStr"/>
      <c r="L62" s="21" t="inlineStr">
        <is>
          <t>env: dev</t>
        </is>
      </c>
      <c r="M62" s="21" t="inlineStr">
        <is>
          <t>Screen</t>
        </is>
      </c>
    </row>
    <row r="63">
      <c r="A63" s="23" t="inlineStr">
        <is>
          <t>NHA-AUTH-LOGIN-005</t>
        </is>
      </c>
      <c r="B63" s="23" t="inlineStr">
        <is>
          <t>Login &amp; Authentication — Sign In</t>
        </is>
      </c>
      <c r="C63" s="23" t="inlineStr">
        <is>
          <t>Components &amp; States</t>
        </is>
      </c>
      <c r="D63" s="23" t="inlineStr">
        <is>
          <t>Minor</t>
        </is>
      </c>
      <c r="E63" s="23" t="inlineStr">
        <is>
          <t>Figma: See the Figma design frame ↗ (linked on the board) for the intended design.  →  Live: Placement of 'Forgot password' must be in line with the label.</t>
        </is>
      </c>
      <c r="F63" s="23" t="inlineStr">
        <is>
          <t>Placement of 'Forgot password' must be in line with the label.</t>
        </is>
      </c>
      <c r="G63" s="24" t="inlineStr">
        <is>
          <t>https://www.figma.com/design/gH2vQ62cfg4677YKWuOpLc/MoSJE-Portal--Handoff-?node-id=10434-159436</t>
        </is>
      </c>
      <c r="H63" s="24" t="inlineStr">
        <is>
          <t>https://nhapoa-admin-dev.mosje.in/login</t>
        </is>
      </c>
      <c r="I63" s="23" t="inlineStr">
        <is>
          <t>Open</t>
        </is>
      </c>
      <c r="J63" s="23" t="inlineStr"/>
      <c r="K63" s="23" t="inlineStr"/>
      <c r="L63" s="23" t="inlineStr">
        <is>
          <t>env: dev</t>
        </is>
      </c>
      <c r="M63" s="23" t="inlineStr">
        <is>
          <t>Screen</t>
        </is>
      </c>
    </row>
    <row r="64">
      <c r="A64" s="21" t="inlineStr">
        <is>
          <t>NHA-AUTH-LOGIN-006</t>
        </is>
      </c>
      <c r="B64" s="21" t="inlineStr">
        <is>
          <t>Login &amp; Authentication — Sign In</t>
        </is>
      </c>
      <c r="C64" s="21" t="inlineStr">
        <is>
          <t>Components &amp; States</t>
        </is>
      </c>
      <c r="D64" s="21" t="inlineStr">
        <is>
          <t>Minor</t>
        </is>
      </c>
      <c r="E64" s="21" t="inlineStr">
        <is>
          <t>Figma: See the Figma design frame ↗ (linked on the board) for the intended design.  →  Live: Primary button state differs — the design uses a disabled button until the form is valid; the build shows an active button.</t>
        </is>
      </c>
      <c r="F64" s="21" t="inlineStr">
        <is>
          <t>Primary button state differs — the design uses a disabled button until the form is valid; the build shows an active button.</t>
        </is>
      </c>
      <c r="G64" s="22" t="inlineStr">
        <is>
          <t>https://www.figma.com/design/gH2vQ62cfg4677YKWuOpLc/MoSJE-Portal--Handoff-?node-id=10434-159436</t>
        </is>
      </c>
      <c r="H64" s="22" t="inlineStr">
        <is>
          <t>https://nhapoa-admin-dev.mosje.in/login</t>
        </is>
      </c>
      <c r="I64" s="21" t="inlineStr">
        <is>
          <t>Open</t>
        </is>
      </c>
      <c r="J64" s="21" t="inlineStr"/>
      <c r="K64" s="21" t="inlineStr"/>
      <c r="L64" s="21" t="inlineStr">
        <is>
          <t>env: dev</t>
        </is>
      </c>
      <c r="M64" s="21" t="inlineStr">
        <is>
          <t>Screen</t>
        </is>
      </c>
    </row>
    <row r="65">
      <c r="A65" s="23" t="inlineStr">
        <is>
          <t>NHA-AUTH-CHOOSE-001</t>
        </is>
      </c>
      <c r="B65" s="23" t="inlineStr">
        <is>
          <t>Login &amp; Authentication — Choose Portal</t>
        </is>
      </c>
      <c r="C65" s="23" t="inlineStr">
        <is>
          <t>Components &amp; States</t>
        </is>
      </c>
      <c r="D65" s="23" t="inlineStr">
        <is>
          <t>Minor</t>
        </is>
      </c>
      <c r="E65" s="23" t="inlineStr">
        <is>
          <t>Figma: See the Figma design frame ↗ (linked on the board) for the intended design.  →  Live: The UI of the portal-picker must match the Figma design.</t>
        </is>
      </c>
      <c r="F65" s="23" t="inlineStr">
        <is>
          <t>The UI of the portal-picker must match the Figma design.</t>
        </is>
      </c>
      <c r="G65" s="24" t="inlineStr">
        <is>
          <t>https://www.figma.com/design/gH2vQ62cfg4677YKWuOpLc/MoSJE-Portal--Handoff-?node-id=10434-159687</t>
        </is>
      </c>
      <c r="H65" s="24" t="inlineStr">
        <is>
          <t>https://nhapoa-admin-dev.mosje.in/login</t>
        </is>
      </c>
      <c r="I65" s="23" t="inlineStr">
        <is>
          <t>Open</t>
        </is>
      </c>
      <c r="J65" s="23" t="inlineStr"/>
      <c r="K65" s="23" t="inlineStr"/>
      <c r="L65" s="23" t="inlineStr">
        <is>
          <t>env: dev</t>
        </is>
      </c>
      <c r="M65" s="23" t="inlineStr">
        <is>
          <t>Screen</t>
        </is>
      </c>
    </row>
    <row r="66">
      <c r="A66" s="21" t="inlineStr">
        <is>
          <t>NHA-AUTH-CHOOSE-002</t>
        </is>
      </c>
      <c r="B66" s="21" t="inlineStr">
        <is>
          <t>Login &amp; Authentication — Choose Portal</t>
        </is>
      </c>
      <c r="C66" s="21" t="inlineStr">
        <is>
          <t>Components &amp; States</t>
        </is>
      </c>
      <c r="D66" s="21" t="inlineStr">
        <is>
          <t>Minor</t>
        </is>
      </c>
      <c r="E66" s="21" t="inlineStr">
        <is>
          <t>Figma: See the Figma design frame ↗ (linked on the board) for the intended design.  →  Live: The current portal (NHAA) isn't marked as selected — the design shows a green check on the active portal.</t>
        </is>
      </c>
      <c r="F66" s="21" t="inlineStr">
        <is>
          <t>The current portal (NHAA) isn't marked as selected — the design shows a green check on the active portal.</t>
        </is>
      </c>
      <c r="G66" s="22" t="inlineStr">
        <is>
          <t>https://www.figma.com/design/gH2vQ62cfg4677YKWuOpLc/MoSJE-Portal--Handoff-?node-id=10434-159687</t>
        </is>
      </c>
      <c r="H66" s="22" t="inlineStr">
        <is>
          <t>https://nhapoa-admin-dev.mosje.in/login</t>
        </is>
      </c>
      <c r="I66" s="21" t="inlineStr">
        <is>
          <t>Open</t>
        </is>
      </c>
      <c r="J66" s="21" t="inlineStr"/>
      <c r="K66" s="21" t="inlineStr"/>
      <c r="L66" s="21" t="inlineStr">
        <is>
          <t>env: dev</t>
        </is>
      </c>
      <c r="M66" s="21" t="inlineStr">
        <is>
          <t>Screen</t>
        </is>
      </c>
    </row>
    <row r="67">
      <c r="A67" s="23" t="inlineStr">
        <is>
          <t>NHA-SYS-GRV-001</t>
        </is>
      </c>
      <c r="B67" s="23" t="inlineStr">
        <is>
          <t>System Admin — Grievance Monitoring</t>
        </is>
      </c>
      <c r="C67" s="23" t="inlineStr">
        <is>
          <t>Layout &amp; Spacing</t>
        </is>
      </c>
      <c r="D67" s="23" t="inlineStr">
        <is>
          <t>Minor</t>
        </is>
      </c>
      <c r="E67" s="23" t="inlineStr">
        <is>
          <t>Figma: On wide tables the Action column stays pinned to the table edge.  →  Live: The Action column isn't sticky when the table scrolls horizontally.</t>
        </is>
      </c>
      <c r="F67" s="23" t="inlineStr">
        <is>
          <t>Make the Action column sticky to the table's edge on horizontal scroll.</t>
        </is>
      </c>
      <c r="G67" s="24" t="inlineStr">
        <is>
          <t>https://www.figma.com/design/gH2vQ62cfg4677YKWuOpLc/MoSJE-Portal--Handoff-?node-id=5986-59480</t>
        </is>
      </c>
      <c r="H67" s="24" t="inlineStr">
        <is>
          <t>https://nhapoa-admin-dev.mosje.in/admin/grievances</t>
        </is>
      </c>
      <c r="I67" s="23" t="inlineStr">
        <is>
          <t>Open</t>
        </is>
      </c>
      <c r="J67" s="23" t="inlineStr"/>
      <c r="K67" s="23" t="inlineStr"/>
      <c r="L67" s="23" t="inlineStr">
        <is>
          <t>env: dev  ·  This list/table view is the reference build for the portal-wide table, pagination, status-chip, sidebar and neutral-token patterns — see the Global Findings section.</t>
        </is>
      </c>
      <c r="M67" s="23" t="inlineStr">
        <is>
          <t>Screen</t>
        </is>
      </c>
    </row>
    <row r="68">
      <c r="A68" s="21" t="inlineStr">
        <is>
          <t>NHA-SYS-GRV-002</t>
        </is>
      </c>
      <c r="B68" s="21" t="inlineStr">
        <is>
          <t>System Admin — Grievance Monitoring</t>
        </is>
      </c>
      <c r="C68" s="21" t="inlineStr">
        <is>
          <t>Components &amp; States</t>
        </is>
      </c>
      <c r="D68" s="21" t="inlineStr">
        <is>
          <t>Minor</t>
        </is>
      </c>
      <c r="E68" s="21" t="inlineStr">
        <is>
          <t>Figma: Status badges sit only in the Status column using the DS semantic colours.  →  Live: Status badge placement / colour don't use the semantic tokens.</t>
        </is>
      </c>
      <c r="F68" s="21" t="inlineStr">
        <is>
          <t>Place status badges in the Status column only and use the appropriate DS semantic colour.</t>
        </is>
      </c>
      <c r="G68" s="22" t="inlineStr">
        <is>
          <t>https://www.figma.com/design/gH2vQ62cfg4677YKWuOpLc/MoSJE-Portal--Handoff-?node-id=5986-59480</t>
        </is>
      </c>
      <c r="H68" s="22" t="inlineStr">
        <is>
          <t>https://nhapoa-admin-dev.mosje.in/admin/grievances</t>
        </is>
      </c>
      <c r="I68" s="21" t="inlineStr">
        <is>
          <t>Open</t>
        </is>
      </c>
      <c r="J68" s="21" t="inlineStr"/>
      <c r="K68" s="21" t="inlineStr"/>
      <c r="L68" s="21" t="inlineStr">
        <is>
          <t>env: dev  ·  This list/table view is the reference build for the portal-wide table, pagination, status-chip, sidebar and neutral-token patterns — see the Global Findings section.</t>
        </is>
      </c>
      <c r="M68" s="21" t="inlineStr">
        <is>
          <t>Screen</t>
        </is>
      </c>
    </row>
    <row r="69">
      <c r="A69" s="23" t="inlineStr">
        <is>
          <t>NHA-SYS-USR-001</t>
        </is>
      </c>
      <c r="B69" s="23" t="inlineStr">
        <is>
          <t>System Admin — User Management</t>
        </is>
      </c>
      <c r="C69" s="23" t="inlineStr">
        <is>
          <t>Layout &amp; Spacing</t>
        </is>
      </c>
      <c r="D69" s="23" t="inlineStr">
        <is>
          <t>Minor</t>
        </is>
      </c>
      <c r="E69" s="23" t="inlineStr">
        <is>
          <t>Figma: Filters sit on one row when they fit.  →  Live: Filter controls wrap to a second row unnecessarily.</t>
        </is>
      </c>
      <c r="F69" s="23" t="inlineStr">
        <is>
          <t>Keep the filter controls on one row when they fit; only wrap when needed.</t>
        </is>
      </c>
      <c r="G69" s="24" t="inlineStr">
        <is>
          <t>https://www.figma.com/design/gH2vQ62cfg4677YKWuOpLc/MoSJE-Portal--Handoff-?node-id=5986-61256</t>
        </is>
      </c>
      <c r="H69" s="24" t="inlineStr">
        <is>
          <t>https://nhapoa-admin-dev.mosje.in/admin/users</t>
        </is>
      </c>
      <c r="I69" s="23" t="inlineStr">
        <is>
          <t>Open</t>
        </is>
      </c>
      <c r="J69" s="23" t="inlineStr"/>
      <c r="K69" s="23" t="inlineStr"/>
      <c r="L69" s="23" t="inlineStr">
        <is>
          <t>env: dev  ·  Portal-wide table, pagination and neutral-token patterns are consolidated in the Global Findings section; the two items below are specific to this screen.</t>
        </is>
      </c>
      <c r="M69" s="23" t="inlineStr">
        <is>
          <t>Screen</t>
        </is>
      </c>
    </row>
    <row r="70">
      <c r="A70" s="21" t="inlineStr">
        <is>
          <t>NHA-SYS-USR-002</t>
        </is>
      </c>
      <c r="B70" s="21" t="inlineStr">
        <is>
          <t>System Admin — User Management</t>
        </is>
      </c>
      <c r="C70" s="21" t="inlineStr">
        <is>
          <t>Components &amp; States</t>
        </is>
      </c>
      <c r="D70" s="21" t="inlineStr">
        <is>
          <t>Minor</t>
        </is>
      </c>
      <c r="E70" s="21" t="inlineStr">
        <is>
          <t>Figma: The clear-filters button is consistent in language, style + position.  →  Live: Clear-filters button language / style / position is inconsistent.</t>
        </is>
      </c>
      <c r="F70" s="21" t="inlineStr">
        <is>
          <t>Use a consistent language, style and position for the clear-filters button.</t>
        </is>
      </c>
      <c r="G70" s="22" t="inlineStr">
        <is>
          <t>https://www.figma.com/design/gH2vQ62cfg4677YKWuOpLc/MoSJE-Portal--Handoff-?node-id=5986-61256</t>
        </is>
      </c>
      <c r="H70" s="22" t="inlineStr">
        <is>
          <t>https://nhapoa-admin-dev.mosje.in/admin/users</t>
        </is>
      </c>
      <c r="I70" s="21" t="inlineStr">
        <is>
          <t>Open</t>
        </is>
      </c>
      <c r="J70" s="21" t="inlineStr"/>
      <c r="K70" s="21" t="inlineStr"/>
      <c r="L70" s="21" t="inlineStr">
        <is>
          <t>env: dev  ·  Portal-wide table, pagination and neutral-token patterns are consolidated in the Global Findings section; the two items below are specific to this screen.</t>
        </is>
      </c>
      <c r="M70" s="21" t="inlineStr">
        <is>
          <t>Screen</t>
        </is>
      </c>
    </row>
    <row r="71">
      <c r="A71" s="23" t="inlineStr">
        <is>
          <t>NHA-SYS-ROL-001</t>
        </is>
      </c>
      <c r="B71" s="23" t="inlineStr">
        <is>
          <t>System Admin — Role Management</t>
        </is>
      </c>
      <c r="C71" s="23" t="inlineStr">
        <is>
          <t>Color &amp; Token</t>
        </is>
      </c>
      <c r="D71" s="23" t="inlineStr">
        <is>
          <t>Minor</t>
        </is>
      </c>
      <c r="E71" s="23" t="inlineStr">
        <is>
          <t>Figma: See the Figma design frame ↗ (linked on the board) for the intended design.  →  Live: The least-privilege-principle message is information, not a warning — use the info colour palette from the DS.</t>
        </is>
      </c>
      <c r="F71" s="23" t="inlineStr">
        <is>
          <t>The least-privilege-principle message is information, not a warning — use the info colour palette from the DS.</t>
        </is>
      </c>
      <c r="G71" s="24" t="inlineStr">
        <is>
          <t>https://www.figma.com/design/gH2vQ62cfg4677YKWuOpLc/MoSJE-Portal--Handoff-?node-id=5986-60823</t>
        </is>
      </c>
      <c r="H71" s="24" t="inlineStr">
        <is>
          <t>https://nhapoa-admin-dev.mosje.in/admin/roles</t>
        </is>
      </c>
      <c r="I71" s="23" t="inlineStr">
        <is>
          <t>Open</t>
        </is>
      </c>
      <c r="J71" s="23" t="inlineStr"/>
      <c r="K71" s="23" t="inlineStr"/>
      <c r="L71" s="23" t="inlineStr">
        <is>
          <t>env: dev  ·  Portal-wide patterns on this screen are consolidated in the Global Findings section (each tagged Scope: Global).</t>
        </is>
      </c>
      <c r="M71" s="23" t="inlineStr">
        <is>
          <t>Screen</t>
        </is>
      </c>
    </row>
    <row r="72">
      <c r="A72" s="21" t="inlineStr">
        <is>
          <t>NHA-SYS-ROL-002</t>
        </is>
      </c>
      <c r="B72" s="21" t="inlineStr">
        <is>
          <t>System Admin — Role Management</t>
        </is>
      </c>
      <c r="C72" s="21" t="inlineStr">
        <is>
          <t>Content &amp; Iconography</t>
        </is>
      </c>
      <c r="D72" s="21" t="inlineStr">
        <is>
          <t>Minor</t>
        </is>
      </c>
      <c r="E72" s="21" t="inlineStr">
        <is>
          <t>Figma: See the Figma design frame ↗ (linked on the board) for the intended design.  →  Live: The icons must match the Figma design.</t>
        </is>
      </c>
      <c r="F72" s="21" t="inlineStr">
        <is>
          <t>The icons must match the Figma design.</t>
        </is>
      </c>
      <c r="G72" s="22" t="inlineStr">
        <is>
          <t>https://www.figma.com/design/gH2vQ62cfg4677YKWuOpLc/MoSJE-Portal--Handoff-?node-id=5986-60823</t>
        </is>
      </c>
      <c r="H72" s="22" t="inlineStr">
        <is>
          <t>https://nhapoa-admin-dev.mosje.in/admin/roles</t>
        </is>
      </c>
      <c r="I72" s="21" t="inlineStr">
        <is>
          <t>Open</t>
        </is>
      </c>
      <c r="J72" s="21" t="inlineStr"/>
      <c r="K72" s="21" t="inlineStr"/>
      <c r="L72" s="21" t="inlineStr">
        <is>
          <t>env: dev  ·  Portal-wide patterns on this screen are consolidated in the Global Findings section (each tagged Scope: Global).</t>
        </is>
      </c>
      <c r="M72" s="21" t="inlineStr">
        <is>
          <t>Screen</t>
        </is>
      </c>
    </row>
    <row r="73">
      <c r="A73" s="23" t="inlineStr">
        <is>
          <t>NHA-SYS-ROL-003</t>
        </is>
      </c>
      <c r="B73" s="23" t="inlineStr">
        <is>
          <t>System Admin — Role Management</t>
        </is>
      </c>
      <c r="C73" s="23" t="inlineStr">
        <is>
          <t>Components &amp; States</t>
        </is>
      </c>
      <c r="D73" s="23" t="inlineStr">
        <is>
          <t>Minor</t>
        </is>
      </c>
      <c r="E73" s="23" t="inlineStr">
        <is>
          <t>Figma: See the Figma design frame ↗ (linked on the board) for the intended design.  →  Live: The permissions table, Summary and Changes cards must all follow the visual language from Figma.</t>
        </is>
      </c>
      <c r="F73" s="23" t="inlineStr">
        <is>
          <t>The permissions table, Summary and Changes cards must all follow the visual language from Figma.</t>
        </is>
      </c>
      <c r="G73" s="24" t="inlineStr">
        <is>
          <t>https://www.figma.com/design/gH2vQ62cfg4677YKWuOpLc/MoSJE-Portal--Handoff-?node-id=5986-60823</t>
        </is>
      </c>
      <c r="H73" s="24" t="inlineStr">
        <is>
          <t>https://nhapoa-admin-dev.mosje.in/admin/roles</t>
        </is>
      </c>
      <c r="I73" s="23" t="inlineStr">
        <is>
          <t>Open</t>
        </is>
      </c>
      <c r="J73" s="23" t="inlineStr"/>
      <c r="K73" s="23" t="inlineStr"/>
      <c r="L73" s="23" t="inlineStr">
        <is>
          <t>env: dev  ·  Portal-wide patterns on this screen are consolidated in the Global Findings section (each tagged Scope: Global).</t>
        </is>
      </c>
      <c r="M73" s="23" t="inlineStr">
        <is>
          <t>Screen</t>
        </is>
      </c>
    </row>
    <row r="74">
      <c r="A74" s="21" t="inlineStr">
        <is>
          <t>NHA-SYS-ROL-004</t>
        </is>
      </c>
      <c r="B74" s="21" t="inlineStr">
        <is>
          <t>System Admin — Role Management</t>
        </is>
      </c>
      <c r="C74" s="21" t="inlineStr">
        <is>
          <t>Components &amp; States</t>
        </is>
      </c>
      <c r="D74" s="21" t="inlineStr">
        <is>
          <t>Minor</t>
        </is>
      </c>
      <c r="E74" s="21" t="inlineStr">
        <is>
          <t>Figma: See the Figma design frame ↗ (linked on the board) for the intended design.  →  Live: Why can the System Admin not update the permissions — who will have this access?</t>
        </is>
      </c>
      <c r="F74" s="21" t="inlineStr">
        <is>
          <t>Why can the System Admin not update the permissions — who will have this access?</t>
        </is>
      </c>
      <c r="G74" s="22" t="inlineStr">
        <is>
          <t>https://www.figma.com/design/gH2vQ62cfg4677YKWuOpLc/MoSJE-Portal--Handoff-?node-id=5986-60823</t>
        </is>
      </c>
      <c r="H74" s="22" t="inlineStr">
        <is>
          <t>https://nhapoa-admin-dev.mosje.in/admin/roles</t>
        </is>
      </c>
      <c r="I74" s="21" t="inlineStr">
        <is>
          <t>Open</t>
        </is>
      </c>
      <c r="J74" s="21" t="inlineStr"/>
      <c r="K74" s="21" t="inlineStr"/>
      <c r="L74" s="21" t="inlineStr">
        <is>
          <t>env: dev  ·  Portal-wide patterns on this screen are consolidated in the Global Findings section (each tagged Scope: Global).</t>
        </is>
      </c>
      <c r="M74" s="21" t="inlineStr">
        <is>
          <t>Screen</t>
        </is>
      </c>
    </row>
    <row r="75">
      <c r="A75" s="23" t="inlineStr">
        <is>
          <t>NHA-SYS-REP-001</t>
        </is>
      </c>
      <c r="B75" s="23" t="inlineStr">
        <is>
          <t>System Admin — Reports &amp; Export</t>
        </is>
      </c>
      <c r="C75" s="23" t="inlineStr">
        <is>
          <t>Color &amp; Token</t>
        </is>
      </c>
      <c r="D75" s="23" t="inlineStr">
        <is>
          <t>Minor</t>
        </is>
      </c>
      <c r="E75" s="23" t="inlineStr">
        <is>
          <t>Figma: See the Figma design frame ↗ (linked on the board) for the intended design.  →  Live: Card header must follow the design in terms of text colour and spacing.</t>
        </is>
      </c>
      <c r="F75" s="23" t="inlineStr">
        <is>
          <t>Card header must follow the design in terms of text colour and spacing.</t>
        </is>
      </c>
      <c r="G75" s="24" t="inlineStr">
        <is>
          <t>https://www.figma.com/design/gH2vQ62cfg4677YKWuOpLc/MoSJE-Portal--Handoff-?node-id=5986-60711</t>
        </is>
      </c>
      <c r="H75" s="24" t="inlineStr">
        <is>
          <t>https://nhapoa-admin-dev.mosje.in/admin/reports</t>
        </is>
      </c>
      <c r="I75" s="23" t="inlineStr">
        <is>
          <t>Open</t>
        </is>
      </c>
      <c r="J75" s="23" t="inlineStr"/>
      <c r="K75" s="23" t="inlineStr"/>
      <c r="L75" s="23" t="inlineStr">
        <is>
          <t>env: dev</t>
        </is>
      </c>
      <c r="M75" s="23" t="inlineStr">
        <is>
          <t>Screen</t>
        </is>
      </c>
    </row>
    <row r="76">
      <c r="A76" s="21" t="inlineStr">
        <is>
          <t>NHA-SYS-REP-002</t>
        </is>
      </c>
      <c r="B76" s="21" t="inlineStr">
        <is>
          <t>System Admin — Reports &amp; Export</t>
        </is>
      </c>
      <c r="C76" s="21" t="inlineStr">
        <is>
          <t>Content &amp; Iconography</t>
        </is>
      </c>
      <c r="D76" s="21" t="inlineStr">
        <is>
          <t>Minor</t>
        </is>
      </c>
      <c r="E76" s="21" t="inlineStr">
        <is>
          <t>Figma: See the Figma design frame ↗ (linked on the board) for the intended design.  →  Live: The icons for the Quick-Export options must match the design.</t>
        </is>
      </c>
      <c r="F76" s="21" t="inlineStr">
        <is>
          <t>The icons for the Quick-Export options must match the design.</t>
        </is>
      </c>
      <c r="G76" s="22" t="inlineStr">
        <is>
          <t>https://www.figma.com/design/gH2vQ62cfg4677YKWuOpLc/MoSJE-Portal--Handoff-?node-id=5986-60711</t>
        </is>
      </c>
      <c r="H76" s="22" t="inlineStr">
        <is>
          <t>https://nhapoa-admin-dev.mosje.in/admin/reports</t>
        </is>
      </c>
      <c r="I76" s="21" t="inlineStr">
        <is>
          <t>Open</t>
        </is>
      </c>
      <c r="J76" s="21" t="inlineStr"/>
      <c r="K76" s="21" t="inlineStr"/>
      <c r="L76" s="21" t="inlineStr">
        <is>
          <t>env: dev</t>
        </is>
      </c>
      <c r="M76" s="21" t="inlineStr">
        <is>
          <t>Screen</t>
        </is>
      </c>
    </row>
    <row r="77">
      <c r="A77" s="23" t="inlineStr">
        <is>
          <t>NHA-SYS-REP-003</t>
        </is>
      </c>
      <c r="B77" s="23" t="inlineStr">
        <is>
          <t>System Admin — Reports &amp; Export</t>
        </is>
      </c>
      <c r="C77" s="23" t="inlineStr">
        <is>
          <t>Components &amp; States</t>
        </is>
      </c>
      <c r="D77" s="23" t="inlineStr">
        <is>
          <t>Nit</t>
        </is>
      </c>
      <c r="E77" s="23" t="inlineStr">
        <is>
          <t>Figma: See the Figma design frame ↗ (linked on the board) for the intended design.  →  Live: Recent reports is a good-to-have section for easy access to the last reports.</t>
        </is>
      </c>
      <c r="F77" s="23" t="inlineStr">
        <is>
          <t>Recent reports is a good-to-have section for easy access to the last reports.</t>
        </is>
      </c>
      <c r="G77" s="24" t="inlineStr">
        <is>
          <t>https://www.figma.com/design/gH2vQ62cfg4677YKWuOpLc/MoSJE-Portal--Handoff-?node-id=5986-60711</t>
        </is>
      </c>
      <c r="H77" s="24" t="inlineStr">
        <is>
          <t>https://nhapoa-admin-dev.mosje.in/admin/reports</t>
        </is>
      </c>
      <c r="I77" s="23" t="inlineStr">
        <is>
          <t>Open</t>
        </is>
      </c>
      <c r="J77" s="23" t="inlineStr"/>
      <c r="K77" s="23" t="inlineStr"/>
      <c r="L77" s="23" t="inlineStr">
        <is>
          <t>env: dev</t>
        </is>
      </c>
      <c r="M77" s="23" t="inlineStr">
        <is>
          <t>Screen</t>
        </is>
      </c>
    </row>
    <row r="78">
      <c r="A78" s="21" t="inlineStr">
        <is>
          <t>NHA-SYS-REP-004</t>
        </is>
      </c>
      <c r="B78" s="21" t="inlineStr">
        <is>
          <t>System Admin — Reports &amp; Export</t>
        </is>
      </c>
      <c r="C78" s="21" t="inlineStr">
        <is>
          <t>Layout &amp; Spacing</t>
        </is>
      </c>
      <c r="D78" s="21" t="inlineStr">
        <is>
          <t>Nit</t>
        </is>
      </c>
      <c r="E78" s="21" t="inlineStr">
        <is>
          <t>Figma: See the Figma design frame ↗ (linked on the board) for the intended design.  →  Live: A full-width block button is not required for Generate and Export — keep it hug-content.</t>
        </is>
      </c>
      <c r="F78" s="21" t="inlineStr">
        <is>
          <t>A full-width block button is not required for Generate and Export — keep it hug-content.</t>
        </is>
      </c>
      <c r="G78" s="22" t="inlineStr">
        <is>
          <t>https://www.figma.com/design/gH2vQ62cfg4677YKWuOpLc/MoSJE-Portal--Handoff-?node-id=5986-60711</t>
        </is>
      </c>
      <c r="H78" s="22" t="inlineStr">
        <is>
          <t>https://nhapoa-admin-dev.mosje.in/admin/reports</t>
        </is>
      </c>
      <c r="I78" s="21" t="inlineStr">
        <is>
          <t>Open</t>
        </is>
      </c>
      <c r="J78" s="21" t="inlineStr"/>
      <c r="K78" s="21" t="inlineStr"/>
      <c r="L78" s="21" t="inlineStr">
        <is>
          <t>env: dev</t>
        </is>
      </c>
      <c r="M78" s="21" t="inlineStr">
        <is>
          <t>Screen</t>
        </is>
      </c>
    </row>
    <row r="79">
      <c r="A79" s="23" t="inlineStr">
        <is>
          <t>NHA-SYS-NTF-001</t>
        </is>
      </c>
      <c r="B79" s="23" t="inlineStr">
        <is>
          <t>System Admin — Notifications</t>
        </is>
      </c>
      <c r="C79" s="23" t="inlineStr">
        <is>
          <t>Components &amp; States</t>
        </is>
      </c>
      <c r="D79" s="23" t="inlineStr">
        <is>
          <t>Nit</t>
        </is>
      </c>
      <c r="E79" s="23" t="inlineStr">
        <is>
          <t>Figma: See the Figma design frame ↗ (linked on the board) for the intended design.  →  Live: In the empty state the disabled 'Mark all read' button isn't needed — it can appear (disabled) only when there are items and all are read.</t>
        </is>
      </c>
      <c r="F79" s="23" t="inlineStr">
        <is>
          <t>In the empty state the disabled 'Mark all read' button isn't needed — it can appear (disabled) only when there are items and all are read.</t>
        </is>
      </c>
      <c r="G79" s="24" t="inlineStr">
        <is>
          <t>https://www.figma.com/design/gH2vQ62cfg4677YKWuOpLc/MoSJE-Portal--Handoff-?node-id=5986-61146</t>
        </is>
      </c>
      <c r="H79" s="24" t="inlineStr">
        <is>
          <t>https://nhapoa-admin-dev.mosje.in/admin/notifications</t>
        </is>
      </c>
      <c r="I79" s="23" t="inlineStr">
        <is>
          <t>Open</t>
        </is>
      </c>
      <c r="J79" s="23" t="inlineStr"/>
      <c r="K79" s="23" t="inlineStr"/>
      <c r="L79" s="23" t="inlineStr">
        <is>
          <t>env: dev  ·  Portal-wide patterns on this screen are consolidated in the Global Findings section (each tagged Scope: Global). Some list rows / sub-states couldn't be verified on this dev build (no seeded data).</t>
        </is>
      </c>
      <c r="M79" s="23" t="inlineStr">
        <is>
          <t>Screen</t>
        </is>
      </c>
    </row>
    <row r="80">
      <c r="A80" s="21" t="inlineStr">
        <is>
          <t>NHA-SYSU-DASH-001</t>
        </is>
      </c>
      <c r="B80" s="21" t="inlineStr">
        <is>
          <t>System Admin — Dashboard</t>
        </is>
      </c>
      <c r="C80" s="21" t="inlineStr">
        <is>
          <t>Layout &amp; Spacing</t>
        </is>
      </c>
      <c r="D80" s="21" t="inlineStr">
        <is>
          <t>Major</t>
        </is>
      </c>
      <c r="E80" s="21" t="inlineStr">
        <is>
          <t>Figma: See the Figma design frame ↗ (linked on the board) for the intended design.  →  Live: The Monthly-Submission-Trend bar graph overflows outside its container — adjust the card width to fit the chart (horizontal scroll if very wide) and let the chart use the card height properly.</t>
        </is>
      </c>
      <c r="F80" s="21" t="inlineStr">
        <is>
          <t>The Monthly-Submission-Trend bar graph overflows outside its container — adjust the card width to fit the chart (horizontal scroll if very wide) and let the chart use the card height properly.</t>
        </is>
      </c>
      <c r="G80" s="22" t="inlineStr">
        <is>
          <t>https://www.figma.com/design/gH2vQ62cfg4677YKWuOpLc/MoSJE-Portal--Handoff-?node-id=5986-59234</t>
        </is>
      </c>
      <c r="H80" s="22" t="inlineStr">
        <is>
          <t>https://nhapoa-admin-dev.mosje.in/admin/dashboard</t>
        </is>
      </c>
      <c r="I80" s="21" t="inlineStr">
        <is>
          <t>Open</t>
        </is>
      </c>
      <c r="J80" s="21" t="inlineStr"/>
      <c r="K80" s="21" t="inlineStr"/>
      <c r="L80" s="21" t="inlineStr">
        <is>
          <t>env: dev</t>
        </is>
      </c>
      <c r="M80" s="21" t="inlineStr">
        <is>
          <t>Screen</t>
        </is>
      </c>
    </row>
    <row r="81">
      <c r="A81" s="23" t="inlineStr">
        <is>
          <t>NHA-SYSU-DASH-002</t>
        </is>
      </c>
      <c r="B81" s="23" t="inlineStr">
        <is>
          <t>System Admin — Dashboard</t>
        </is>
      </c>
      <c r="C81" s="23" t="inlineStr">
        <is>
          <t>Content &amp; Iconography</t>
        </is>
      </c>
      <c r="D81" s="23" t="inlineStr">
        <is>
          <t>Minor</t>
        </is>
      </c>
      <c r="E81" s="23" t="inlineStr">
        <is>
          <t>Figma: See the Figma design frame ↗ (linked on the board) for the intended design.  →  Live: Page header style should match the design (text style, colour, spacing). The default state of the States filter looks off due to extra space between the label and the arrow icon.</t>
        </is>
      </c>
      <c r="F81" s="23" t="inlineStr">
        <is>
          <t>Page header style should match the design (text style, colour, spacing). The default state of the States filter looks off due to extra space between the label and the arrow icon.</t>
        </is>
      </c>
      <c r="G81" s="24" t="inlineStr">
        <is>
          <t>https://www.figma.com/design/gH2vQ62cfg4677YKWuOpLc/MoSJE-Portal--Handoff-?node-id=5986-59234</t>
        </is>
      </c>
      <c r="H81" s="24" t="inlineStr">
        <is>
          <t>https://nhapoa-admin-dev.mosje.in/admin/dashboard</t>
        </is>
      </c>
      <c r="I81" s="23" t="inlineStr">
        <is>
          <t>Open</t>
        </is>
      </c>
      <c r="J81" s="23" t="inlineStr"/>
      <c r="K81" s="23" t="inlineStr"/>
      <c r="L81" s="23" t="inlineStr">
        <is>
          <t>env: dev</t>
        </is>
      </c>
      <c r="M81" s="23" t="inlineStr">
        <is>
          <t>Screen</t>
        </is>
      </c>
    </row>
    <row r="82">
      <c r="A82" s="21" t="inlineStr">
        <is>
          <t>NHA-SYSU-DASH-003</t>
        </is>
      </c>
      <c r="B82" s="21" t="inlineStr">
        <is>
          <t>System Admin — Dashboard</t>
        </is>
      </c>
      <c r="C82" s="21" t="inlineStr">
        <is>
          <t>Typography</t>
        </is>
      </c>
      <c r="D82" s="21" t="inlineStr">
        <is>
          <t>Minor</t>
        </is>
      </c>
      <c r="E82" s="21" t="inlineStr">
        <is>
          <t>Figma: See the Figma design frame ↗ (linked on the board) for the intended design.  →  Live: The KPI-card text styles must match the design.</t>
        </is>
      </c>
      <c r="F82" s="21" t="inlineStr">
        <is>
          <t>The KPI-card text styles must match the design.</t>
        </is>
      </c>
      <c r="G82" s="22" t="inlineStr">
        <is>
          <t>https://www.figma.com/design/gH2vQ62cfg4677YKWuOpLc/MoSJE-Portal--Handoff-?node-id=5986-59234</t>
        </is>
      </c>
      <c r="H82" s="22" t="inlineStr">
        <is>
          <t>https://nhapoa-admin-dev.mosje.in/admin/dashboard</t>
        </is>
      </c>
      <c r="I82" s="21" t="inlineStr">
        <is>
          <t>Open</t>
        </is>
      </c>
      <c r="J82" s="21" t="inlineStr"/>
      <c r="K82" s="21" t="inlineStr"/>
      <c r="L82" s="21" t="inlineStr">
        <is>
          <t>env: dev</t>
        </is>
      </c>
      <c r="M82" s="21" t="inlineStr">
        <is>
          <t>Screen</t>
        </is>
      </c>
    </row>
    <row r="83">
      <c r="A83" s="23" t="inlineStr">
        <is>
          <t>NHA-SYSU-DASH-004</t>
        </is>
      </c>
      <c r="B83" s="23" t="inlineStr">
        <is>
          <t>System Admin — Dashboard</t>
        </is>
      </c>
      <c r="C83" s="23" t="inlineStr">
        <is>
          <t>Layout &amp; Spacing</t>
        </is>
      </c>
      <c r="D83" s="23" t="inlineStr">
        <is>
          <t>Minor</t>
        </is>
      </c>
      <c r="E83" s="23" t="inlineStr">
        <is>
          <t>Figma: See the Figma design frame ↗ (linked on the board) for the intended design.  →  Live: There must be a divider between the chart and its legend.</t>
        </is>
      </c>
      <c r="F83" s="23" t="inlineStr">
        <is>
          <t>There must be a divider between the chart and its legend.</t>
        </is>
      </c>
      <c r="G83" s="24" t="inlineStr">
        <is>
          <t>https://www.figma.com/design/gH2vQ62cfg4677YKWuOpLc/MoSJE-Portal--Handoff-?node-id=5986-59234</t>
        </is>
      </c>
      <c r="H83" s="24" t="inlineStr">
        <is>
          <t>https://nhapoa-admin-dev.mosje.in/admin/dashboard</t>
        </is>
      </c>
      <c r="I83" s="23" t="inlineStr">
        <is>
          <t>Open</t>
        </is>
      </c>
      <c r="J83" s="23" t="inlineStr"/>
      <c r="K83" s="23" t="inlineStr"/>
      <c r="L83" s="23" t="inlineStr">
        <is>
          <t>env: dev</t>
        </is>
      </c>
      <c r="M83" s="23" t="inlineStr">
        <is>
          <t>Screen</t>
        </is>
      </c>
    </row>
    <row r="84">
      <c r="A84" s="21" t="inlineStr">
        <is>
          <t>NHA-SYSU-DASH-005</t>
        </is>
      </c>
      <c r="B84" s="21" t="inlineStr">
        <is>
          <t>System Admin — Dashboard</t>
        </is>
      </c>
      <c r="C84" s="21" t="inlineStr">
        <is>
          <t>Components &amp; States</t>
        </is>
      </c>
      <c r="D84" s="21" t="inlineStr">
        <is>
          <t>Minor</t>
        </is>
      </c>
      <c r="E84" s="21" t="inlineStr">
        <is>
          <t>Figma: See the Figma design frame ↗ (linked on the board) for the intended design.  →  Live: For cards like the activity feed with a long scroll, add a 'View all' link to the next-level page.</t>
        </is>
      </c>
      <c r="F84" s="21" t="inlineStr">
        <is>
          <t>For cards like the activity feed with a long scroll, add a 'View all' link to the next-level page.</t>
        </is>
      </c>
      <c r="G84" s="22" t="inlineStr">
        <is>
          <t>https://www.figma.com/design/gH2vQ62cfg4677YKWuOpLc/MoSJE-Portal--Handoff-?node-id=5986-59234</t>
        </is>
      </c>
      <c r="H84" s="22" t="inlineStr">
        <is>
          <t>https://nhapoa-admin-dev.mosje.in/admin/dashboard</t>
        </is>
      </c>
      <c r="I84" s="21" t="inlineStr">
        <is>
          <t>Open</t>
        </is>
      </c>
      <c r="J84" s="21" t="inlineStr"/>
      <c r="K84" s="21" t="inlineStr"/>
      <c r="L84" s="21" t="inlineStr">
        <is>
          <t>env: dev</t>
        </is>
      </c>
      <c r="M84" s="21" t="inlineStr">
        <is>
          <t>Screen</t>
        </is>
      </c>
    </row>
    <row r="85">
      <c r="A85" s="23" t="inlineStr">
        <is>
          <t>NHA-SYSU-DASH-006</t>
        </is>
      </c>
      <c r="B85" s="23" t="inlineStr">
        <is>
          <t>System Admin — Dashboard</t>
        </is>
      </c>
      <c r="C85" s="23" t="inlineStr">
        <is>
          <t>Typography</t>
        </is>
      </c>
      <c r="D85" s="23" t="inlineStr">
        <is>
          <t>Minor</t>
        </is>
      </c>
      <c r="E85" s="23" t="inlineStr">
        <is>
          <t>Figma: See the Figma design frame ↗ (linked on the board) for the intended design.  →  Live: The card headers must match the design.</t>
        </is>
      </c>
      <c r="F85" s="23" t="inlineStr">
        <is>
          <t>The card headers must match the design.</t>
        </is>
      </c>
      <c r="G85" s="24" t="inlineStr">
        <is>
          <t>https://www.figma.com/design/gH2vQ62cfg4677YKWuOpLc/MoSJE-Portal--Handoff-?node-id=5986-59234</t>
        </is>
      </c>
      <c r="H85" s="24" t="inlineStr">
        <is>
          <t>https://nhapoa-admin-dev.mosje.in/admin/dashboard</t>
        </is>
      </c>
      <c r="I85" s="23" t="inlineStr">
        <is>
          <t>Open</t>
        </is>
      </c>
      <c r="J85" s="23" t="inlineStr"/>
      <c r="K85" s="23" t="inlineStr"/>
      <c r="L85" s="23" t="inlineStr">
        <is>
          <t>env: dev</t>
        </is>
      </c>
      <c r="M85" s="23" t="inlineStr">
        <is>
          <t>Screen</t>
        </is>
      </c>
    </row>
    <row r="86">
      <c r="A86" s="21" t="inlineStr">
        <is>
          <t>NHA-SYSU-DASH-007</t>
        </is>
      </c>
      <c r="B86" s="21" t="inlineStr">
        <is>
          <t>System Admin — Dashboard</t>
        </is>
      </c>
      <c r="C86" s="21" t="inlineStr">
        <is>
          <t>Layout &amp; Spacing</t>
        </is>
      </c>
      <c r="D86" s="21" t="inlineStr">
        <is>
          <t>Minor</t>
        </is>
      </c>
      <c r="E86" s="21" t="inlineStr">
        <is>
          <t>Figma: See the Figma design frame ↗ (linked on the board) for the intended design.  →  Live: Card heights in a row should be uniform; width can flex to the content.</t>
        </is>
      </c>
      <c r="F86" s="21" t="inlineStr">
        <is>
          <t>Card heights in a row should be uniform; width can flex to the content.</t>
        </is>
      </c>
      <c r="G86" s="22" t="inlineStr">
        <is>
          <t>https://www.figma.com/design/gH2vQ62cfg4677YKWuOpLc/MoSJE-Portal--Handoff-?node-id=5986-59234</t>
        </is>
      </c>
      <c r="H86" s="22" t="inlineStr">
        <is>
          <t>https://nhapoa-admin-dev.mosje.in/admin/dashboard</t>
        </is>
      </c>
      <c r="I86" s="21" t="inlineStr">
        <is>
          <t>Open</t>
        </is>
      </c>
      <c r="J86" s="21" t="inlineStr"/>
      <c r="K86" s="21" t="inlineStr"/>
      <c r="L86" s="21" t="inlineStr">
        <is>
          <t>env: dev</t>
        </is>
      </c>
      <c r="M86" s="21" t="inlineStr">
        <is>
          <t>Screen</t>
        </is>
      </c>
    </row>
    <row r="87">
      <c r="A87" s="23" t="inlineStr">
        <is>
          <t>NHA-SYSU-SLA-001</t>
        </is>
      </c>
      <c r="B87" s="23" t="inlineStr">
        <is>
          <t>System Admin — SLA Monitor</t>
        </is>
      </c>
      <c r="C87" s="23" t="inlineStr">
        <is>
          <t>Components &amp; States</t>
        </is>
      </c>
      <c r="D87" s="23" t="inlineStr">
        <is>
          <t>Minor</t>
        </is>
      </c>
      <c r="E87" s="23" t="inlineStr">
        <is>
          <t>Figma: See the Figma design frame ↗ (linked on the board) for the intended design.  →  Live: Export button style should match the design.</t>
        </is>
      </c>
      <c r="F87" s="23" t="inlineStr">
        <is>
          <t>Export button style should match the design.</t>
        </is>
      </c>
      <c r="G87" s="24" t="inlineStr">
        <is>
          <t>https://www.figma.com/design/gH2vQ62cfg4677YKWuOpLc/MoSJE-Portal--Handoff-?node-id=5986-59826</t>
        </is>
      </c>
      <c r="H87" s="24" t="inlineStr">
        <is>
          <t>https://nhapoa-admin-dev.mosje.in/admin/sla-monitor</t>
        </is>
      </c>
      <c r="I87" s="23" t="inlineStr">
        <is>
          <t>Open</t>
        </is>
      </c>
      <c r="J87" s="23" t="inlineStr"/>
      <c r="K87" s="23" t="inlineStr"/>
      <c r="L87" s="23" t="inlineStr">
        <is>
          <t>env: dev</t>
        </is>
      </c>
      <c r="M87" s="23" t="inlineStr">
        <is>
          <t>Screen</t>
        </is>
      </c>
    </row>
    <row r="88">
      <c r="A88" s="21" t="inlineStr">
        <is>
          <t>NHA-SYSU-SLA-002</t>
        </is>
      </c>
      <c r="B88" s="21" t="inlineStr">
        <is>
          <t>System Admin — SLA Monitor</t>
        </is>
      </c>
      <c r="C88" s="21" t="inlineStr">
        <is>
          <t>Typography</t>
        </is>
      </c>
      <c r="D88" s="21" t="inlineStr">
        <is>
          <t>Minor</t>
        </is>
      </c>
      <c r="E88" s="21" t="inlineStr">
        <is>
          <t>Figma: See the Figma design frame ↗ (linked on the board) for the intended design.  →  Live: KPI-card text styles must match the design.</t>
        </is>
      </c>
      <c r="F88" s="21" t="inlineStr">
        <is>
          <t>KPI-card text styles must match the design.</t>
        </is>
      </c>
      <c r="G88" s="22" t="inlineStr">
        <is>
          <t>https://www.figma.com/design/gH2vQ62cfg4677YKWuOpLc/MoSJE-Portal--Handoff-?node-id=5986-59826</t>
        </is>
      </c>
      <c r="H88" s="22" t="inlineStr">
        <is>
          <t>https://nhapoa-admin-dev.mosje.in/admin/sla-monitor</t>
        </is>
      </c>
      <c r="I88" s="21" t="inlineStr">
        <is>
          <t>Open</t>
        </is>
      </c>
      <c r="J88" s="21" t="inlineStr"/>
      <c r="K88" s="21" t="inlineStr"/>
      <c r="L88" s="21" t="inlineStr">
        <is>
          <t>env: dev</t>
        </is>
      </c>
      <c r="M88" s="21" t="inlineStr">
        <is>
          <t>Screen</t>
        </is>
      </c>
    </row>
    <row r="89">
      <c r="A89" s="23" t="inlineStr">
        <is>
          <t>NHA-SYSU-SLA-003</t>
        </is>
      </c>
      <c r="B89" s="23" t="inlineStr">
        <is>
          <t>System Admin — SLA Monitor</t>
        </is>
      </c>
      <c r="C89" s="23" t="inlineStr">
        <is>
          <t>Layout &amp; Spacing</t>
        </is>
      </c>
      <c r="D89" s="23" t="inlineStr">
        <is>
          <t>Minor</t>
        </is>
      </c>
      <c r="E89" s="23" t="inlineStr">
        <is>
          <t>Figma: See the Figma design frame ↗ (linked on the board) for the intended design.  →  Live: The width of the Breached-Cases card must be adjusted to fit the table properly.</t>
        </is>
      </c>
      <c r="F89" s="23" t="inlineStr">
        <is>
          <t>The width of the Breached-Cases card must be adjusted to fit the table properly.</t>
        </is>
      </c>
      <c r="G89" s="24" t="inlineStr">
        <is>
          <t>https://www.figma.com/design/gH2vQ62cfg4677YKWuOpLc/MoSJE-Portal--Handoff-?node-id=5986-59826</t>
        </is>
      </c>
      <c r="H89" s="24" t="inlineStr">
        <is>
          <t>https://nhapoa-admin-dev.mosje.in/admin/sla-monitor</t>
        </is>
      </c>
      <c r="I89" s="23" t="inlineStr">
        <is>
          <t>Open</t>
        </is>
      </c>
      <c r="J89" s="23" t="inlineStr"/>
      <c r="K89" s="23" t="inlineStr"/>
      <c r="L89" s="23" t="inlineStr">
        <is>
          <t>env: dev</t>
        </is>
      </c>
      <c r="M89" s="23" t="inlineStr">
        <is>
          <t>Screen</t>
        </is>
      </c>
    </row>
    <row r="90">
      <c r="A90" s="21" t="inlineStr">
        <is>
          <t>NHA-SYSU-SLA-004</t>
        </is>
      </c>
      <c r="B90" s="21" t="inlineStr">
        <is>
          <t>System Admin — SLA Monitor</t>
        </is>
      </c>
      <c r="C90" s="21" t="inlineStr">
        <is>
          <t>Typography</t>
        </is>
      </c>
      <c r="D90" s="21" t="inlineStr">
        <is>
          <t>Minor</t>
        </is>
      </c>
      <c r="E90" s="21" t="inlineStr">
        <is>
          <t>Figma: See the Figma design frame ↗ (linked on the board) for the intended design.  →  Live: Section-card header text must match the design.</t>
        </is>
      </c>
      <c r="F90" s="21" t="inlineStr">
        <is>
          <t>Section-card header text must match the design.</t>
        </is>
      </c>
      <c r="G90" s="22" t="inlineStr">
        <is>
          <t>https://www.figma.com/design/gH2vQ62cfg4677YKWuOpLc/MoSJE-Portal--Handoff-?node-id=5986-59826</t>
        </is>
      </c>
      <c r="H90" s="22" t="inlineStr">
        <is>
          <t>https://nhapoa-admin-dev.mosje.in/admin/sla-monitor</t>
        </is>
      </c>
      <c r="I90" s="21" t="inlineStr">
        <is>
          <t>Open</t>
        </is>
      </c>
      <c r="J90" s="21" t="inlineStr"/>
      <c r="K90" s="21" t="inlineStr"/>
      <c r="L90" s="21" t="inlineStr">
        <is>
          <t>env: dev</t>
        </is>
      </c>
      <c r="M90" s="21" t="inlineStr">
        <is>
          <t>Screen</t>
        </is>
      </c>
    </row>
    <row r="91">
      <c r="A91" s="23" t="inlineStr">
        <is>
          <t>NHA-SYSU-SLA-005</t>
        </is>
      </c>
      <c r="B91" s="23" t="inlineStr">
        <is>
          <t>System Admin — SLA Monitor</t>
        </is>
      </c>
      <c r="C91" s="23" t="inlineStr">
        <is>
          <t>Typography</t>
        </is>
      </c>
      <c r="D91" s="23" t="inlineStr">
        <is>
          <t>Minor</t>
        </is>
      </c>
      <c r="E91" s="23" t="inlineStr">
        <is>
          <t>Figma: See the Figma design frame ↗ (linked on the board) for the intended design.  →  Live: Text styles and badge styles in the table must match the design.</t>
        </is>
      </c>
      <c r="F91" s="23" t="inlineStr">
        <is>
          <t>Text styles and badge styles in the table must match the design.</t>
        </is>
      </c>
      <c r="G91" s="24" t="inlineStr">
        <is>
          <t>https://www.figma.com/design/gH2vQ62cfg4677YKWuOpLc/MoSJE-Portal--Handoff-?node-id=5986-59826</t>
        </is>
      </c>
      <c r="H91" s="24" t="inlineStr">
        <is>
          <t>https://nhapoa-admin-dev.mosje.in/admin/sla-monitor</t>
        </is>
      </c>
      <c r="I91" s="23" t="inlineStr">
        <is>
          <t>Open</t>
        </is>
      </c>
      <c r="J91" s="23" t="inlineStr"/>
      <c r="K91" s="23" t="inlineStr"/>
      <c r="L91" s="23" t="inlineStr">
        <is>
          <t>env: dev</t>
        </is>
      </c>
      <c r="M91" s="23" t="inlineStr">
        <is>
          <t>Screen</t>
        </is>
      </c>
    </row>
    <row r="92">
      <c r="A92" s="21" t="inlineStr">
        <is>
          <t>NHA-SYSU-SLA-006</t>
        </is>
      </c>
      <c r="B92" s="21" t="inlineStr">
        <is>
          <t>System Admin — SLA Monitor</t>
        </is>
      </c>
      <c r="C92" s="21" t="inlineStr">
        <is>
          <t>Components &amp; States</t>
        </is>
      </c>
      <c r="D92" s="21" t="inlineStr">
        <is>
          <t>Minor</t>
        </is>
      </c>
      <c r="E92" s="21" t="inlineStr">
        <is>
          <t>Figma: See the Figma design frame ↗ (linked on the board) for the intended design.  →  Live: Tables with more than 10–15 rows must paginate for easy access instead of a long scroll.</t>
        </is>
      </c>
      <c r="F92" s="21" t="inlineStr">
        <is>
          <t>Tables with more than 10–15 rows must paginate for easy access instead of a long scroll.</t>
        </is>
      </c>
      <c r="G92" s="22" t="inlineStr">
        <is>
          <t>https://www.figma.com/design/gH2vQ62cfg4677YKWuOpLc/MoSJE-Portal--Handoff-?node-id=5986-59826</t>
        </is>
      </c>
      <c r="H92" s="22" t="inlineStr">
        <is>
          <t>https://nhapoa-admin-dev.mosje.in/admin/sla-monitor</t>
        </is>
      </c>
      <c r="I92" s="21" t="inlineStr">
        <is>
          <t>Open</t>
        </is>
      </c>
      <c r="J92" s="21" t="inlineStr"/>
      <c r="K92" s="21" t="inlineStr"/>
      <c r="L92" s="21" t="inlineStr">
        <is>
          <t>env: dev</t>
        </is>
      </c>
      <c r="M92" s="21" t="inlineStr">
        <is>
          <t>Screen</t>
        </is>
      </c>
    </row>
    <row r="93">
      <c r="A93" s="23" t="inlineStr">
        <is>
          <t>NHA-SYSU-PERF-001</t>
        </is>
      </c>
      <c r="B93" s="23" t="inlineStr">
        <is>
          <t>System Admin — Officer Performance</t>
        </is>
      </c>
      <c r="C93" s="23" t="inlineStr">
        <is>
          <t>Components &amp; States</t>
        </is>
      </c>
      <c r="D93" s="23" t="inlineStr">
        <is>
          <t>Minor</t>
        </is>
      </c>
      <c r="E93" s="23" t="inlineStr">
        <is>
          <t>Figma: See the Figma design frame ↗ (linked on the board) for the intended design.  →  Live: Section headers must follow the design language set in Figma.</t>
        </is>
      </c>
      <c r="F93" s="23" t="inlineStr">
        <is>
          <t>Section headers must follow the design language set in Figma.</t>
        </is>
      </c>
      <c r="G93" s="24" t="inlineStr">
        <is>
          <t>https://www.figma.com/design/gH2vQ62cfg4677YKWuOpLc/MoSJE-Portal--Handoff-?node-id=5986-60012</t>
        </is>
      </c>
      <c r="H93" s="24" t="inlineStr">
        <is>
          <t>https://nhapoa-admin-dev.mosje.in/admin/officer-performance</t>
        </is>
      </c>
      <c r="I93" s="23" t="inlineStr">
        <is>
          <t>Open</t>
        </is>
      </c>
      <c r="J93" s="23" t="inlineStr"/>
      <c r="K93" s="23" t="inlineStr"/>
      <c r="L93" s="23" t="inlineStr">
        <is>
          <t>env: dev  ·  Portal-wide patterns on this screen are consolidated in the Global Findings section (each tagged Scope: Global).</t>
        </is>
      </c>
      <c r="M93" s="23" t="inlineStr">
        <is>
          <t>Screen</t>
        </is>
      </c>
    </row>
    <row r="94">
      <c r="A94" s="21" t="inlineStr">
        <is>
          <t>NHA-SYSU-PERF-002</t>
        </is>
      </c>
      <c r="B94" s="21" t="inlineStr">
        <is>
          <t>System Admin — Officer Performance</t>
        </is>
      </c>
      <c r="C94" s="21" t="inlineStr">
        <is>
          <t>Components &amp; States</t>
        </is>
      </c>
      <c r="D94" s="21" t="inlineStr">
        <is>
          <t>Minor</t>
        </is>
      </c>
      <c r="E94" s="21" t="inlineStr">
        <is>
          <t>Figma: See the Figma design frame ↗ (linked on the board) for the intended design.  →  Live: Elements in the table must follow the visual language set in Figma.</t>
        </is>
      </c>
      <c r="F94" s="21" t="inlineStr">
        <is>
          <t>Elements in the table must follow the visual language set in Figma.</t>
        </is>
      </c>
      <c r="G94" s="22" t="inlineStr">
        <is>
          <t>https://www.figma.com/design/gH2vQ62cfg4677YKWuOpLc/MoSJE-Portal--Handoff-?node-id=5986-60012</t>
        </is>
      </c>
      <c r="H94" s="22" t="inlineStr">
        <is>
          <t>https://nhapoa-admin-dev.mosje.in/admin/officer-performance</t>
        </is>
      </c>
      <c r="I94" s="21" t="inlineStr">
        <is>
          <t>Open</t>
        </is>
      </c>
      <c r="J94" s="21" t="inlineStr"/>
      <c r="K94" s="21" t="inlineStr"/>
      <c r="L94" s="21" t="inlineStr">
        <is>
          <t>env: dev  ·  Portal-wide patterns on this screen are consolidated in the Global Findings section (each tagged Scope: Global).</t>
        </is>
      </c>
      <c r="M94" s="21" t="inlineStr">
        <is>
          <t>Screen</t>
        </is>
      </c>
    </row>
    <row r="95">
      <c r="A95" s="23" t="inlineStr">
        <is>
          <t>NHA-SYSU-ANL-001</t>
        </is>
      </c>
      <c r="B95" s="23" t="inlineStr">
        <is>
          <t>System Admin — Grievance Analytics</t>
        </is>
      </c>
      <c r="C95" s="23" t="inlineStr">
        <is>
          <t>Layout &amp; Spacing</t>
        </is>
      </c>
      <c r="D95" s="23" t="inlineStr">
        <is>
          <t>Minor</t>
        </is>
      </c>
      <c r="E95" s="23" t="inlineStr">
        <is>
          <t>Figma: See the Figma design frame ↗ (linked on the board) for the intended design.  →  Live: Chart spacing should match the design.</t>
        </is>
      </c>
      <c r="F95" s="23" t="inlineStr">
        <is>
          <t>Chart spacing should match the design.</t>
        </is>
      </c>
      <c r="G95" s="24" t="inlineStr">
        <is>
          <t>https://www.figma.com/design/gH2vQ62cfg4677YKWuOpLc/MoSJE-Portal--Handoff-?node-id=5986-60319</t>
        </is>
      </c>
      <c r="H95" s="24" t="inlineStr">
        <is>
          <t>https://nhapoa-admin-dev.mosje.in/admin/analytics</t>
        </is>
      </c>
      <c r="I95" s="23" t="inlineStr">
        <is>
          <t>Open</t>
        </is>
      </c>
      <c r="J95" s="23" t="inlineStr"/>
      <c r="K95" s="23" t="inlineStr"/>
      <c r="L95" s="23" t="inlineStr">
        <is>
          <t>env: dev  ·  Portal-wide patterns on this screen are consolidated in the Global Findings section (each tagged Scope: Global).</t>
        </is>
      </c>
      <c r="M95" s="23" t="inlineStr">
        <is>
          <t>Screen</t>
        </is>
      </c>
    </row>
    <row r="96">
      <c r="A96" s="21" t="inlineStr">
        <is>
          <t>NHA-SYSU-ANL-002</t>
        </is>
      </c>
      <c r="B96" s="21" t="inlineStr">
        <is>
          <t>System Admin — Grievance Analytics</t>
        </is>
      </c>
      <c r="C96" s="21" t="inlineStr">
        <is>
          <t>Color &amp; Token</t>
        </is>
      </c>
      <c r="D96" s="21" t="inlineStr">
        <is>
          <t>Minor</t>
        </is>
      </c>
      <c r="E96" s="21" t="inlineStr">
        <is>
          <t>Figma: See the Figma design frame ↗ (linked on the board) for the intended design.  →  Live: Donut-chart segments need a gap between them so that even with close colour tones the data stays readable.</t>
        </is>
      </c>
      <c r="F96" s="21" t="inlineStr">
        <is>
          <t>Donut-chart segments need a gap between them so that even with close colour tones the data stays readable.</t>
        </is>
      </c>
      <c r="G96" s="22" t="inlineStr">
        <is>
          <t>https://www.figma.com/design/gH2vQ62cfg4677YKWuOpLc/MoSJE-Portal--Handoff-?node-id=5986-60319</t>
        </is>
      </c>
      <c r="H96" s="22" t="inlineStr">
        <is>
          <t>https://nhapoa-admin-dev.mosje.in/admin/analytics</t>
        </is>
      </c>
      <c r="I96" s="21" t="inlineStr">
        <is>
          <t>Open</t>
        </is>
      </c>
      <c r="J96" s="21" t="inlineStr"/>
      <c r="K96" s="21" t="inlineStr"/>
      <c r="L96" s="21" t="inlineStr">
        <is>
          <t>env: dev  ·  Portal-wide patterns on this screen are consolidated in the Global Findings section (each tagged Scope: Global).</t>
        </is>
      </c>
      <c r="M96" s="21" t="inlineStr">
        <is>
          <t>Screen</t>
        </is>
      </c>
    </row>
    <row r="97">
      <c r="A97" s="23" t="inlineStr">
        <is>
          <t>NHA-SYSU-GEO-001</t>
        </is>
      </c>
      <c r="B97" s="23" t="inlineStr">
        <is>
          <t>System Admin — Geographic View</t>
        </is>
      </c>
      <c r="C97" s="23" t="inlineStr">
        <is>
          <t>Typography</t>
        </is>
      </c>
      <c r="D97" s="23" t="inlineStr">
        <is>
          <t>Minor</t>
        </is>
      </c>
      <c r="E97" s="23" t="inlineStr">
        <is>
          <t>Figma: See the Figma design frame ↗ (linked on the board) for the intended design.  →  Live: Page header, section-card headers and table elements should follow the established visual language.</t>
        </is>
      </c>
      <c r="F97" s="23" t="inlineStr">
        <is>
          <t>Page header, section-card headers and table elements should follow the established visual language.</t>
        </is>
      </c>
      <c r="G97" s="24" t="inlineStr">
        <is>
          <t>https://www.figma.com/design/gH2vQ62cfg4677YKWuOpLc/MoSJE-Portal--Handoff-?node-id=5986-60490</t>
        </is>
      </c>
      <c r="H97" s="24" t="inlineStr">
        <is>
          <t>https://nhapoa-admin-dev.mosje.in/admin/geographic</t>
        </is>
      </c>
      <c r="I97" s="23" t="inlineStr">
        <is>
          <t>Open</t>
        </is>
      </c>
      <c r="J97" s="23" t="inlineStr"/>
      <c r="K97" s="23" t="inlineStr"/>
      <c r="L97" s="23" t="inlineStr">
        <is>
          <t>env: dev</t>
        </is>
      </c>
      <c r="M97" s="23" t="inlineStr">
        <is>
          <t>Screen</t>
        </is>
      </c>
    </row>
    <row r="98">
      <c r="A98" s="21" t="inlineStr">
        <is>
          <t>NHA-SYSU-GEO-002</t>
        </is>
      </c>
      <c r="B98" s="21" t="inlineStr">
        <is>
          <t>System Admin — Geographic View</t>
        </is>
      </c>
      <c r="C98" s="21" t="inlineStr">
        <is>
          <t>Color &amp; Token</t>
        </is>
      </c>
      <c r="D98" s="21" t="inlineStr">
        <is>
          <t>Minor</t>
        </is>
      </c>
      <c r="E98" s="21" t="inlineStr">
        <is>
          <t>Figma: See the Figma design frame ↗ (linked on the board) for the intended design.  →  Live: The map / chart colours must match the design tokens.</t>
        </is>
      </c>
      <c r="F98" s="21" t="inlineStr">
        <is>
          <t>The map / chart colours must match the design tokens.</t>
        </is>
      </c>
      <c r="G98" s="22" t="inlineStr">
        <is>
          <t>https://www.figma.com/design/gH2vQ62cfg4677YKWuOpLc/MoSJE-Portal--Handoff-?node-id=5986-60490</t>
        </is>
      </c>
      <c r="H98" s="22" t="inlineStr">
        <is>
          <t>https://nhapoa-admin-dev.mosje.in/admin/geographic</t>
        </is>
      </c>
      <c r="I98" s="21" t="inlineStr">
        <is>
          <t>Open</t>
        </is>
      </c>
      <c r="J98" s="21" t="inlineStr"/>
      <c r="K98" s="21" t="inlineStr"/>
      <c r="L98" s="21" t="inlineStr">
        <is>
          <t>env: dev</t>
        </is>
      </c>
      <c r="M98" s="21" t="inlineStr">
        <is>
          <t>Screen</t>
        </is>
      </c>
    </row>
    <row r="99">
      <c r="A99" s="23" t="inlineStr">
        <is>
          <t>NHA-SYSU-CAT-001</t>
        </is>
      </c>
      <c r="B99" s="23" t="inlineStr">
        <is>
          <t>System Admin — Grievance Categories</t>
        </is>
      </c>
      <c r="C99" s="23" t="inlineStr">
        <is>
          <t>Components &amp; States</t>
        </is>
      </c>
      <c r="D99" s="23" t="inlineStr">
        <is>
          <t>Minor</t>
        </is>
      </c>
      <c r="E99" s="23" t="inlineStr">
        <is>
          <t>Figma: Match the established admin design language.  →  Live: Search and table design should follow the established design language (applies to all such screens).</t>
        </is>
      </c>
      <c r="F99" s="23" t="inlineStr">
        <is>
          <t>Search and table design should follow the established design language (applies to all such screens).</t>
        </is>
      </c>
      <c r="G99" s="23" t="inlineStr"/>
      <c r="H99" s="24" t="inlineStr">
        <is>
          <t>https://nhapoa-admin-dev.mosje.in/admin/categories</t>
        </is>
      </c>
      <c r="I99" s="23" t="inlineStr">
        <is>
          <t>Open</t>
        </is>
      </c>
      <c r="J99" s="23" t="inlineStr"/>
      <c r="K99" s="23" t="inlineStr"/>
      <c r="L99" s="23" t="inlineStr">
        <is>
          <t>env: dev  ·  Portal-wide patterns on this screen are consolidated in the Global Findings section (each tagged Scope: Global).</t>
        </is>
      </c>
      <c r="M99" s="23" t="inlineStr">
        <is>
          <t>Screen</t>
        </is>
      </c>
    </row>
    <row r="100">
      <c r="A100" s="21" t="inlineStr">
        <is>
          <t>NHA-SYSU-FB-001</t>
        </is>
      </c>
      <c r="B100" s="21" t="inlineStr">
        <is>
          <t>System Admin — Portal Feedback</t>
        </is>
      </c>
      <c r="C100" s="21" t="inlineStr">
        <is>
          <t>Components &amp; States</t>
        </is>
      </c>
      <c r="D100" s="21" t="inlineStr">
        <is>
          <t>Minor</t>
        </is>
      </c>
      <c r="E100" s="21" t="inlineStr">
        <is>
          <t>Figma: Match the established admin design language.  →  Live: Search and table design should follow the established design language.</t>
        </is>
      </c>
      <c r="F100" s="21" t="inlineStr">
        <is>
          <t>Search and table design should follow the established design language.</t>
        </is>
      </c>
      <c r="G100" s="21" t="inlineStr"/>
      <c r="H100" s="22" t="inlineStr">
        <is>
          <t>https://nhapoa-admin-dev.mosje.in/admin/feedbacks</t>
        </is>
      </c>
      <c r="I100" s="21" t="inlineStr">
        <is>
          <t>Open</t>
        </is>
      </c>
      <c r="J100" s="21" t="inlineStr"/>
      <c r="K100" s="21" t="inlineStr"/>
      <c r="L100" s="21" t="inlineStr">
        <is>
          <t>env: dev  ·  Portal-wide patterns on this screen are consolidated in the Global Findings section (each tagged Scope: Global).</t>
        </is>
      </c>
      <c r="M100" s="21" t="inlineStr">
        <is>
          <t>Screen</t>
        </is>
      </c>
    </row>
    <row r="101">
      <c r="A101" s="23" t="inlineStr">
        <is>
          <t>NHA-SYSU-FB-002</t>
        </is>
      </c>
      <c r="B101" s="23" t="inlineStr">
        <is>
          <t>System Admin — Portal Feedback</t>
        </is>
      </c>
      <c r="C101" s="23" t="inlineStr">
        <is>
          <t>Content &amp; Iconography</t>
        </is>
      </c>
      <c r="D101" s="23" t="inlineStr">
        <is>
          <t>Nit</t>
        </is>
      </c>
      <c r="E101" s="23" t="inlineStr">
        <is>
          <t>Figma: Match the established admin design language.  →  Live: The icon in the page header isn't required.</t>
        </is>
      </c>
      <c r="F101" s="23" t="inlineStr">
        <is>
          <t>The icon in the page header isn't required.</t>
        </is>
      </c>
      <c r="G101" s="23" t="inlineStr"/>
      <c r="H101" s="24" t="inlineStr">
        <is>
          <t>https://nhapoa-admin-dev.mosje.in/admin/feedbacks</t>
        </is>
      </c>
      <c r="I101" s="23" t="inlineStr">
        <is>
          <t>Open</t>
        </is>
      </c>
      <c r="J101" s="23" t="inlineStr"/>
      <c r="K101" s="23" t="inlineStr"/>
      <c r="L101" s="23" t="inlineStr">
        <is>
          <t>env: dev  ·  Portal-wide patterns on this screen are consolidated in the Global Findings section (each tagged Scope: Global).</t>
        </is>
      </c>
      <c r="M101" s="23" t="inlineStr">
        <is>
          <t>Screen</t>
        </is>
      </c>
    </row>
    <row r="102">
      <c r="A102" s="21" t="inlineStr">
        <is>
          <t>NHA-DO-DASH-001</t>
        </is>
      </c>
      <c r="B102" s="21" t="inlineStr">
        <is>
          <t>District Officer — Dashboard</t>
        </is>
      </c>
      <c r="C102" s="21" t="inlineStr">
        <is>
          <t>Typography</t>
        </is>
      </c>
      <c r="D102" s="21" t="inlineStr">
        <is>
          <t>Minor</t>
        </is>
      </c>
      <c r="E102" s="21" t="inlineStr">
        <is>
          <t>Figma: See the Figma design frame ↗ (linked on the board) for the intended design.  →  Live: Text styles of the KPI cards must match the design.</t>
        </is>
      </c>
      <c r="F102" s="21" t="inlineStr">
        <is>
          <t>Text styles of the KPI cards must match the design.</t>
        </is>
      </c>
      <c r="G102" s="22" t="inlineStr">
        <is>
          <t>https://www.figma.com/design/gH2vQ62cfg4677YKWuOpLc/MoSJE-Portal--Handoff-?node-id=5986-53726</t>
        </is>
      </c>
      <c r="H102" s="22" t="inlineStr">
        <is>
          <t>https://nhapoa-admin-dev.mosje.in/district-officer/dashboard</t>
        </is>
      </c>
      <c r="I102" s="21" t="inlineStr">
        <is>
          <t>Open</t>
        </is>
      </c>
      <c r="J102" s="21" t="inlineStr"/>
      <c r="K102" s="21" t="inlineStr"/>
      <c r="L102" s="21" t="inlineStr">
        <is>
          <t>env: dev</t>
        </is>
      </c>
      <c r="M102" s="21" t="inlineStr">
        <is>
          <t>Screen</t>
        </is>
      </c>
    </row>
    <row r="103">
      <c r="A103" s="23" t="inlineStr">
        <is>
          <t>NHA-DO-DASH-002</t>
        </is>
      </c>
      <c r="B103" s="23" t="inlineStr">
        <is>
          <t>District Officer — Dashboard</t>
        </is>
      </c>
      <c r="C103" s="23" t="inlineStr">
        <is>
          <t>Typography</t>
        </is>
      </c>
      <c r="D103" s="23" t="inlineStr">
        <is>
          <t>Minor</t>
        </is>
      </c>
      <c r="E103" s="23" t="inlineStr">
        <is>
          <t>Figma: See the Figma design frame ↗ (linked on the board) for the intended design.  →  Live: Section-card header text style must match the design.</t>
        </is>
      </c>
      <c r="F103" s="23" t="inlineStr">
        <is>
          <t>Section-card header text style must match the design.</t>
        </is>
      </c>
      <c r="G103" s="24" t="inlineStr">
        <is>
          <t>https://www.figma.com/design/gH2vQ62cfg4677YKWuOpLc/MoSJE-Portal--Handoff-?node-id=5986-53726</t>
        </is>
      </c>
      <c r="H103" s="24" t="inlineStr">
        <is>
          <t>https://nhapoa-admin-dev.mosje.in/district-officer/dashboard</t>
        </is>
      </c>
      <c r="I103" s="23" t="inlineStr">
        <is>
          <t>Open</t>
        </is>
      </c>
      <c r="J103" s="23" t="inlineStr"/>
      <c r="K103" s="23" t="inlineStr"/>
      <c r="L103" s="23" t="inlineStr">
        <is>
          <t>env: dev</t>
        </is>
      </c>
      <c r="M103" s="23" t="inlineStr">
        <is>
          <t>Screen</t>
        </is>
      </c>
    </row>
    <row r="104">
      <c r="A104" s="21" t="inlineStr">
        <is>
          <t>NHA-DO-DASH-003</t>
        </is>
      </c>
      <c r="B104" s="21" t="inlineStr">
        <is>
          <t>District Officer — Dashboard</t>
        </is>
      </c>
      <c r="C104" s="21" t="inlineStr">
        <is>
          <t>Components &amp; States</t>
        </is>
      </c>
      <c r="D104" s="21" t="inlineStr">
        <is>
          <t>Minor</t>
        </is>
      </c>
      <c r="E104" s="21" t="inlineStr">
        <is>
          <t>Figma: See the Figma design frame ↗ (linked on the board) for the intended design.  →  Live: Priority-action status chips don't match the design's chip styles.</t>
        </is>
      </c>
      <c r="F104" s="21" t="inlineStr">
        <is>
          <t>Priority-action status chips don't match the design's chip styles.</t>
        </is>
      </c>
      <c r="G104" s="22" t="inlineStr">
        <is>
          <t>https://www.figma.com/design/gH2vQ62cfg4677YKWuOpLc/MoSJE-Portal--Handoff-?node-id=5986-53726</t>
        </is>
      </c>
      <c r="H104" s="22" t="inlineStr">
        <is>
          <t>https://nhapoa-admin-dev.mosje.in/district-officer/dashboard</t>
        </is>
      </c>
      <c r="I104" s="21" t="inlineStr">
        <is>
          <t>Open</t>
        </is>
      </c>
      <c r="J104" s="21" t="inlineStr"/>
      <c r="K104" s="21" t="inlineStr"/>
      <c r="L104" s="21" t="inlineStr">
        <is>
          <t>env: dev</t>
        </is>
      </c>
      <c r="M104" s="21" t="inlineStr">
        <is>
          <t>Screen</t>
        </is>
      </c>
    </row>
    <row r="105">
      <c r="A105" s="23" t="inlineStr">
        <is>
          <t>NHA-DO-DASH-004</t>
        </is>
      </c>
      <c r="B105" s="23" t="inlineStr">
        <is>
          <t>District Officer — Dashboard</t>
        </is>
      </c>
      <c r="C105" s="23" t="inlineStr">
        <is>
          <t>Components &amp; States</t>
        </is>
      </c>
      <c r="D105" s="23" t="inlineStr">
        <is>
          <t>Nit</t>
        </is>
      </c>
      <c r="E105" s="23" t="inlineStr">
        <is>
          <t>Figma: See the Figma design frame ↗ (linked on the board) for the intended design.  →  Live: The extra dot on the priority-action item isn't required.</t>
        </is>
      </c>
      <c r="F105" s="23" t="inlineStr">
        <is>
          <t>The extra dot on the priority-action item isn't required.</t>
        </is>
      </c>
      <c r="G105" s="24" t="inlineStr">
        <is>
          <t>https://www.figma.com/design/gH2vQ62cfg4677YKWuOpLc/MoSJE-Portal--Handoff-?node-id=5986-53726</t>
        </is>
      </c>
      <c r="H105" s="24" t="inlineStr">
        <is>
          <t>https://nhapoa-admin-dev.mosje.in/district-officer/dashboard</t>
        </is>
      </c>
      <c r="I105" s="23" t="inlineStr">
        <is>
          <t>Open</t>
        </is>
      </c>
      <c r="J105" s="23" t="inlineStr"/>
      <c r="K105" s="23" t="inlineStr"/>
      <c r="L105" s="23" t="inlineStr">
        <is>
          <t>env: dev</t>
        </is>
      </c>
      <c r="M105" s="23" t="inlineStr">
        <is>
          <t>Screen</t>
        </is>
      </c>
    </row>
    <row r="106">
      <c r="A106" s="21" t="inlineStr">
        <is>
          <t>NHA-DO-CASES-001</t>
        </is>
      </c>
      <c r="B106" s="21" t="inlineStr">
        <is>
          <t>District Officer — My Cases</t>
        </is>
      </c>
      <c r="C106" s="21" t="inlineStr">
        <is>
          <t>Color &amp; Token</t>
        </is>
      </c>
      <c r="D106" s="21" t="inlineStr">
        <is>
          <t>Minor</t>
        </is>
      </c>
      <c r="E106" s="21" t="inlineStr">
        <is>
          <t>Figma: See the Figma design frame ↗ (linked on the board) for the intended design.  →  Live: SLA and Status pills don't fully match the design's status-token colours.</t>
        </is>
      </c>
      <c r="F106" s="21" t="inlineStr">
        <is>
          <t>SLA and Status pills don't fully match the design's status-token colours.</t>
        </is>
      </c>
      <c r="G106" s="22" t="inlineStr">
        <is>
          <t>https://www.figma.com/design/gH2vQ62cfg4677YKWuOpLc/MoSJE-Portal--Handoff-?node-id=5986-53857</t>
        </is>
      </c>
      <c r="H106" s="22" t="inlineStr">
        <is>
          <t>https://nhapoa-admin-dev.mosje.in/district-officer/cases</t>
        </is>
      </c>
      <c r="I106" s="21" t="inlineStr">
        <is>
          <t>Open</t>
        </is>
      </c>
      <c r="J106" s="21" t="inlineStr"/>
      <c r="K106" s="21" t="inlineStr"/>
      <c r="L106" s="21" t="inlineStr">
        <is>
          <t>env: dev  ·  Portal-wide patterns on this screen are consolidated in the Global Findings section (each tagged Scope: Global).</t>
        </is>
      </c>
      <c r="M106" s="21" t="inlineStr">
        <is>
          <t>Screen</t>
        </is>
      </c>
    </row>
    <row r="107">
      <c r="A107" s="23" t="inlineStr">
        <is>
          <t>NHA-DO-CASES-002</t>
        </is>
      </c>
      <c r="B107" s="23" t="inlineStr">
        <is>
          <t>District Officer — My Cases</t>
        </is>
      </c>
      <c r="C107" s="23" t="inlineStr">
        <is>
          <t>Components &amp; States</t>
        </is>
      </c>
      <c r="D107" s="23" t="inlineStr">
        <is>
          <t>Minor</t>
        </is>
      </c>
      <c r="E107" s="23" t="inlineStr">
        <is>
          <t>Figma: See the Figma design frame ↗ (linked on the board) for the intended design.  →  Live: 'URGENT' / 'ESCALATED' badges should sit in the Status column with the ID, per the design.</t>
        </is>
      </c>
      <c r="F107" s="23" t="inlineStr">
        <is>
          <t>'URGENT' / 'ESCALATED' badges should sit in the Status column with the ID, per the design.</t>
        </is>
      </c>
      <c r="G107" s="24" t="inlineStr">
        <is>
          <t>https://www.figma.com/design/gH2vQ62cfg4677YKWuOpLc/MoSJE-Portal--Handoff-?node-id=5986-53857</t>
        </is>
      </c>
      <c r="H107" s="24" t="inlineStr">
        <is>
          <t>https://nhapoa-admin-dev.mosje.in/district-officer/cases</t>
        </is>
      </c>
      <c r="I107" s="23" t="inlineStr">
        <is>
          <t>Open</t>
        </is>
      </c>
      <c r="J107" s="23" t="inlineStr"/>
      <c r="K107" s="23" t="inlineStr"/>
      <c r="L107" s="23" t="inlineStr">
        <is>
          <t>env: dev  ·  Portal-wide patterns on this screen are consolidated in the Global Findings section (each tagged Scope: Global).</t>
        </is>
      </c>
      <c r="M107" s="23" t="inlineStr">
        <is>
          <t>Screen</t>
        </is>
      </c>
    </row>
    <row r="108">
      <c r="A108" s="21" t="inlineStr">
        <is>
          <t>NHA-DO-CASES-003</t>
        </is>
      </c>
      <c r="B108" s="21" t="inlineStr">
        <is>
          <t>District Officer — My Cases</t>
        </is>
      </c>
      <c r="C108" s="21" t="inlineStr">
        <is>
          <t>Typography</t>
        </is>
      </c>
      <c r="D108" s="21" t="inlineStr">
        <is>
          <t>Minor</t>
        </is>
      </c>
      <c r="E108" s="21" t="inlineStr">
        <is>
          <t>Figma: See the Figma design frame ↗ (linked on the board) for the intended design.  →  Live: Table header + row typography/spacing should match the design's list style.</t>
        </is>
      </c>
      <c r="F108" s="21" t="inlineStr">
        <is>
          <t>Table header + row typography/spacing should match the design's list style.</t>
        </is>
      </c>
      <c r="G108" s="22" t="inlineStr">
        <is>
          <t>https://www.figma.com/design/gH2vQ62cfg4677YKWuOpLc/MoSJE-Portal--Handoff-?node-id=5986-53857</t>
        </is>
      </c>
      <c r="H108" s="22" t="inlineStr">
        <is>
          <t>https://nhapoa-admin-dev.mosje.in/district-officer/cases</t>
        </is>
      </c>
      <c r="I108" s="21" t="inlineStr">
        <is>
          <t>Open</t>
        </is>
      </c>
      <c r="J108" s="21" t="inlineStr"/>
      <c r="K108" s="21" t="inlineStr"/>
      <c r="L108" s="21" t="inlineStr">
        <is>
          <t>env: dev  ·  Portal-wide patterns on this screen are consolidated in the Global Findings section (each tagged Scope: Global).</t>
        </is>
      </c>
      <c r="M108" s="21" t="inlineStr">
        <is>
          <t>Screen</t>
        </is>
      </c>
    </row>
    <row r="109">
      <c r="A109" s="23" t="inlineStr">
        <is>
          <t>NHA-DO-CASES-004</t>
        </is>
      </c>
      <c r="B109" s="23" t="inlineStr">
        <is>
          <t>District Officer — My Cases</t>
        </is>
      </c>
      <c r="C109" s="23" t="inlineStr">
        <is>
          <t>Components &amp; States</t>
        </is>
      </c>
      <c r="D109" s="23" t="inlineStr">
        <is>
          <t>Nit</t>
        </is>
      </c>
      <c r="E109" s="23" t="inlineStr">
        <is>
          <t>Figma: See the Figma design frame ↗ (linked on the board) for the intended design.  →  Live: Pagination style must match the design (and isn't needed for a single page).</t>
        </is>
      </c>
      <c r="F109" s="23" t="inlineStr">
        <is>
          <t>Pagination style must match the design (and isn't needed for a single page).</t>
        </is>
      </c>
      <c r="G109" s="24" t="inlineStr">
        <is>
          <t>https://www.figma.com/design/gH2vQ62cfg4677YKWuOpLc/MoSJE-Portal--Handoff-?node-id=5986-53857</t>
        </is>
      </c>
      <c r="H109" s="24" t="inlineStr">
        <is>
          <t>https://nhapoa-admin-dev.mosje.in/district-officer/cases</t>
        </is>
      </c>
      <c r="I109" s="23" t="inlineStr">
        <is>
          <t>Open</t>
        </is>
      </c>
      <c r="J109" s="23" t="inlineStr"/>
      <c r="K109" s="23" t="inlineStr"/>
      <c r="L109" s="23" t="inlineStr">
        <is>
          <t>env: dev  ·  Portal-wide patterns on this screen are consolidated in the Global Findings section (each tagged Scope: Global).</t>
        </is>
      </c>
      <c r="M109" s="23" t="inlineStr">
        <is>
          <t>Screen</t>
        </is>
      </c>
    </row>
    <row r="110">
      <c r="A110" s="21" t="inlineStr">
        <is>
          <t>NHA-DO-INV-001</t>
        </is>
      </c>
      <c r="B110" s="21" t="inlineStr">
        <is>
          <t>District Officer — Investigation Queue</t>
        </is>
      </c>
      <c r="C110" s="21" t="inlineStr">
        <is>
          <t>Components &amp; States</t>
        </is>
      </c>
      <c r="D110" s="21" t="inlineStr">
        <is>
          <t>Minor</t>
        </is>
      </c>
      <c r="E110" s="21" t="inlineStr">
        <is>
          <t>Figma: See the Figma design frame ↗ (linked on the board) for the intended design.  →  Live: Investigation-queue list, status chips, table header and action-button styling should match the design.</t>
        </is>
      </c>
      <c r="F110" s="21" t="inlineStr">
        <is>
          <t>Investigation-queue list, status chips, table header and action-button styling should match the design.</t>
        </is>
      </c>
      <c r="G110" s="22" t="inlineStr">
        <is>
          <t>https://www.figma.com/design/gH2vQ62cfg4677YKWuOpLc/MoSJE-Portal--Handoff-?node-id=5986-55831</t>
        </is>
      </c>
      <c r="H110" s="22" t="inlineStr">
        <is>
          <t>https://nhapoa-admin-dev.mosje.in/district-officer/investigation</t>
        </is>
      </c>
      <c r="I110" s="21" t="inlineStr">
        <is>
          <t>Open</t>
        </is>
      </c>
      <c r="J110" s="21" t="inlineStr"/>
      <c r="K110" s="21" t="inlineStr"/>
      <c r="L110" s="21" t="inlineStr">
        <is>
          <t>env: dev  ·  Portal-wide patterns on this screen are consolidated in the Global Findings section (each tagged Scope: Global).</t>
        </is>
      </c>
      <c r="M110" s="21" t="inlineStr">
        <is>
          <t>Screen</t>
        </is>
      </c>
    </row>
    <row r="111">
      <c r="A111" s="23" t="inlineStr">
        <is>
          <t>NHA-DO-REP-001</t>
        </is>
      </c>
      <c r="B111" s="23" t="inlineStr">
        <is>
          <t>District Officer — My Reports</t>
        </is>
      </c>
      <c r="C111" s="23" t="inlineStr">
        <is>
          <t>Color &amp; Token</t>
        </is>
      </c>
      <c r="D111" s="23" t="inlineStr">
        <is>
          <t>Minor</t>
        </is>
      </c>
      <c r="E111" s="23" t="inlineStr">
        <is>
          <t>Figma: See the Figma design frame ↗ (linked on the board) for the intended design.  →  Live: Report cards, filter/generate controls and the export button should match the design's spacing and tokens.</t>
        </is>
      </c>
      <c r="F111" s="23" t="inlineStr">
        <is>
          <t>Report cards, filter/generate controls and the export button should match the design's spacing and tokens.</t>
        </is>
      </c>
      <c r="G111" s="24" t="inlineStr">
        <is>
          <t>https://www.figma.com/design/gH2vQ62cfg4677YKWuOpLc/MoSJE-Portal--Handoff-?node-id=5986-55911</t>
        </is>
      </c>
      <c r="H111" s="24" t="inlineStr">
        <is>
          <t>https://nhapoa-admin-dev.mosje.in/district-officer/reports</t>
        </is>
      </c>
      <c r="I111" s="23" t="inlineStr">
        <is>
          <t>Open</t>
        </is>
      </c>
      <c r="J111" s="23" t="inlineStr"/>
      <c r="K111" s="23" t="inlineStr"/>
      <c r="L111" s="23" t="inlineStr">
        <is>
          <t>env: dev  ·  Portal-wide patterns on this screen are consolidated in the Global Findings section (each tagged Scope: Global).</t>
        </is>
      </c>
      <c r="M111" s="23" t="inlineStr">
        <is>
          <t>Screen</t>
        </is>
      </c>
    </row>
    <row r="112">
      <c r="A112" s="21" t="inlineStr">
        <is>
          <t>NHA-SA-DASH-001</t>
        </is>
      </c>
      <c r="B112" s="21" t="inlineStr">
        <is>
          <t>State Authority — Dashboard</t>
        </is>
      </c>
      <c r="C112" s="21" t="inlineStr">
        <is>
          <t>Typography</t>
        </is>
      </c>
      <c r="D112" s="21" t="inlineStr">
        <is>
          <t>Minor</t>
        </is>
      </c>
      <c r="E112" s="21" t="inlineStr">
        <is>
          <t>Figma: See the Figma design frame ↗ (linked on the board) for the intended design.  →  Live: KPI cards ('SLA Compliance Rate', 'Sent Back') lose their accent/status styling.</t>
        </is>
      </c>
      <c r="F112" s="21" t="inlineStr">
        <is>
          <t>KPI cards ('SLA Compliance Rate', 'Sent Back') lose their accent/status styling.</t>
        </is>
      </c>
      <c r="G112" s="22" t="inlineStr">
        <is>
          <t>https://www.figma.com/design/gH2vQ62cfg4677YKWuOpLc/MoSJE-Portal--Handoff-?node-id=5986-56262</t>
        </is>
      </c>
      <c r="H112" s="22" t="inlineStr">
        <is>
          <t>https://nhapoa-admin-dev.mosje.in/state-authority/dashboard</t>
        </is>
      </c>
      <c r="I112" s="21" t="inlineStr">
        <is>
          <t>Open</t>
        </is>
      </c>
      <c r="J112" s="21" t="inlineStr"/>
      <c r="K112" s="21" t="inlineStr"/>
      <c r="L112" s="21" t="inlineStr">
        <is>
          <t>env: dev  ·  Portal-wide patterns on this screen are consolidated in the Global Findings section (each tagged Scope: Global).</t>
        </is>
      </c>
      <c r="M112" s="21" t="inlineStr">
        <is>
          <t>Screen</t>
        </is>
      </c>
    </row>
    <row r="113">
      <c r="A113" s="23" t="inlineStr">
        <is>
          <t>NHA-SA-DASH-002</t>
        </is>
      </c>
      <c r="B113" s="23" t="inlineStr">
        <is>
          <t>State Authority — Dashboard</t>
        </is>
      </c>
      <c r="C113" s="23" t="inlineStr">
        <is>
          <t>Color &amp; Token</t>
        </is>
      </c>
      <c r="D113" s="23" t="inlineStr">
        <is>
          <t>Minor</t>
        </is>
      </c>
      <c r="E113" s="23" t="inlineStr">
        <is>
          <t>Figma: See the Figma design frame ↗ (linked on the board) for the intended design.  →  Live: Decision-Trend and Case-Status charts use ad-hoc/muted colours instead of the design's status tokens.</t>
        </is>
      </c>
      <c r="F113" s="23" t="inlineStr">
        <is>
          <t>Decision-Trend and Case-Status charts use ad-hoc/muted colours instead of the design's status tokens.</t>
        </is>
      </c>
      <c r="G113" s="24" t="inlineStr">
        <is>
          <t>https://www.figma.com/design/gH2vQ62cfg4677YKWuOpLc/MoSJE-Portal--Handoff-?node-id=5986-56262</t>
        </is>
      </c>
      <c r="H113" s="24" t="inlineStr">
        <is>
          <t>https://nhapoa-admin-dev.mosje.in/state-authority/dashboard</t>
        </is>
      </c>
      <c r="I113" s="23" t="inlineStr">
        <is>
          <t>Open</t>
        </is>
      </c>
      <c r="J113" s="23" t="inlineStr"/>
      <c r="K113" s="23" t="inlineStr"/>
      <c r="L113" s="23" t="inlineStr">
        <is>
          <t>env: dev  ·  Portal-wide patterns on this screen are consolidated in the Global Findings section (each tagged Scope: Global).</t>
        </is>
      </c>
      <c r="M113" s="23" t="inlineStr">
        <is>
          <t>Screen</t>
        </is>
      </c>
    </row>
    <row r="114">
      <c r="A114" s="21" t="inlineStr">
        <is>
          <t>NHA-SA-DASH-003</t>
        </is>
      </c>
      <c r="B114" s="21" t="inlineStr">
        <is>
          <t>State Authority — Dashboard</t>
        </is>
      </c>
      <c r="C114" s="21" t="inlineStr">
        <is>
          <t>Components &amp; States</t>
        </is>
      </c>
      <c r="D114" s="21" t="inlineStr">
        <is>
          <t>Minor</t>
        </is>
      </c>
      <c r="E114" s="21" t="inlineStr">
        <is>
          <t>Figma: See the Figma design frame ↗ (linked on the board) for the intended design.  →  Live: Priority-Pending status chips (SLA Breached / days-left) don't match the design.</t>
        </is>
      </c>
      <c r="F114" s="21" t="inlineStr">
        <is>
          <t>Priority-Pending status chips (SLA Breached / days-left) don't match the design.</t>
        </is>
      </c>
      <c r="G114" s="22" t="inlineStr">
        <is>
          <t>https://www.figma.com/design/gH2vQ62cfg4677YKWuOpLc/MoSJE-Portal--Handoff-?node-id=5986-56262</t>
        </is>
      </c>
      <c r="H114" s="22" t="inlineStr">
        <is>
          <t>https://nhapoa-admin-dev.mosje.in/state-authority/dashboard</t>
        </is>
      </c>
      <c r="I114" s="21" t="inlineStr">
        <is>
          <t>Open</t>
        </is>
      </c>
      <c r="J114" s="21" t="inlineStr"/>
      <c r="K114" s="21" t="inlineStr"/>
      <c r="L114" s="21" t="inlineStr">
        <is>
          <t>env: dev  ·  Portal-wide patterns on this screen are consolidated in the Global Findings section (each tagged Scope: Global).</t>
        </is>
      </c>
      <c r="M114" s="21" t="inlineStr">
        <is>
          <t>Screen</t>
        </is>
      </c>
    </row>
    <row r="115">
      <c r="A115" s="23" t="inlineStr">
        <is>
          <t>NHA-SA-PENDING-001</t>
        </is>
      </c>
      <c r="B115" s="23" t="inlineStr">
        <is>
          <t>State Authority — Pending Approvals</t>
        </is>
      </c>
      <c r="C115" s="23" t="inlineStr">
        <is>
          <t>Color &amp; Token</t>
        </is>
      </c>
      <c r="D115" s="23" t="inlineStr">
        <is>
          <t>Minor</t>
        </is>
      </c>
      <c r="E115" s="23" t="inlineStr">
        <is>
          <t>Figma: See the Figma design frame ↗ (linked on the board) for the intended design.  →  Live: Filter tabs (All / Urgent / New) + SLA pills should match the design's chip/token styles.</t>
        </is>
      </c>
      <c r="F115" s="23" t="inlineStr">
        <is>
          <t>Filter tabs (All / Urgent / New) + SLA pills should match the design's chip/token styles.</t>
        </is>
      </c>
      <c r="G115" s="24" t="inlineStr">
        <is>
          <t>https://www.figma.com/design/gH2vQ62cfg4677YKWuOpLc/MoSJE-Portal--Handoff-?node-id=5986-56392</t>
        </is>
      </c>
      <c r="H115" s="24" t="inlineStr">
        <is>
          <t>https://nhapoa-admin-dev.mosje.in/state-authority/pending-approvals</t>
        </is>
      </c>
      <c r="I115" s="23" t="inlineStr">
        <is>
          <t>Open</t>
        </is>
      </c>
      <c r="J115" s="23" t="inlineStr"/>
      <c r="K115" s="23" t="inlineStr"/>
      <c r="L115" s="23" t="inlineStr">
        <is>
          <t>env: dev  ·  Portal-wide patterns on this screen are consolidated in the Global Findings section (each tagged Scope: Global). Some list rows / sub-states couldn't be verified on this dev build (no seeded data).</t>
        </is>
      </c>
      <c r="M115" s="23" t="inlineStr">
        <is>
          <t>Screen</t>
        </is>
      </c>
    </row>
    <row r="116">
      <c r="A116" s="21" t="inlineStr">
        <is>
          <t>NHA-SA-PENDING-002</t>
        </is>
      </c>
      <c r="B116" s="21" t="inlineStr">
        <is>
          <t>State Authority — Pending Approvals</t>
        </is>
      </c>
      <c r="C116" s="21" t="inlineStr">
        <is>
          <t>Typography</t>
        </is>
      </c>
      <c r="D116" s="21" t="inlineStr">
        <is>
          <t>Minor</t>
        </is>
      </c>
      <c r="E116" s="21" t="inlineStr">
        <is>
          <t>Figma: See the Figma design frame ↗ (linked on the board) for the intended design.  →  Live: Table header + row typography/spacing should match the design's list style.</t>
        </is>
      </c>
      <c r="F116" s="21" t="inlineStr">
        <is>
          <t>Table header + row typography/spacing should match the design's list style.</t>
        </is>
      </c>
      <c r="G116" s="22" t="inlineStr">
        <is>
          <t>https://www.figma.com/design/gH2vQ62cfg4677YKWuOpLc/MoSJE-Portal--Handoff-?node-id=5986-56392</t>
        </is>
      </c>
      <c r="H116" s="22" t="inlineStr">
        <is>
          <t>https://nhapoa-admin-dev.mosje.in/state-authority/pending-approvals</t>
        </is>
      </c>
      <c r="I116" s="21" t="inlineStr">
        <is>
          <t>Open</t>
        </is>
      </c>
      <c r="J116" s="21" t="inlineStr"/>
      <c r="K116" s="21" t="inlineStr"/>
      <c r="L116" s="21" t="inlineStr">
        <is>
          <t>env: dev  ·  Portal-wide patterns on this screen are consolidated in the Global Findings section (each tagged Scope: Global). Some list rows / sub-states couldn't be verified on this dev build (no seeded data).</t>
        </is>
      </c>
      <c r="M116" s="21" t="inlineStr">
        <is>
          <t>Screen</t>
        </is>
      </c>
    </row>
    <row r="117">
      <c r="A117" s="23" t="inlineStr">
        <is>
          <t>NHA-SA-PENDING-003</t>
        </is>
      </c>
      <c r="B117" s="23" t="inlineStr">
        <is>
          <t>State Authority — Pending Approvals</t>
        </is>
      </c>
      <c r="C117" s="23" t="inlineStr">
        <is>
          <t>Components &amp; States</t>
        </is>
      </c>
      <c r="D117" s="23" t="inlineStr">
        <is>
          <t>Minor</t>
        </is>
      </c>
      <c r="E117" s="23" t="inlineStr">
        <is>
          <t>Figma: See the Figma design frame ↗ (linked on the board) for the intended design.  →  Live: 'Review' action-button style should match the design.</t>
        </is>
      </c>
      <c r="F117" s="23" t="inlineStr">
        <is>
          <t>'Review' action-button style should match the design.</t>
        </is>
      </c>
      <c r="G117" s="24" t="inlineStr">
        <is>
          <t>https://www.figma.com/design/gH2vQ62cfg4677YKWuOpLc/MoSJE-Portal--Handoff-?node-id=5986-56392</t>
        </is>
      </c>
      <c r="H117" s="24" t="inlineStr">
        <is>
          <t>https://nhapoa-admin-dev.mosje.in/state-authority/pending-approvals</t>
        </is>
      </c>
      <c r="I117" s="23" t="inlineStr">
        <is>
          <t>Open</t>
        </is>
      </c>
      <c r="J117" s="23" t="inlineStr"/>
      <c r="K117" s="23" t="inlineStr"/>
      <c r="L117" s="23" t="inlineStr">
        <is>
          <t>env: dev  ·  Portal-wide patterns on this screen are consolidated in the Global Findings section (each tagged Scope: Global). Some list rows / sub-states couldn't be verified on this dev build (no seeded data).</t>
        </is>
      </c>
      <c r="M117" s="23" t="inlineStr">
        <is>
          <t>Screen</t>
        </is>
      </c>
    </row>
    <row r="118">
      <c r="A118" s="21" t="inlineStr">
        <is>
          <t>NHA-SA-APPROVED-001</t>
        </is>
      </c>
      <c r="B118" s="21" t="inlineStr">
        <is>
          <t>State Authority — Approved Cases</t>
        </is>
      </c>
      <c r="C118" s="21" t="inlineStr">
        <is>
          <t>Components &amp; States</t>
        </is>
      </c>
      <c r="D118" s="21" t="inlineStr">
        <is>
          <t>Minor</t>
        </is>
      </c>
      <c r="E118" s="21" t="inlineStr">
        <is>
          <t>Figma: See the Figma design frame ↗ (linked on the board) for the intended design.  →  Live: Approved-case list + status/badge styling and the case-detail link should match the design.</t>
        </is>
      </c>
      <c r="F118" s="21" t="inlineStr">
        <is>
          <t>Approved-case list + status/badge styling and the case-detail link should match the design.</t>
        </is>
      </c>
      <c r="G118" s="22" t="inlineStr">
        <is>
          <t>https://www.figma.com/design/gH2vQ62cfg4677YKWuOpLc/MoSJE-Portal--Handoff-?node-id=5986-57102</t>
        </is>
      </c>
      <c r="H118" s="22" t="inlineStr">
        <is>
          <t>https://nhapoa-admin-dev.mosje.in/state-authority/approved-cases</t>
        </is>
      </c>
      <c r="I118" s="21" t="inlineStr">
        <is>
          <t>Open</t>
        </is>
      </c>
      <c r="J118" s="21" t="inlineStr"/>
      <c r="K118" s="21" t="inlineStr"/>
      <c r="L118" s="21" t="inlineStr">
        <is>
          <t>env: dev  ·  Portal-wide patterns on this screen are consolidated in the Global Findings section (each tagged Scope: Global).</t>
        </is>
      </c>
      <c r="M118" s="21" t="inlineStr">
        <is>
          <t>Screen</t>
        </is>
      </c>
    </row>
    <row r="119">
      <c r="A119" s="23" t="inlineStr">
        <is>
          <t>NHA-SA-SENTBACK-001</t>
        </is>
      </c>
      <c r="B119" s="23" t="inlineStr">
        <is>
          <t>State Authority — Sent Back Cases</t>
        </is>
      </c>
      <c r="C119" s="23" t="inlineStr">
        <is>
          <t>Components &amp; States</t>
        </is>
      </c>
      <c r="D119" s="23" t="inlineStr">
        <is>
          <t>Minor</t>
        </is>
      </c>
      <c r="E119" s="23" t="inlineStr">
        <is>
          <t>Figma: See the Figma design frame ↗ (linked on the board) for the intended design.  →  Live: Sent-back list + reason/return styling and status chips should match the design.</t>
        </is>
      </c>
      <c r="F119" s="23" t="inlineStr">
        <is>
          <t>Sent-back list + reason/return styling and status chips should match the design.</t>
        </is>
      </c>
      <c r="G119" s="24" t="inlineStr">
        <is>
          <t>https://www.figma.com/design/gH2vQ62cfg4677YKWuOpLc/MoSJE-Portal--Handoff-?node-id=5986-57396</t>
        </is>
      </c>
      <c r="H119" s="24" t="inlineStr">
        <is>
          <t>https://nhapoa-admin-dev.mosje.in/state-authority/sent-back</t>
        </is>
      </c>
      <c r="I119" s="23" t="inlineStr">
        <is>
          <t>Open</t>
        </is>
      </c>
      <c r="J119" s="23" t="inlineStr"/>
      <c r="K119" s="23" t="inlineStr"/>
      <c r="L119" s="23" t="inlineStr">
        <is>
          <t>env: dev  ·  Portal-wide patterns on this screen are consolidated in the Global Findings section (each tagged Scope: Global).</t>
        </is>
      </c>
      <c r="M119" s="23" t="inlineStr">
        <is>
          <t>Screen</t>
        </is>
      </c>
    </row>
    <row r="120">
      <c r="A120" s="21" t="inlineStr">
        <is>
          <t>NHA-SA-REPORTS-001</t>
        </is>
      </c>
      <c r="B120" s="21" t="inlineStr">
        <is>
          <t>State Authority — State Reports</t>
        </is>
      </c>
      <c r="C120" s="21" t="inlineStr">
        <is>
          <t>Color &amp; Token</t>
        </is>
      </c>
      <c r="D120" s="21" t="inlineStr">
        <is>
          <t>Minor</t>
        </is>
      </c>
      <c r="E120" s="21" t="inlineStr">
        <is>
          <t>Figma: See the Figma design frame ↗ (linked on the board) for the intended design.  →  Live: Report cards, filters and the export button should match the design's spacing + tokens.</t>
        </is>
      </c>
      <c r="F120" s="21" t="inlineStr">
        <is>
          <t>Report cards, filters and the export button should match the design's spacing + tokens.</t>
        </is>
      </c>
      <c r="G120" s="22" t="inlineStr">
        <is>
          <t>https://www.figma.com/design/gH2vQ62cfg4677YKWuOpLc/MoSJE-Portal--Handoff-?node-id=5986-57731</t>
        </is>
      </c>
      <c r="H120" s="22" t="inlineStr">
        <is>
          <t>https://nhapoa-admin-dev.mosje.in/state-authority/reports</t>
        </is>
      </c>
      <c r="I120" s="21" t="inlineStr">
        <is>
          <t>Open</t>
        </is>
      </c>
      <c r="J120" s="21" t="inlineStr"/>
      <c r="K120" s="21" t="inlineStr"/>
      <c r="L120" s="21" t="inlineStr">
        <is>
          <t>env: dev  ·  Portal-wide patterns on this screen are consolidated in the Global Findings section (each tagged Scope: Global).</t>
        </is>
      </c>
      <c r="M120" s="21" t="inlineStr">
        <is>
          <t>Screen</t>
        </is>
      </c>
    </row>
    <row r="121">
      <c r="A121" s="23" t="inlineStr">
        <is>
          <t>NHA-FO-DASH-001</t>
        </is>
      </c>
      <c r="B121" s="23" t="inlineStr">
        <is>
          <t>Finance Officer — Dashboard</t>
        </is>
      </c>
      <c r="C121" s="23" t="inlineStr">
        <is>
          <t>Color &amp; Token</t>
        </is>
      </c>
      <c r="D121" s="23" t="inlineStr">
        <is>
          <t>Minor</t>
        </is>
      </c>
      <c r="E121" s="23" t="inlineStr">
        <is>
          <t>Figma: See the Figma design frame ↗ (linked on the board) for the intended design.  →  Live: KPI / summary cards and their status accents should match the design's tokens.</t>
        </is>
      </c>
      <c r="F121" s="23" t="inlineStr">
        <is>
          <t>KPI / summary cards and their status accents should match the design's tokens.</t>
        </is>
      </c>
      <c r="G121" s="24" t="inlineStr">
        <is>
          <t>https://www.figma.com/design/gH2vQ62cfg4677YKWuOpLc/MoSJE-Portal--Handoff-?node-id=5986-58064</t>
        </is>
      </c>
      <c r="H121" s="24" t="inlineStr">
        <is>
          <t>https://nhapoa-admin-dev.mosje.in/finance-officer/dashboard</t>
        </is>
      </c>
      <c r="I121" s="23" t="inlineStr">
        <is>
          <t>Open</t>
        </is>
      </c>
      <c r="J121" s="23" t="inlineStr"/>
      <c r="K121" s="23" t="inlineStr"/>
      <c r="L121" s="23" t="inlineStr">
        <is>
          <t>env: dev  ·  Portal-wide patterns on this screen are consolidated in the Global Findings section (each tagged Scope: Global).</t>
        </is>
      </c>
      <c r="M121" s="23" t="inlineStr">
        <is>
          <t>Screen</t>
        </is>
      </c>
    </row>
    <row r="122">
      <c r="A122" s="21" t="inlineStr">
        <is>
          <t>NHA-FO-DASH-002</t>
        </is>
      </c>
      <c r="B122" s="21" t="inlineStr">
        <is>
          <t>Finance Officer — Dashboard</t>
        </is>
      </c>
      <c r="C122" s="21" t="inlineStr">
        <is>
          <t>Color &amp; Token</t>
        </is>
      </c>
      <c r="D122" s="21" t="inlineStr">
        <is>
          <t>Minor</t>
        </is>
      </c>
      <c r="E122" s="21" t="inlineStr">
        <is>
          <t>Figma: See the Figma design frame ↗ (linked on the board) for the intended design.  →  Live: Charts should use the design's status-token palette; KPI figures on the type scale.</t>
        </is>
      </c>
      <c r="F122" s="21" t="inlineStr">
        <is>
          <t>Charts should use the design's status-token palette; KPI figures on the type scale.</t>
        </is>
      </c>
      <c r="G122" s="22" t="inlineStr">
        <is>
          <t>https://www.figma.com/design/gH2vQ62cfg4677YKWuOpLc/MoSJE-Portal--Handoff-?node-id=5986-58064</t>
        </is>
      </c>
      <c r="H122" s="22" t="inlineStr">
        <is>
          <t>https://nhapoa-admin-dev.mosje.in/finance-officer/dashboard</t>
        </is>
      </c>
      <c r="I122" s="21" t="inlineStr">
        <is>
          <t>Open</t>
        </is>
      </c>
      <c r="J122" s="21" t="inlineStr"/>
      <c r="K122" s="21" t="inlineStr"/>
      <c r="L122" s="21" t="inlineStr">
        <is>
          <t>env: dev  ·  Portal-wide patterns on this screen are consolidated in the Global Findings section (each tagged Scope: Global).</t>
        </is>
      </c>
      <c r="M122" s="21" t="inlineStr">
        <is>
          <t>Screen</t>
        </is>
      </c>
    </row>
    <row r="123">
      <c r="A123" s="23" t="inlineStr">
        <is>
          <t>NHA-FO-QUEUE-001</t>
        </is>
      </c>
      <c r="B123" s="23" t="inlineStr">
        <is>
          <t>Finance Officer — Approved Cases Queue</t>
        </is>
      </c>
      <c r="C123" s="23" t="inlineStr">
        <is>
          <t>Color &amp; Token</t>
        </is>
      </c>
      <c r="D123" s="23" t="inlineStr">
        <is>
          <t>Minor</t>
        </is>
      </c>
      <c r="E123" s="23" t="inlineStr">
        <is>
          <t>Figma: See the Figma design frame ↗ (linked on the board) for the intended design.  →  Live: Status pills (Ready / On Hold) should match the design's status-token colours; the 'Why On Hold?' action styling should match.</t>
        </is>
      </c>
      <c r="F123" s="23" t="inlineStr">
        <is>
          <t>Status pills (Ready / On Hold) should match the design's status-token colours; the 'Why On Hold?' action styling should match.</t>
        </is>
      </c>
      <c r="G123" s="24" t="inlineStr">
        <is>
          <t>https://www.figma.com/design/gH2vQ62cfg4677YKWuOpLc/MoSJE-Portal--Handoff-?node-id=5986-58179</t>
        </is>
      </c>
      <c r="H123" s="24" t="inlineStr">
        <is>
          <t>https://nhapoa-admin-dev.mosje.in/finance-officer/queue</t>
        </is>
      </c>
      <c r="I123" s="23" t="inlineStr">
        <is>
          <t>Open</t>
        </is>
      </c>
      <c r="J123" s="23" t="inlineStr"/>
      <c r="K123" s="23" t="inlineStr"/>
      <c r="L123" s="23" t="inlineStr">
        <is>
          <t>env: dev</t>
        </is>
      </c>
      <c r="M123" s="23" t="inlineStr">
        <is>
          <t>Screen</t>
        </is>
      </c>
    </row>
    <row r="124">
      <c r="A124" s="21" t="inlineStr">
        <is>
          <t>NHA-FO-QUEUE-002</t>
        </is>
      </c>
      <c r="B124" s="21" t="inlineStr">
        <is>
          <t>Finance Officer — Approved Cases Queue</t>
        </is>
      </c>
      <c r="C124" s="21" t="inlineStr">
        <is>
          <t>Typography</t>
        </is>
      </c>
      <c r="D124" s="21" t="inlineStr">
        <is>
          <t>Minor</t>
        </is>
      </c>
      <c r="E124" s="21" t="inlineStr">
        <is>
          <t>Figma: See the Figma design frame ↗ (linked on the board) for the intended design.  →  Live: Sanction-Amount column formatting + table header/row typography should match the design.</t>
        </is>
      </c>
      <c r="F124" s="21" t="inlineStr">
        <is>
          <t>Sanction-Amount column formatting + table header/row typography should match the design.</t>
        </is>
      </c>
      <c r="G124" s="22" t="inlineStr">
        <is>
          <t>https://www.figma.com/design/gH2vQ62cfg4677YKWuOpLc/MoSJE-Portal--Handoff-?node-id=5986-58179</t>
        </is>
      </c>
      <c r="H124" s="22" t="inlineStr">
        <is>
          <t>https://nhapoa-admin-dev.mosje.in/finance-officer/queue</t>
        </is>
      </c>
      <c r="I124" s="21" t="inlineStr">
        <is>
          <t>Open</t>
        </is>
      </c>
      <c r="J124" s="21" t="inlineStr"/>
      <c r="K124" s="21" t="inlineStr"/>
      <c r="L124" s="21" t="inlineStr">
        <is>
          <t>env: dev</t>
        </is>
      </c>
      <c r="M124" s="21" t="inlineStr">
        <is>
          <t>Screen</t>
        </is>
      </c>
    </row>
    <row r="125">
      <c r="A125" s="23" t="inlineStr">
        <is>
          <t>NHA-FO-QUEUE-003</t>
        </is>
      </c>
      <c r="B125" s="23" t="inlineStr">
        <is>
          <t>Finance Officer — Approved Cases Queue</t>
        </is>
      </c>
      <c r="C125" s="23" t="inlineStr">
        <is>
          <t>Components &amp; States</t>
        </is>
      </c>
      <c r="D125" s="23" t="inlineStr">
        <is>
          <t>Minor</t>
        </is>
      </c>
      <c r="E125" s="23" t="inlineStr">
        <is>
          <t>Figma: See the Figma design frame ↗ (linked on the board) for the intended design.  →  Live: 'Process' action-button style should match the design.</t>
        </is>
      </c>
      <c r="F125" s="23" t="inlineStr">
        <is>
          <t>'Process' action-button style should match the design.</t>
        </is>
      </c>
      <c r="G125" s="24" t="inlineStr">
        <is>
          <t>https://www.figma.com/design/gH2vQ62cfg4677YKWuOpLc/MoSJE-Portal--Handoff-?node-id=5986-58179</t>
        </is>
      </c>
      <c r="H125" s="24" t="inlineStr">
        <is>
          <t>https://nhapoa-admin-dev.mosje.in/finance-officer/queue</t>
        </is>
      </c>
      <c r="I125" s="23" t="inlineStr">
        <is>
          <t>Open</t>
        </is>
      </c>
      <c r="J125" s="23" t="inlineStr"/>
      <c r="K125" s="23" t="inlineStr"/>
      <c r="L125" s="23" t="inlineStr">
        <is>
          <t>env: dev</t>
        </is>
      </c>
      <c r="M125" s="23" t="inlineStr">
        <is>
          <t>Screen</t>
        </is>
      </c>
    </row>
    <row r="126">
      <c r="A126" s="21" t="inlineStr">
        <is>
          <t>NHA-FO-QUEUE-004</t>
        </is>
      </c>
      <c r="B126" s="21" t="inlineStr">
        <is>
          <t>Finance Officer — Approved Cases Queue</t>
        </is>
      </c>
      <c r="C126" s="21" t="inlineStr">
        <is>
          <t>Components &amp; States</t>
        </is>
      </c>
      <c r="D126" s="21" t="inlineStr">
        <is>
          <t>Minor</t>
        </is>
      </c>
      <c r="E126" s="21" t="inlineStr">
        <is>
          <t>Figma: See the Figma design frame ↗ (linked on the board) for the intended design.  →  Live: Filter tabs (All / Ready / On Hold) with counts + numbered pagination + rows-per-page selector per the design.</t>
        </is>
      </c>
      <c r="F126" s="21" t="inlineStr">
        <is>
          <t>Filter tabs (All / Ready / On Hold) with counts + numbered pagination + rows-per-page selector per the design.</t>
        </is>
      </c>
      <c r="G126" s="22" t="inlineStr">
        <is>
          <t>https://www.figma.com/design/gH2vQ62cfg4677YKWuOpLc/MoSJE-Portal--Handoff-?node-id=5986-58179</t>
        </is>
      </c>
      <c r="H126" s="22" t="inlineStr">
        <is>
          <t>https://nhapoa-admin-dev.mosje.in/finance-officer/queue</t>
        </is>
      </c>
      <c r="I126" s="21" t="inlineStr">
        <is>
          <t>Open</t>
        </is>
      </c>
      <c r="J126" s="21" t="inlineStr"/>
      <c r="K126" s="21" t="inlineStr"/>
      <c r="L126" s="21" t="inlineStr">
        <is>
          <t>env: dev</t>
        </is>
      </c>
      <c r="M126" s="21" t="inlineStr">
        <is>
          <t>Screen</t>
        </is>
      </c>
    </row>
    <row r="127">
      <c r="A127" s="23" t="inlineStr">
        <is>
          <t>NHA-FO-TRANSACTIONS-001</t>
        </is>
      </c>
      <c r="B127" s="23" t="inlineStr">
        <is>
          <t>Finance Officer — Transaction Log</t>
        </is>
      </c>
      <c r="C127" s="23" t="inlineStr">
        <is>
          <t>Components &amp; States</t>
        </is>
      </c>
      <c r="D127" s="23" t="inlineStr">
        <is>
          <t>Minor</t>
        </is>
      </c>
      <c r="E127" s="23" t="inlineStr">
        <is>
          <t>Figma: See the Figma design frame ↗ (linked on the board) for the intended design.  →  Live: Transaction-log list, status/amount styling and table header should match the design.</t>
        </is>
      </c>
      <c r="F127" s="23" t="inlineStr">
        <is>
          <t>Transaction-log list, status/amount styling and table header should match the design.</t>
        </is>
      </c>
      <c r="G127" s="24" t="inlineStr">
        <is>
          <t>https://www.figma.com/design/gH2vQ62cfg4677YKWuOpLc/MoSJE-Portal--Handoff-?node-id=5986-58801</t>
        </is>
      </c>
      <c r="H127" s="24" t="inlineStr">
        <is>
          <t>https://nhapoa-admin-dev.mosje.in/finance-officer/transactions</t>
        </is>
      </c>
      <c r="I127" s="23" t="inlineStr">
        <is>
          <t>Open</t>
        </is>
      </c>
      <c r="J127" s="23" t="inlineStr"/>
      <c r="K127" s="23" t="inlineStr"/>
      <c r="L127" s="23" t="inlineStr">
        <is>
          <t>env: dev  ·  Portal-wide patterns on this screen are consolidated in the Global Findings section (each tagged Scope: Global).</t>
        </is>
      </c>
      <c r="M127" s="23" t="inlineStr">
        <is>
          <t>Screen</t>
        </is>
      </c>
    </row>
    <row r="128">
      <c r="A128" s="21" t="inlineStr">
        <is>
          <t>NHA-FO-UTILISATION-001</t>
        </is>
      </c>
      <c r="B128" s="21" t="inlineStr">
        <is>
          <t>Finance Officer — Fund Utilisation</t>
        </is>
      </c>
      <c r="C128" s="21" t="inlineStr">
        <is>
          <t>Color &amp; Token</t>
        </is>
      </c>
      <c r="D128" s="21" t="inlineStr">
        <is>
          <t>Minor</t>
        </is>
      </c>
      <c r="E128" s="21" t="inlineStr">
        <is>
          <t>Figma: See the Figma design frame ↗ (linked on the board) for the intended design.  →  Live: Fund-utilisation charts should use the design's status-token palette (not ad-hoc hues); KPI figures on the type scale; card spacing per the design.</t>
        </is>
      </c>
      <c r="F128" s="21" t="inlineStr">
        <is>
          <t>Fund-utilisation charts should use the design's status-token palette (not ad-hoc hues); KPI figures on the type scale; card spacing per the design.</t>
        </is>
      </c>
      <c r="G128" s="22" t="inlineStr">
        <is>
          <t>https://www.figma.com/design/gH2vQ62cfg4677YKWuOpLc/MoSJE-Portal--Handoff-?node-id=5986-58996</t>
        </is>
      </c>
      <c r="H128" s="22" t="inlineStr">
        <is>
          <t>https://nhapoa-admin-dev.mosje.in/finance-officer/utilisation</t>
        </is>
      </c>
      <c r="I128" s="21" t="inlineStr">
        <is>
          <t>Open</t>
        </is>
      </c>
      <c r="J128" s="21" t="inlineStr"/>
      <c r="K128" s="21" t="inlineStr"/>
      <c r="L128" s="21" t="inlineStr">
        <is>
          <t>env: dev  ·  Portal-wide patterns on this screen are consolidated in the Global Findings section (each tagged Scope: Global).</t>
        </is>
      </c>
      <c r="M128" s="21" t="inlineStr">
        <is>
          <t>Screen</t>
        </is>
      </c>
    </row>
    <row r="129">
      <c r="A129" s="23" t="inlineStr">
        <is>
          <t>NHA-CA-DASH-001</t>
        </is>
      </c>
      <c r="B129" s="23" t="inlineStr">
        <is>
          <t>Central Authority — Dashboard</t>
        </is>
      </c>
      <c r="C129" s="23" t="inlineStr">
        <is>
          <t>Color &amp; Token</t>
        </is>
      </c>
      <c r="D129" s="23" t="inlineStr">
        <is>
          <t>Minor</t>
        </is>
      </c>
      <c r="E129" s="23" t="inlineStr">
        <is>
          <t>Figma: See the Figma design frame ↗ (linked on the board) for the intended design.  →  Live: Dashboard charts (Monthly Submission Trend, Top-5 States) should use the design's chart palette (the design highlights the peak bar in the primary navy).</t>
        </is>
      </c>
      <c r="F129" s="23" t="inlineStr">
        <is>
          <t>Dashboard charts (Monthly Submission Trend, Top-5 States) should use the design's chart palette (the design highlights the peak bar in the primary navy).</t>
        </is>
      </c>
      <c r="G129" s="24" t="inlineStr">
        <is>
          <t>https://www.figma.com/design/gH2vQ62cfg4677YKWuOpLc/MoSJE-Portal--Handoff-?node-id=5986-62103</t>
        </is>
      </c>
      <c r="H129" s="24" t="inlineStr">
        <is>
          <t>https://nhapoa-admin-dev.mosje.in/central-authority/dashboard</t>
        </is>
      </c>
      <c r="I129" s="23" t="inlineStr">
        <is>
          <t>Open</t>
        </is>
      </c>
      <c r="J129" s="23" t="inlineStr"/>
      <c r="K129" s="23" t="inlineStr"/>
      <c r="L129" s="23" t="inlineStr">
        <is>
          <t>env: dev  ·  Portal-wide patterns on this screen are consolidated in the Global Findings section (each tagged Scope: Global).</t>
        </is>
      </c>
      <c r="M129" s="23" t="inlineStr">
        <is>
          <t>Screen</t>
        </is>
      </c>
    </row>
    <row r="130">
      <c r="A130" s="21" t="inlineStr">
        <is>
          <t>NHA-CA-DASH-002</t>
        </is>
      </c>
      <c r="B130" s="21" t="inlineStr">
        <is>
          <t>Central Authority — Dashboard</t>
        </is>
      </c>
      <c r="C130" s="21" t="inlineStr">
        <is>
          <t>Color &amp; Token</t>
        </is>
      </c>
      <c r="D130" s="21" t="inlineStr">
        <is>
          <t>Minor</t>
        </is>
      </c>
      <c r="E130" s="21" t="inlineStr">
        <is>
          <t>Figma: See the Figma design frame ↗ (linked on the board) for the intended design.  →  Live: KPI figures + progress meters should sit on the design's type scale and status tokens.</t>
        </is>
      </c>
      <c r="F130" s="21" t="inlineStr">
        <is>
          <t>KPI figures + progress meters should sit on the design's type scale and status tokens.</t>
        </is>
      </c>
      <c r="G130" s="22" t="inlineStr">
        <is>
          <t>https://www.figma.com/design/gH2vQ62cfg4677YKWuOpLc/MoSJE-Portal--Handoff-?node-id=5986-62103</t>
        </is>
      </c>
      <c r="H130" s="22" t="inlineStr">
        <is>
          <t>https://nhapoa-admin-dev.mosje.in/central-authority/dashboard</t>
        </is>
      </c>
      <c r="I130" s="21" t="inlineStr">
        <is>
          <t>Open</t>
        </is>
      </c>
      <c r="J130" s="21" t="inlineStr"/>
      <c r="K130" s="21" t="inlineStr"/>
      <c r="L130" s="21" t="inlineStr">
        <is>
          <t>env: dev  ·  Portal-wide patterns on this screen are consolidated in the Global Findings section (each tagged Scope: Global).</t>
        </is>
      </c>
      <c r="M130" s="21" t="inlineStr">
        <is>
          <t>Screen</t>
        </is>
      </c>
    </row>
    <row r="131">
      <c r="A131" s="23" t="inlineStr">
        <is>
          <t>NHA-CA-FUND-001</t>
        </is>
      </c>
      <c r="B131" s="23" t="inlineStr">
        <is>
          <t>Central Authority — Fund Allocation</t>
        </is>
      </c>
      <c r="C131" s="23" t="inlineStr">
        <is>
          <t>Color &amp; Token</t>
        </is>
      </c>
      <c r="D131" s="23" t="inlineStr">
        <is>
          <t>Minor</t>
        </is>
      </c>
      <c r="E131" s="23" t="inlineStr">
        <is>
          <t>Figma: See the Figma design frame ↗ (linked on the board) for the intended design.  →  Live: Fund-allocation KPI cards, the disbursement donut and the state-wise table/status chips should match the design's status-token palette and spacing.</t>
        </is>
      </c>
      <c r="F131" s="23" t="inlineStr">
        <is>
          <t>Fund-allocation KPI cards, the disbursement donut and the state-wise table/status chips should match the design's status-token palette and spacing.</t>
        </is>
      </c>
      <c r="G131" s="24" t="inlineStr">
        <is>
          <t>https://www.figma.com/design/gH2vQ62cfg4677YKWuOpLc/MoSJE-Portal--Handoff-?node-id=5986-62832</t>
        </is>
      </c>
      <c r="H131" s="24" t="inlineStr">
        <is>
          <t>https://nhapoa-admin-dev.mosje.in/central-authority/fund-allocation</t>
        </is>
      </c>
      <c r="I131" s="23" t="inlineStr">
        <is>
          <t>Open</t>
        </is>
      </c>
      <c r="J131" s="23" t="inlineStr"/>
      <c r="K131" s="23" t="inlineStr"/>
      <c r="L131" s="23" t="inlineStr">
        <is>
          <t>env: dev  ·  Portal-wide patterns on this screen are consolidated in the Global Findings section (each tagged Scope: Global).</t>
        </is>
      </c>
      <c r="M131" s="23" t="inlineStr">
        <is>
          <t>Screen</t>
        </is>
      </c>
    </row>
    <row r="132">
      <c r="A132" s="21" t="inlineStr">
        <is>
          <t>NHA-CA-STATECOMP-001</t>
        </is>
      </c>
      <c r="B132" s="21" t="inlineStr">
        <is>
          <t>Central Authority — State Comparison</t>
        </is>
      </c>
      <c r="C132" s="21" t="inlineStr">
        <is>
          <t>Color &amp; Token</t>
        </is>
      </c>
      <c r="D132" s="21" t="inlineStr">
        <is>
          <t>Minor</t>
        </is>
      </c>
      <c r="E132" s="21" t="inlineStr">
        <is>
          <t>Figma: See the Figma design frame ↗ (linked on the board) for the intended design.  →  Live: State-comparison charts/tables should use the design's status-token palette (not ad-hoc hues); axis + legend typography per the design.</t>
        </is>
      </c>
      <c r="F132" s="21" t="inlineStr">
        <is>
          <t>State-comparison charts/tables should use the design's status-token palette (not ad-hoc hues); axis + legend typography per the design.</t>
        </is>
      </c>
      <c r="G132" s="22" t="inlineStr">
        <is>
          <t>https://www.figma.com/design/gH2vQ62cfg4677YKWuOpLc/MoSJE-Portal--Handoff-?node-id=5986-62275</t>
        </is>
      </c>
      <c r="H132" s="22" t="inlineStr">
        <is>
          <t>https://nhapoa-admin-dev.mosje.in/central-authority/state-comparison</t>
        </is>
      </c>
      <c r="I132" s="21" t="inlineStr">
        <is>
          <t>Open</t>
        </is>
      </c>
      <c r="J132" s="21" t="inlineStr"/>
      <c r="K132" s="21" t="inlineStr"/>
      <c r="L132" s="21" t="inlineStr">
        <is>
          <t>env: dev  ·  Portal-wide patterns on this screen are consolidated in the Global Findings section (each tagged Scope: Global).</t>
        </is>
      </c>
      <c r="M132" s="21" t="inlineStr">
        <is>
          <t>Screen</t>
        </is>
      </c>
    </row>
    <row r="133">
      <c r="A133" s="23" t="inlineStr">
        <is>
          <t>NHA-CA-SCHEME-001</t>
        </is>
      </c>
      <c r="B133" s="23" t="inlineStr">
        <is>
          <t>Central Authority — Scheme Performance</t>
        </is>
      </c>
      <c r="C133" s="23" t="inlineStr">
        <is>
          <t>Color &amp; Token</t>
        </is>
      </c>
      <c r="D133" s="23" t="inlineStr">
        <is>
          <t>Minor</t>
        </is>
      </c>
      <c r="E133" s="23" t="inlineStr">
        <is>
          <t>Figma: See the Figma design frame ↗ (linked on the board) for the intended design.  →  Live: Scheme-performance charts + KPI cards should use the design's status-token palette; KPI figures on the type scale.</t>
        </is>
      </c>
      <c r="F133" s="23" t="inlineStr">
        <is>
          <t>Scheme-performance charts + KPI cards should use the design's status-token palette; KPI figures on the type scale.</t>
        </is>
      </c>
      <c r="G133" s="24" t="inlineStr">
        <is>
          <t>https://www.figma.com/design/gH2vQ62cfg4677YKWuOpLc/MoSJE-Portal--Handoff-?node-id=5986-62639</t>
        </is>
      </c>
      <c r="H133" s="24" t="inlineStr">
        <is>
          <t>https://nhapoa-admin-dev.mosje.in/central-authority/scheme-performance</t>
        </is>
      </c>
      <c r="I133" s="23" t="inlineStr">
        <is>
          <t>Open</t>
        </is>
      </c>
      <c r="J133" s="23" t="inlineStr"/>
      <c r="K133" s="23" t="inlineStr"/>
      <c r="L133" s="23" t="inlineStr">
        <is>
          <t>env: dev  ·  Portal-wide patterns on this screen are consolidated in the Global Findings section (each tagged Scope: Global).</t>
        </is>
      </c>
      <c r="M133" s="23" t="inlineStr">
        <is>
          <t>Screen</t>
        </is>
      </c>
    </row>
    <row r="134">
      <c r="A134" s="21" t="inlineStr">
        <is>
          <t>NHA-CA-GRIEVANCES-001</t>
        </is>
      </c>
      <c r="B134" s="21" t="inlineStr">
        <is>
          <t>Central Authority — Grievances</t>
        </is>
      </c>
      <c r="C134" s="21" t="inlineStr">
        <is>
          <t>Color &amp; Token</t>
        </is>
      </c>
      <c r="D134" s="21" t="inlineStr">
        <is>
          <t>Minor</t>
        </is>
      </c>
      <c r="E134" s="21" t="inlineStr">
        <is>
          <t>Figma: See the Figma design frame ↗ (linked on the board) for the intended design.  →  Live: Match the Central-Authority grievances list to the referenced My-Cases design frame — list rows, filters, status chips, pagination and table should follow the DS tokens.</t>
        </is>
      </c>
      <c r="F134" s="21" t="inlineStr">
        <is>
          <t>Match the Central-Authority grievances list to the referenced My-Cases design frame — list rows, filters, status chips, pagination and table should follow the DS tokens.</t>
        </is>
      </c>
      <c r="G134" s="22" t="inlineStr">
        <is>
          <t>https://www.figma.com/design/gH2vQ62cfg4677YKWuOpLc/MoSJE-Portal--Handoff-?node-id=5986-53857</t>
        </is>
      </c>
      <c r="H134" s="22" t="inlineStr">
        <is>
          <t>https://nhapoa-admin-dev.mosje.in/central-authority/grievances</t>
        </is>
      </c>
      <c r="I134" s="21" t="inlineStr">
        <is>
          <t>Open</t>
        </is>
      </c>
      <c r="J134" s="21" t="inlineStr"/>
      <c r="K134" s="21" t="inlineStr"/>
      <c r="L134" s="21" t="inlineStr">
        <is>
          <t>env: dev  ·  Design column is a REFERENCE frame (reuse its visual language); not a same-screen mock.</t>
        </is>
      </c>
      <c r="M134" s="21" t="inlineStr">
        <is>
          <t>Screen</t>
        </is>
      </c>
    </row>
    <row r="135">
      <c r="A135" s="23" t="inlineStr">
        <is>
          <t>NHA-CA-REPORTS-001</t>
        </is>
      </c>
      <c r="B135" s="23" t="inlineStr">
        <is>
          <t>Central Authority — Reports &amp; Export</t>
        </is>
      </c>
      <c r="C135" s="23" t="inlineStr">
        <is>
          <t>Color &amp; Token</t>
        </is>
      </c>
      <c r="D135" s="23" t="inlineStr">
        <is>
          <t>Minor</t>
        </is>
      </c>
      <c r="E135" s="23" t="inlineStr">
        <is>
          <t>Figma: See the Figma design frame ↗ (linked on the board) for the intended design.  →  Live: Generate-Report form, Recent-Reports list and Quick-Export cards should match the design's card spacing, tokens and control styling.</t>
        </is>
      </c>
      <c r="F135" s="23" t="inlineStr">
        <is>
          <t>Generate-Report form, Recent-Reports list and Quick-Export cards should match the design's card spacing, tokens and control styling.</t>
        </is>
      </c>
      <c r="G135" s="24" t="inlineStr">
        <is>
          <t>https://www.figma.com/design/gH2vQ62cfg4677YKWuOpLc/MoSJE-Portal--Handoff-?node-id=5986-63083</t>
        </is>
      </c>
      <c r="H135" s="24" t="inlineStr">
        <is>
          <t>https://nhapoa-admin-dev.mosje.in/central-authority/reports</t>
        </is>
      </c>
      <c r="I135" s="23" t="inlineStr">
        <is>
          <t>Open</t>
        </is>
      </c>
      <c r="J135" s="23" t="inlineStr"/>
      <c r="K135" s="23" t="inlineStr"/>
      <c r="L135" s="23" t="inlineStr">
        <is>
          <t>env: dev  ·  Portal-wide patterns on this screen are consolidated in the Global Findings section (each tagged Scope: Global).</t>
        </is>
      </c>
      <c r="M135" s="23" t="inlineStr">
        <is>
          <t>Screen</t>
        </is>
      </c>
    </row>
    <row r="136">
      <c r="A136" s="21" t="inlineStr">
        <is>
          <t>NHA-SHO-DASH-001</t>
        </is>
      </c>
      <c r="B136" s="21" t="inlineStr">
        <is>
          <t>SHO — Dashboard</t>
        </is>
      </c>
      <c r="C136" s="21" t="inlineStr">
        <is>
          <t>Color &amp; Token</t>
        </is>
      </c>
      <c r="D136" s="21" t="inlineStr">
        <is>
          <t>Minor</t>
        </is>
      </c>
      <c r="E136" s="21" t="inlineStr">
        <is>
          <t>Figma: See the Figma design frame ↗ (linked on the board) for the intended design.  →  Live: SHO here shows live data incl. SLA-breach counts — audit style/tokens, not the data.</t>
        </is>
      </c>
      <c r="F136" s="21" t="inlineStr">
        <is>
          <t>SHO here shows live data incl. SLA-breach counts — audit style/tokens, not the data.</t>
        </is>
      </c>
      <c r="G136" s="22" t="inlineStr">
        <is>
          <t>https://www.figma.com/design/gH2vQ62cfg4677YKWuOpLc/MoSJE-Portal--Handoff-?node-id=5986-53726</t>
        </is>
      </c>
      <c r="H136" s="22" t="inlineStr">
        <is>
          <t>https://nhapoa-admin-dev.mosje.in/district-officer/dashboard</t>
        </is>
      </c>
      <c r="I136" s="21" t="inlineStr">
        <is>
          <t>Open</t>
        </is>
      </c>
      <c r="J136" s="21" t="inlineStr"/>
      <c r="K136" s="21" t="inlineStr"/>
      <c r="L136" s="21" t="inlineStr">
        <is>
          <t>env: dev  ·  Portal-wide patterns on this screen are consolidated in the Global Findings section (each tagged Scope: Global).</t>
        </is>
      </c>
      <c r="M136" s="21" t="inlineStr">
        <is>
          <t>Screen</t>
        </is>
      </c>
    </row>
    <row r="137">
      <c r="A137" s="23" t="inlineStr">
        <is>
          <t>NHA-SHO-CASES-001</t>
        </is>
      </c>
      <c r="B137" s="23" t="inlineStr">
        <is>
          <t>SHO — My Cases</t>
        </is>
      </c>
      <c r="C137" s="23" t="inlineStr">
        <is>
          <t>Components &amp; States</t>
        </is>
      </c>
      <c r="D137" s="23" t="inlineStr">
        <is>
          <t>Minor</t>
        </is>
      </c>
      <c r="E137" s="23" t="inlineStr">
        <is>
          <t>Figma: See the Figma design frame ↗ (linked on the board) for the intended design.  →  Live: Verify any SHO-specific case actions/permissions vs the DO frame.</t>
        </is>
      </c>
      <c r="F137" s="23" t="inlineStr">
        <is>
          <t>Verify any SHO-specific case actions/permissions vs the DO frame.</t>
        </is>
      </c>
      <c r="G137" s="24" t="inlineStr">
        <is>
          <t>https://www.figma.com/design/gH2vQ62cfg4677YKWuOpLc/MoSJE-Portal--Handoff-?node-id=5986-53857</t>
        </is>
      </c>
      <c r="H137" s="24" t="inlineStr">
        <is>
          <t>https://nhapoa-admin-dev.mosje.in/district-officer/cases</t>
        </is>
      </c>
      <c r="I137" s="23" t="inlineStr">
        <is>
          <t>Open</t>
        </is>
      </c>
      <c r="J137" s="23" t="inlineStr"/>
      <c r="K137" s="23" t="inlineStr"/>
      <c r="L137" s="23" t="inlineStr">
        <is>
          <t>env: dev  ·  Portal-wide patterns on this screen are consolidated in the Global Findings section (each tagged Scope: Global).</t>
        </is>
      </c>
      <c r="M137" s="23" t="inlineStr">
        <is>
          <t>Screen</t>
        </is>
      </c>
    </row>
    <row r="138">
      <c r="A138" s="21" t="inlineStr">
        <is>
          <t>NHA-CC-DASH-001</t>
        </is>
      </c>
      <c r="B138" s="21" t="inlineStr">
        <is>
          <t>Call Centre — Dashboard</t>
        </is>
      </c>
      <c r="C138" s="21" t="inlineStr">
        <is>
          <t>Color &amp; Token</t>
        </is>
      </c>
      <c r="D138" s="21" t="inlineStr">
        <is>
          <t>Minor</t>
        </is>
      </c>
      <c r="E138" s="21" t="inlineStr">
        <is>
          <t>Figma: See the Figma design frame ↗ (linked on the board) for the intended design.  →  Live: Match the Call-Centre dashboard to the referenced design frame — card and chart styling should follow the DS tokens (portal-wide token/masthead items are covered in the Global Findings).</t>
        </is>
      </c>
      <c r="F138" s="21" t="inlineStr">
        <is>
          <t>Match the Call-Centre dashboard to the referenced design frame — card and chart styling should follow the DS tokens (portal-wide token/masthead items are covered in the Global Findings).</t>
        </is>
      </c>
      <c r="G138" s="22" t="inlineStr">
        <is>
          <t>https://www.figma.com/design/gH2vQ62cfg4677YKWuOpLc/MoSJE-Portal--Handoff-?node-id=5986-51876</t>
        </is>
      </c>
      <c r="H138" s="22" t="inlineStr">
        <is>
          <t>https://nhapoa-admin-dev.mosje.in/call-center/dashboard</t>
        </is>
      </c>
      <c r="I138" s="21" t="inlineStr">
        <is>
          <t>Open</t>
        </is>
      </c>
      <c r="J138" s="21" t="inlineStr"/>
      <c r="K138" s="21" t="inlineStr"/>
      <c r="L138" s="21" t="inlineStr">
        <is>
          <t>env: dev  ·  Design column is a REFERENCE frame (reuse its visual language); not a same-screen mock.</t>
        </is>
      </c>
      <c r="M138" s="21" t="inlineStr">
        <is>
          <t>Screen</t>
        </is>
      </c>
    </row>
    <row r="139">
      <c r="A139" s="23" t="inlineStr">
        <is>
          <t>NHA-CC-CALLER-001</t>
        </is>
      </c>
      <c r="B139" s="23" t="inlineStr">
        <is>
          <t>Call Centre — Caller</t>
        </is>
      </c>
      <c r="C139" s="23" t="inlineStr">
        <is>
          <t>Color &amp; Token</t>
        </is>
      </c>
      <c r="D139" s="23" t="inlineStr">
        <is>
          <t>Minor</t>
        </is>
      </c>
      <c r="E139" s="23" t="inlineStr">
        <is>
          <t>Figma: See the Figma design frame ↗ (linked on the board) for the intended design.  →  Live: Call-intake screen: form fields, layout and controls should follow the admin design tokens + spacing.</t>
        </is>
      </c>
      <c r="F139" s="23" t="inlineStr">
        <is>
          <t>Call-intake screen: form fields, layout and controls should follow the admin design tokens + spacing.</t>
        </is>
      </c>
      <c r="G139" s="24" t="inlineStr">
        <is>
          <t>https://www.figma.com/design/gH2vQ62cfg4677YKWuOpLc/MoSJE-Portal--Handoff-?node-id=5986-53203</t>
        </is>
      </c>
      <c r="H139" s="24" t="inlineStr">
        <is>
          <t>https://nhapoa-admin-dev.mosje.in/call-center/caller</t>
        </is>
      </c>
      <c r="I139" s="23" t="inlineStr">
        <is>
          <t>Open</t>
        </is>
      </c>
      <c r="J139" s="23" t="inlineStr"/>
      <c r="K139" s="23" t="inlineStr"/>
      <c r="L139" s="23" t="inlineStr">
        <is>
          <t>env: dev  ·  Design column is a REFERENCE frame (reuse its visual language); not a same-screen mock.</t>
        </is>
      </c>
      <c r="M139" s="23" t="inlineStr">
        <is>
          <t>Screen</t>
        </is>
      </c>
    </row>
    <row r="140">
      <c r="A140" s="21" t="inlineStr">
        <is>
          <t>NHA-CC-RG-001</t>
        </is>
      </c>
      <c r="B140" s="21" t="inlineStr">
        <is>
          <t>Call Centre — Register Grievance</t>
        </is>
      </c>
      <c r="C140" s="21" t="inlineStr">
        <is>
          <t>Layout &amp; Spacing</t>
        </is>
      </c>
      <c r="D140" s="21" t="inlineStr">
        <is>
          <t>Minor</t>
        </is>
      </c>
      <c r="E140" s="21" t="inlineStr">
        <is>
          <t>Figma: See the Figma design frame ↗ (linked on the board) for the intended design.  →  Live: Mirrors the citizen Register-Grievance flow — reuse the citizen grievance design's step layout, field and OTP styling within the admin shell.</t>
        </is>
      </c>
      <c r="F140" s="21" t="inlineStr">
        <is>
          <t>Mirrors the citizen Register-Grievance flow — reuse the citizen grievance design's step layout, field and OTP styling within the admin shell.</t>
        </is>
      </c>
      <c r="G140" s="22" t="inlineStr">
        <is>
          <t>https://www.figma.com/design/gH2vQ62cfg4677YKWuOpLc/MoSJE-Portal--Handoff-?node-id=5986-51959</t>
        </is>
      </c>
      <c r="H140" s="22" t="inlineStr">
        <is>
          <t>https://nhapoa-admin-dev.mosje.in/call-center/register-grievance</t>
        </is>
      </c>
      <c r="I140" s="21" t="inlineStr">
        <is>
          <t>Open</t>
        </is>
      </c>
      <c r="J140" s="21" t="inlineStr"/>
      <c r="K140" s="21" t="inlineStr"/>
      <c r="L140" s="21" t="inlineStr">
        <is>
          <t>env: dev  ·  Design column is a REFERENCE frame (reuse its visual language); not a same-screen mock.</t>
        </is>
      </c>
      <c r="M140" s="21" t="inlineStr">
        <is>
          <t>Screen</t>
        </is>
      </c>
    </row>
    <row r="141">
      <c r="A141" s="23" t="inlineStr">
        <is>
          <t>NHA-CC-QUERY-001</t>
        </is>
      </c>
      <c r="B141" s="23" t="inlineStr">
        <is>
          <t>Call Centre — Query</t>
        </is>
      </c>
      <c r="C141" s="23" t="inlineStr">
        <is>
          <t>Color &amp; Token</t>
        </is>
      </c>
      <c r="D141" s="23" t="inlineStr">
        <is>
          <t>Minor</t>
        </is>
      </c>
      <c r="E141" s="23" t="inlineStr">
        <is>
          <t>Figma: Match the established admin design language.  →  Live: Query detail: layout, labels and controls should follow the admin design tokens.</t>
        </is>
      </c>
      <c r="F141" s="23" t="inlineStr">
        <is>
          <t>Query detail: layout, labels and controls should follow the admin design tokens.</t>
        </is>
      </c>
      <c r="G141" s="23" t="inlineStr"/>
      <c r="H141" s="24" t="inlineStr">
        <is>
          <t>https://nhapoa-admin-dev.mosje.in/call-center/query</t>
        </is>
      </c>
      <c r="I141" s="23" t="inlineStr">
        <is>
          <t>Open</t>
        </is>
      </c>
      <c r="J141" s="23" t="inlineStr"/>
      <c r="K141" s="23" t="inlineStr"/>
      <c r="L141" s="23" t="inlineStr">
        <is>
          <t>env: dev</t>
        </is>
      </c>
      <c r="M141" s="23" t="inlineStr">
        <is>
          <t>Screen</t>
        </is>
      </c>
    </row>
    <row r="142">
      <c r="A142" s="21" t="inlineStr">
        <is>
          <t>NHA-CC-QUERIES-001</t>
        </is>
      </c>
      <c r="B142" s="21" t="inlineStr">
        <is>
          <t>Call Centre — Queries</t>
        </is>
      </c>
      <c r="C142" s="21" t="inlineStr">
        <is>
          <t>Color &amp; Token</t>
        </is>
      </c>
      <c r="D142" s="21" t="inlineStr">
        <is>
          <t>Minor</t>
        </is>
      </c>
      <c r="E142" s="21" t="inlineStr">
        <is>
          <t>Figma: Match the established admin design language.  →  Live: Queries list: table header, status chips, pagination and row styling should match the other admin list views + tokens.</t>
        </is>
      </c>
      <c r="F142" s="21" t="inlineStr">
        <is>
          <t>Queries list: table header, status chips, pagination and row styling should match the other admin list views + tokens.</t>
        </is>
      </c>
      <c r="G142" s="21" t="inlineStr"/>
      <c r="H142" s="22" t="inlineStr">
        <is>
          <t>https://nhapoa-admin-dev.mosje.in/call-center/queries</t>
        </is>
      </c>
      <c r="I142" s="21" t="inlineStr">
        <is>
          <t>Open</t>
        </is>
      </c>
      <c r="J142" s="21" t="inlineStr"/>
      <c r="K142" s="21" t="inlineStr"/>
      <c r="L142" s="21" t="inlineStr">
        <is>
          <t>env: dev</t>
        </is>
      </c>
      <c r="M142" s="21" t="inlineStr">
        <is>
          <t>Screen</t>
        </is>
      </c>
    </row>
    <row r="143">
      <c r="A143" s="23" t="inlineStr">
        <is>
          <t>NHA-CC-DIRECTORY-001</t>
        </is>
      </c>
      <c r="B143" s="23" t="inlineStr">
        <is>
          <t>Call Centre — Directory</t>
        </is>
      </c>
      <c r="C143" s="23" t="inlineStr">
        <is>
          <t>Components &amp; States</t>
        </is>
      </c>
      <c r="D143" s="23" t="inlineStr">
        <is>
          <t>Minor</t>
        </is>
      </c>
      <c r="E143" s="23" t="inlineStr">
        <is>
          <t>Figma: Match the established admin design language.  →  Live: Directory/contacts list: table, search and pagination styling should follow the admin design language.</t>
        </is>
      </c>
      <c r="F143" s="23" t="inlineStr">
        <is>
          <t>Directory/contacts list: table, search and pagination styling should follow the admin design language.</t>
        </is>
      </c>
      <c r="G143" s="23" t="inlineStr"/>
      <c r="H143" s="24" t="inlineStr">
        <is>
          <t>https://nhapoa-admin-dev.mosje.in/call-center/directory</t>
        </is>
      </c>
      <c r="I143" s="23" t="inlineStr">
        <is>
          <t>Open</t>
        </is>
      </c>
      <c r="J143" s="23" t="inlineStr"/>
      <c r="K143" s="23" t="inlineStr"/>
      <c r="L143" s="23" t="inlineStr">
        <is>
          <t>env: dev</t>
        </is>
      </c>
      <c r="M143" s="23" t="inlineStr">
        <is>
          <t>Screen</t>
        </is>
      </c>
    </row>
    <row r="144">
      <c r="A144" s="21" t="inlineStr">
        <is>
          <t>NHA-CC-TRACK-001</t>
        </is>
      </c>
      <c r="B144" s="21" t="inlineStr">
        <is>
          <t>Call Centre — Track</t>
        </is>
      </c>
      <c r="C144" s="21" t="inlineStr">
        <is>
          <t>Components &amp; States</t>
        </is>
      </c>
      <c r="D144" s="21" t="inlineStr">
        <is>
          <t>Minor</t>
        </is>
      </c>
      <c r="E144" s="21" t="inlineStr">
        <is>
          <t>Figma: Match the established admin design language.  →  Live: Mirrors the citizen Track-Status flow — reuse the citizen track design's result/timeline styling within the admin shell.</t>
        </is>
      </c>
      <c r="F144" s="21" t="inlineStr">
        <is>
          <t>Mirrors the citizen Track-Status flow — reuse the citizen track design's result/timeline styling within the admin shell.</t>
        </is>
      </c>
      <c r="G144" s="21" t="inlineStr"/>
      <c r="H144" s="22" t="inlineStr">
        <is>
          <t>https://nhapoa-admin-dev.mosje.in/call-center/track</t>
        </is>
      </c>
      <c r="I144" s="21" t="inlineStr">
        <is>
          <t>Open</t>
        </is>
      </c>
      <c r="J144" s="21" t="inlineStr"/>
      <c r="K144" s="21" t="inlineStr"/>
      <c r="L144" s="21" t="inlineStr">
        <is>
          <t>env: dev</t>
        </is>
      </c>
      <c r="M144" s="21" t="inlineStr">
        <is>
          <t>Screen</t>
        </is>
      </c>
    </row>
    <row r="145">
      <c r="A145" s="23" t="inlineStr">
        <is>
          <t>NHA-CC-FAQ-001</t>
        </is>
      </c>
      <c r="B145" s="23" t="inlineStr">
        <is>
          <t>Call Centre — FAQ</t>
        </is>
      </c>
      <c r="C145" s="23" t="inlineStr">
        <is>
          <t>Components &amp; States</t>
        </is>
      </c>
      <c r="D145" s="23" t="inlineStr">
        <is>
          <t>Major</t>
        </is>
      </c>
      <c r="E145" s="23" t="inlineStr">
        <is>
          <t>Figma: See the Figma design frame ↗ (linked on the board) for the intended design.  →  Live: Mirrors the citizen Help &amp; FAQs — reuse the citizen FAQ accordion styling; ensure the whole question row is the toggle target.</t>
        </is>
      </c>
      <c r="F145" s="23" t="inlineStr">
        <is>
          <t>Mirrors the citizen Help &amp; FAQs — reuse the citizen FAQ accordion styling; ensure the whole question row is the toggle target.</t>
        </is>
      </c>
      <c r="G145" s="24" t="inlineStr">
        <is>
          <t>https://www.figma.com/design/gH2vQ62cfg4677YKWuOpLc/MoSJE-Portal--Handoff-?node-id=5986-53669</t>
        </is>
      </c>
      <c r="H145" s="24" t="inlineStr">
        <is>
          <t>https://nhapoa-admin-dev.mosje.in/call-center/faq</t>
        </is>
      </c>
      <c r="I145" s="23" t="inlineStr">
        <is>
          <t>Open</t>
        </is>
      </c>
      <c r="J145" s="23" t="inlineStr"/>
      <c r="K145" s="23" t="inlineStr"/>
      <c r="L145" s="23" t="inlineStr">
        <is>
          <t>env: dev  ·  Design column is a REFERENCE frame (reuse its visual language); not a same-screen mock.</t>
        </is>
      </c>
      <c r="M145" s="23" t="inlineStr">
        <is>
          <t>Screen</t>
        </is>
      </c>
    </row>
    <row r="146">
      <c r="A146" s="21" t="inlineStr">
        <is>
          <t>NHA-DO-OVERVIEW-001</t>
        </is>
      </c>
      <c r="B146" s="21" t="inlineStr">
        <is>
          <t>District Officer — Case Detail · Overview</t>
        </is>
      </c>
      <c r="C146" s="21" t="inlineStr">
        <is>
          <t>Color &amp; Token</t>
        </is>
      </c>
      <c r="D146" s="21" t="inlineStr">
        <is>
          <t>Minor</t>
        </is>
      </c>
      <c r="E146" s="21" t="inlineStr">
        <is>
          <t>Figma: See the Figma design frame ↗ (linked on the board) for the intended design.  →  Live: Verify the detail header, tab bar, Case-Timeline sidebar and SLA-tracker styling match the design's tokens + spacing.</t>
        </is>
      </c>
      <c r="F146" s="21" t="inlineStr">
        <is>
          <t>Verify the detail header, tab bar, Case-Timeline sidebar and SLA-tracker styling match the design's tokens + spacing.</t>
        </is>
      </c>
      <c r="G146" s="22" t="inlineStr">
        <is>
          <t>https://www.figma.com/design/gH2vQ62cfg4677YKWuOpLc/MoSJE-Portal--Handoff-?node-id=5986-54121</t>
        </is>
      </c>
      <c r="H146" s="22" t="inlineStr">
        <is>
          <t>https://nhapoa-admin-dev.mosje.in/district-officer/cases</t>
        </is>
      </c>
      <c r="I146" s="21" t="inlineStr">
        <is>
          <t>Open</t>
        </is>
      </c>
      <c r="J146" s="21" t="inlineStr"/>
      <c r="K146" s="21" t="inlineStr"/>
      <c r="L146" s="21" t="inlineStr">
        <is>
          <t>env: dev  ·  Portal-wide patterns on this screen are consolidated in the Global Findings section (each tagged Scope: Global).</t>
        </is>
      </c>
      <c r="M146" s="21" t="inlineStr">
        <is>
          <t>Screen</t>
        </is>
      </c>
    </row>
    <row r="147">
      <c r="A147" s="23" t="inlineStr">
        <is>
          <t>NHA-DO-DOCUMENTS-001</t>
        </is>
      </c>
      <c r="B147" s="23" t="inlineStr">
        <is>
          <t>District Officer — Case Detail · Documents</t>
        </is>
      </c>
      <c r="C147" s="23" t="inlineStr">
        <is>
          <t>Components &amp; States</t>
        </is>
      </c>
      <c r="D147" s="23" t="inlineStr">
        <is>
          <t>Minor</t>
        </is>
      </c>
      <c r="E147" s="23" t="inlineStr">
        <is>
          <t>Figma: See the Figma design frame ↗ (linked on the board) for the intended design.  →  Live: Documents tab (empty on this case): verify the empty-state, upload control and document-row styling match the design.</t>
        </is>
      </c>
      <c r="F147" s="23" t="inlineStr">
        <is>
          <t>Documents tab (empty on this case): verify the empty-state, upload control and document-row styling match the design.</t>
        </is>
      </c>
      <c r="G147" s="24" t="inlineStr">
        <is>
          <t>https://www.figma.com/design/gH2vQ62cfg4677YKWuOpLc/MoSJE-Portal--Handoff-?node-id=5986-54232</t>
        </is>
      </c>
      <c r="H147" s="24" t="inlineStr">
        <is>
          <t>https://nhapoa-admin-dev.mosje.in/district-officer/cases</t>
        </is>
      </c>
      <c r="I147" s="23" t="inlineStr">
        <is>
          <t>Open</t>
        </is>
      </c>
      <c r="J147" s="23" t="inlineStr"/>
      <c r="K147" s="23" t="inlineStr"/>
      <c r="L147" s="23" t="inlineStr">
        <is>
          <t>env: dev</t>
        </is>
      </c>
      <c r="M147" s="23" t="inlineStr">
        <is>
          <t>Screen</t>
        </is>
      </c>
    </row>
    <row r="148">
      <c r="A148" s="21" t="inlineStr">
        <is>
          <t>NHA-DO-INVESTIGATION-001</t>
        </is>
      </c>
      <c r="B148" s="21" t="inlineStr">
        <is>
          <t>District Officer — Case Detail · Investigation</t>
        </is>
      </c>
      <c r="C148" s="21" t="inlineStr">
        <is>
          <t>Color &amp; Token</t>
        </is>
      </c>
      <c r="D148" s="21" t="inlineStr">
        <is>
          <t>Minor</t>
        </is>
      </c>
      <c r="E148" s="21" t="inlineStr">
        <is>
          <t>Figma: See the Figma design frame ↗ (linked on the board) for the intended design.  →  Live: Investigation tab: verify section layout, evidence/notes styling and status chips match the design's tokens.</t>
        </is>
      </c>
      <c r="F148" s="21" t="inlineStr">
        <is>
          <t>Investigation tab: verify section layout, evidence/notes styling and status chips match the design's tokens.</t>
        </is>
      </c>
      <c r="G148" s="22" t="inlineStr">
        <is>
          <t>https://www.figma.com/design/gH2vQ62cfg4677YKWuOpLc/MoSJE-Portal--Handoff-?node-id=5986-54340</t>
        </is>
      </c>
      <c r="H148" s="22" t="inlineStr">
        <is>
          <t>https://nhapoa-admin-dev.mosje.in/district-officer/cases</t>
        </is>
      </c>
      <c r="I148" s="21" t="inlineStr">
        <is>
          <t>Open</t>
        </is>
      </c>
      <c r="J148" s="21" t="inlineStr"/>
      <c r="K148" s="21" t="inlineStr"/>
      <c r="L148" s="21" t="inlineStr">
        <is>
          <t>env: dev</t>
        </is>
      </c>
      <c r="M148" s="21" t="inlineStr">
        <is>
          <t>Screen</t>
        </is>
      </c>
    </row>
    <row r="149">
      <c r="A149" s="23" t="inlineStr">
        <is>
          <t>NHA-DO-AUDITLOG-001</t>
        </is>
      </c>
      <c r="B149" s="23" t="inlineStr">
        <is>
          <t>District Officer — Case Detail · Audit Log</t>
        </is>
      </c>
      <c r="C149" s="23" t="inlineStr">
        <is>
          <t>Content &amp; Iconography</t>
        </is>
      </c>
      <c r="D149" s="23" t="inlineStr">
        <is>
          <t>Minor</t>
        </is>
      </c>
      <c r="E149" s="23" t="inlineStr">
        <is>
          <t>Figma: See the Figma design frame ↗ (linked on the board) for the intended design.  →  Live: Audit Log tab: verify the timeline/log-row styling, icons and timestamps match the design.</t>
        </is>
      </c>
      <c r="F149" s="23" t="inlineStr">
        <is>
          <t>Audit Log tab: verify the timeline/log-row styling, icons and timestamps match the design.</t>
        </is>
      </c>
      <c r="G149" s="24" t="inlineStr">
        <is>
          <t>https://www.figma.com/design/gH2vQ62cfg4677YKWuOpLc/MoSJE-Portal--Handoff-?node-id=5986-54704</t>
        </is>
      </c>
      <c r="H149" s="24" t="inlineStr">
        <is>
          <t>https://nhapoa-admin-dev.mosje.in/district-officer/cases</t>
        </is>
      </c>
      <c r="I149" s="23" t="inlineStr">
        <is>
          <t>Open</t>
        </is>
      </c>
      <c r="J149" s="23" t="inlineStr"/>
      <c r="K149" s="23" t="inlineStr"/>
      <c r="L149" s="23" t="inlineStr">
        <is>
          <t>env: dev</t>
        </is>
      </c>
      <c r="M149" s="23" t="inlineStr">
        <is>
          <t>Screen</t>
        </is>
      </c>
    </row>
    <row r="150">
      <c r="A150" s="21" t="inlineStr">
        <is>
          <t>NHA-DO-CLARMODAL-001</t>
        </is>
      </c>
      <c r="B150" s="21" t="inlineStr">
        <is>
          <t>District Officer — Request Clarification (modal)</t>
        </is>
      </c>
      <c r="C150" s="21" t="inlineStr">
        <is>
          <t>Components &amp; States</t>
        </is>
      </c>
      <c r="D150" s="21" t="inlineStr">
        <is>
          <t>Minor</t>
        </is>
      </c>
      <c r="E150" s="21" t="inlineStr">
        <is>
          <t>Figma: See the Figma design frame ↗ (linked on the board) for the intended design.  →  Live: 'Request Clarification from Citizen' modal: verify field styling, the deadline/notification-method controls and the primary-button style match the design.</t>
        </is>
      </c>
      <c r="F150" s="21" t="inlineStr">
        <is>
          <t>'Request Clarification from Citizen' modal: verify field styling, the deadline/notification-method controls and the primary-button style match the design.</t>
        </is>
      </c>
      <c r="G150" s="22" t="inlineStr">
        <is>
          <t>https://www.figma.com/design/gH2vQ62cfg4677YKWuOpLc/MoSJE-Portal--Handoff-?node-id=5986-54812</t>
        </is>
      </c>
      <c r="H150" s="22" t="inlineStr">
        <is>
          <t>https://nhapoa-admin-dev.mosje.in/district-officer/cases</t>
        </is>
      </c>
      <c r="I150" s="21" t="inlineStr">
        <is>
          <t>Open</t>
        </is>
      </c>
      <c r="J150" s="21" t="inlineStr"/>
      <c r="K150" s="21" t="inlineStr"/>
      <c r="L150" s="21" t="inlineStr">
        <is>
          <t>env: dev</t>
        </is>
      </c>
      <c r="M150" s="21" t="inlineStr">
        <is>
          <t>Screen</t>
        </is>
      </c>
    </row>
    <row r="151">
      <c r="A151" s="23" t="inlineStr">
        <is>
          <t>NHA-FO-SANCTION-001</t>
        </is>
      </c>
      <c r="B151" s="23" t="inlineStr">
        <is>
          <t>Finance Officer — Sanction Order Review</t>
        </is>
      </c>
      <c r="C151" s="23" t="inlineStr">
        <is>
          <t>Color &amp; Token</t>
        </is>
      </c>
      <c r="D151" s="23" t="inlineStr">
        <is>
          <t>Minor</t>
        </is>
      </c>
      <c r="E151" s="23" t="inlineStr">
        <is>
          <t>Figma: See the Figma design frame ↗ (linked on the board) for the intended design.  →  Live: Sanction Order Review (step 1 of the disbursement flow): verify the stepper, sanction-details form, beneficiary-bank block and the primary-button style match the design's tokens + spacing.</t>
        </is>
      </c>
      <c r="F151" s="23" t="inlineStr">
        <is>
          <t>Sanction Order Review (step 1 of the disbursement flow): verify the stepper, sanction-details form, beneficiary-bank block and the primary-button style match the design's tokens + spacing.</t>
        </is>
      </c>
      <c r="G151" s="24" t="inlineStr">
        <is>
          <t>https://www.figma.com/design/gH2vQ62cfg4677YKWuOpLc/MoSJE-Portal--Handoff-?node-id=5986-58351</t>
        </is>
      </c>
      <c r="H151" s="24" t="inlineStr">
        <is>
          <t>https://nhapoa-admin-dev.mosje.in/finance-officer/queue</t>
        </is>
      </c>
      <c r="I151" s="23" t="inlineStr">
        <is>
          <t>Open</t>
        </is>
      </c>
      <c r="J151" s="23" t="inlineStr"/>
      <c r="K151" s="23" t="inlineStr"/>
      <c r="L151" s="23" t="inlineStr">
        <is>
          <t>env: dev</t>
        </is>
      </c>
      <c r="M151" s="23" t="inlineStr">
        <is>
          <t>Screen</t>
        </is>
      </c>
    </row>
    <row r="152">
      <c r="A152" s="21" t="inlineStr">
        <is>
          <t>NHA-SYS-CREATEUSER-001</t>
        </is>
      </c>
      <c r="B152" s="21" t="inlineStr">
        <is>
          <t>System Admin — Create New User (modal)</t>
        </is>
      </c>
      <c r="C152" s="21" t="inlineStr">
        <is>
          <t>Components &amp; States</t>
        </is>
      </c>
      <c r="D152" s="21" t="inlineStr">
        <is>
          <t>Minor</t>
        </is>
      </c>
      <c r="E152" s="21" t="inlineStr">
        <is>
          <t>Figma: See the Figma design frame ↗ (linked on the board) for the intended design.  →  Live: 'Create New User' modal: verify the field grid, role/state/district selects and the primary-button style match the design. The User-Management list uses numbered pagination here — matches the design.</t>
        </is>
      </c>
      <c r="F152" s="21" t="inlineStr">
        <is>
          <t>'Create New User' modal: verify the field grid, role/state/district selects and the primary-button style match the design. The User-Management list uses numbered pagination here — matches the design.</t>
        </is>
      </c>
      <c r="G152" s="22" t="inlineStr">
        <is>
          <t>https://www.figma.com/design/gH2vQ62cfg4677YKWuOpLc/MoSJE-Portal--Handoff-?node-id=5986-61792</t>
        </is>
      </c>
      <c r="H152" s="22" t="inlineStr">
        <is>
          <t>https://nhapoa-admin-dev.mosje.in/admin/users</t>
        </is>
      </c>
      <c r="I152" s="21" t="inlineStr">
        <is>
          <t>Open</t>
        </is>
      </c>
      <c r="J152" s="21" t="inlineStr"/>
      <c r="K152" s="21" t="inlineStr"/>
      <c r="L152" s="21" t="inlineStr">
        <is>
          <t>env: dev</t>
        </is>
      </c>
      <c r="M152" s="21" t="inlineStr">
        <is>
          <t>Screen</t>
        </is>
      </c>
    </row>
  </sheetData>
  <autoFilter ref="A1:M152"/>
  <dataValidations count="4">
    <dataValidation sqref="D2:D400" showDropDown="0" showInputMessage="0" showErrorMessage="0" allowBlank="0" type="list">
      <formula1>"Blocker,Major,Minor,Nit"</formula1>
    </dataValidation>
    <dataValidation sqref="C2:C400" showDropDown="0" showInputMessage="0" showErrorMessage="0" allowBlank="0" type="list">
      <formula1>"Layout &amp; Spacing,Color &amp; Token,Typography,Components &amp; States,Content &amp; Iconography,Responsive &amp; A11y"</formula1>
    </dataValidation>
    <dataValidation sqref="I2:I400" showDropDown="0" showInputMessage="0" showErrorMessage="0" allowBlank="0" type="list">
      <formula1>"Open,In Progress,Fixed,Won't Fix,Verified"</formula1>
    </dataValidation>
    <dataValidation sqref="M2:M400" showDropDown="0" showInputMessage="0" showErrorMessage="0" allowBlank="0" type="list">
      <formula1>"Global,Screen"</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H41" r:id="rId79"/>
    <hyperlink xmlns:r="http://schemas.openxmlformats.org/officeDocument/2006/relationships" ref="H42" r:id="rId80"/>
    <hyperlink xmlns:r="http://schemas.openxmlformats.org/officeDocument/2006/relationships" ref="H43" r:id="rId81"/>
    <hyperlink xmlns:r="http://schemas.openxmlformats.org/officeDocument/2006/relationships" ref="H44" r:id="rId82"/>
    <hyperlink xmlns:r="http://schemas.openxmlformats.org/officeDocument/2006/relationships" ref="G45" r:id="rId83"/>
    <hyperlink xmlns:r="http://schemas.openxmlformats.org/officeDocument/2006/relationships" ref="H45" r:id="rId84"/>
    <hyperlink xmlns:r="http://schemas.openxmlformats.org/officeDocument/2006/relationships" ref="G46" r:id="rId85"/>
    <hyperlink xmlns:r="http://schemas.openxmlformats.org/officeDocument/2006/relationships" ref="H46" r:id="rId86"/>
    <hyperlink xmlns:r="http://schemas.openxmlformats.org/officeDocument/2006/relationships" ref="G47" r:id="rId87"/>
    <hyperlink xmlns:r="http://schemas.openxmlformats.org/officeDocument/2006/relationships" ref="H47" r:id="rId88"/>
    <hyperlink xmlns:r="http://schemas.openxmlformats.org/officeDocument/2006/relationships" ref="G48" r:id="rId89"/>
    <hyperlink xmlns:r="http://schemas.openxmlformats.org/officeDocument/2006/relationships" ref="H48" r:id="rId90"/>
    <hyperlink xmlns:r="http://schemas.openxmlformats.org/officeDocument/2006/relationships" ref="G49" r:id="rId91"/>
    <hyperlink xmlns:r="http://schemas.openxmlformats.org/officeDocument/2006/relationships" ref="H49" r:id="rId92"/>
    <hyperlink xmlns:r="http://schemas.openxmlformats.org/officeDocument/2006/relationships" ref="G50" r:id="rId93"/>
    <hyperlink xmlns:r="http://schemas.openxmlformats.org/officeDocument/2006/relationships" ref="H50" r:id="rId94"/>
    <hyperlink xmlns:r="http://schemas.openxmlformats.org/officeDocument/2006/relationships" ref="G51" r:id="rId95"/>
    <hyperlink xmlns:r="http://schemas.openxmlformats.org/officeDocument/2006/relationships" ref="H51" r:id="rId96"/>
    <hyperlink xmlns:r="http://schemas.openxmlformats.org/officeDocument/2006/relationships" ref="H52" r:id="rId97"/>
    <hyperlink xmlns:r="http://schemas.openxmlformats.org/officeDocument/2006/relationships" ref="H53" r:id="rId98"/>
    <hyperlink xmlns:r="http://schemas.openxmlformats.org/officeDocument/2006/relationships" ref="H54" r:id="rId99"/>
    <hyperlink xmlns:r="http://schemas.openxmlformats.org/officeDocument/2006/relationships" ref="H55" r:id="rId100"/>
    <hyperlink xmlns:r="http://schemas.openxmlformats.org/officeDocument/2006/relationships" ref="H56" r:id="rId101"/>
    <hyperlink xmlns:r="http://schemas.openxmlformats.org/officeDocument/2006/relationships" ref="H57" r:id="rId102"/>
    <hyperlink xmlns:r="http://schemas.openxmlformats.org/officeDocument/2006/relationships" ref="H58" r:id="rId103"/>
    <hyperlink xmlns:r="http://schemas.openxmlformats.org/officeDocument/2006/relationships" ref="G59" r:id="rId104"/>
    <hyperlink xmlns:r="http://schemas.openxmlformats.org/officeDocument/2006/relationships" ref="H59" r:id="rId105"/>
    <hyperlink xmlns:r="http://schemas.openxmlformats.org/officeDocument/2006/relationships" ref="G60" r:id="rId106"/>
    <hyperlink xmlns:r="http://schemas.openxmlformats.org/officeDocument/2006/relationships" ref="H60" r:id="rId107"/>
    <hyperlink xmlns:r="http://schemas.openxmlformats.org/officeDocument/2006/relationships" ref="G61" r:id="rId108"/>
    <hyperlink xmlns:r="http://schemas.openxmlformats.org/officeDocument/2006/relationships" ref="H61" r:id="rId109"/>
    <hyperlink xmlns:r="http://schemas.openxmlformats.org/officeDocument/2006/relationships" ref="G62" r:id="rId110"/>
    <hyperlink xmlns:r="http://schemas.openxmlformats.org/officeDocument/2006/relationships" ref="H62" r:id="rId111"/>
    <hyperlink xmlns:r="http://schemas.openxmlformats.org/officeDocument/2006/relationships" ref="G63" r:id="rId112"/>
    <hyperlink xmlns:r="http://schemas.openxmlformats.org/officeDocument/2006/relationships" ref="H63" r:id="rId113"/>
    <hyperlink xmlns:r="http://schemas.openxmlformats.org/officeDocument/2006/relationships" ref="G64" r:id="rId114"/>
    <hyperlink xmlns:r="http://schemas.openxmlformats.org/officeDocument/2006/relationships" ref="H64" r:id="rId115"/>
    <hyperlink xmlns:r="http://schemas.openxmlformats.org/officeDocument/2006/relationships" ref="G65" r:id="rId116"/>
    <hyperlink xmlns:r="http://schemas.openxmlformats.org/officeDocument/2006/relationships" ref="H65" r:id="rId117"/>
    <hyperlink xmlns:r="http://schemas.openxmlformats.org/officeDocument/2006/relationships" ref="G66" r:id="rId118"/>
    <hyperlink xmlns:r="http://schemas.openxmlformats.org/officeDocument/2006/relationships" ref="H66" r:id="rId119"/>
    <hyperlink xmlns:r="http://schemas.openxmlformats.org/officeDocument/2006/relationships" ref="G67" r:id="rId120"/>
    <hyperlink xmlns:r="http://schemas.openxmlformats.org/officeDocument/2006/relationships" ref="H67" r:id="rId121"/>
    <hyperlink xmlns:r="http://schemas.openxmlformats.org/officeDocument/2006/relationships" ref="G68" r:id="rId122"/>
    <hyperlink xmlns:r="http://schemas.openxmlformats.org/officeDocument/2006/relationships" ref="H68" r:id="rId123"/>
    <hyperlink xmlns:r="http://schemas.openxmlformats.org/officeDocument/2006/relationships" ref="G69" r:id="rId124"/>
    <hyperlink xmlns:r="http://schemas.openxmlformats.org/officeDocument/2006/relationships" ref="H69" r:id="rId125"/>
    <hyperlink xmlns:r="http://schemas.openxmlformats.org/officeDocument/2006/relationships" ref="G70" r:id="rId126"/>
    <hyperlink xmlns:r="http://schemas.openxmlformats.org/officeDocument/2006/relationships" ref="H70" r:id="rId127"/>
    <hyperlink xmlns:r="http://schemas.openxmlformats.org/officeDocument/2006/relationships" ref="G71" r:id="rId128"/>
    <hyperlink xmlns:r="http://schemas.openxmlformats.org/officeDocument/2006/relationships" ref="H71" r:id="rId129"/>
    <hyperlink xmlns:r="http://schemas.openxmlformats.org/officeDocument/2006/relationships" ref="G72" r:id="rId130"/>
    <hyperlink xmlns:r="http://schemas.openxmlformats.org/officeDocument/2006/relationships" ref="H72" r:id="rId131"/>
    <hyperlink xmlns:r="http://schemas.openxmlformats.org/officeDocument/2006/relationships" ref="G73" r:id="rId132"/>
    <hyperlink xmlns:r="http://schemas.openxmlformats.org/officeDocument/2006/relationships" ref="H73" r:id="rId133"/>
    <hyperlink xmlns:r="http://schemas.openxmlformats.org/officeDocument/2006/relationships" ref="G74" r:id="rId134"/>
    <hyperlink xmlns:r="http://schemas.openxmlformats.org/officeDocument/2006/relationships" ref="H74" r:id="rId135"/>
    <hyperlink xmlns:r="http://schemas.openxmlformats.org/officeDocument/2006/relationships" ref="G75" r:id="rId136"/>
    <hyperlink xmlns:r="http://schemas.openxmlformats.org/officeDocument/2006/relationships" ref="H75" r:id="rId137"/>
    <hyperlink xmlns:r="http://schemas.openxmlformats.org/officeDocument/2006/relationships" ref="G76" r:id="rId138"/>
    <hyperlink xmlns:r="http://schemas.openxmlformats.org/officeDocument/2006/relationships" ref="H76" r:id="rId139"/>
    <hyperlink xmlns:r="http://schemas.openxmlformats.org/officeDocument/2006/relationships" ref="G77" r:id="rId140"/>
    <hyperlink xmlns:r="http://schemas.openxmlformats.org/officeDocument/2006/relationships" ref="H77" r:id="rId141"/>
    <hyperlink xmlns:r="http://schemas.openxmlformats.org/officeDocument/2006/relationships" ref="G78" r:id="rId142"/>
    <hyperlink xmlns:r="http://schemas.openxmlformats.org/officeDocument/2006/relationships" ref="H78" r:id="rId143"/>
    <hyperlink xmlns:r="http://schemas.openxmlformats.org/officeDocument/2006/relationships" ref="G79" r:id="rId144"/>
    <hyperlink xmlns:r="http://schemas.openxmlformats.org/officeDocument/2006/relationships" ref="H79" r:id="rId145"/>
    <hyperlink xmlns:r="http://schemas.openxmlformats.org/officeDocument/2006/relationships" ref="G80" r:id="rId146"/>
    <hyperlink xmlns:r="http://schemas.openxmlformats.org/officeDocument/2006/relationships" ref="H80" r:id="rId147"/>
    <hyperlink xmlns:r="http://schemas.openxmlformats.org/officeDocument/2006/relationships" ref="G81" r:id="rId148"/>
    <hyperlink xmlns:r="http://schemas.openxmlformats.org/officeDocument/2006/relationships" ref="H81" r:id="rId149"/>
    <hyperlink xmlns:r="http://schemas.openxmlformats.org/officeDocument/2006/relationships" ref="G82" r:id="rId150"/>
    <hyperlink xmlns:r="http://schemas.openxmlformats.org/officeDocument/2006/relationships" ref="H82" r:id="rId151"/>
    <hyperlink xmlns:r="http://schemas.openxmlformats.org/officeDocument/2006/relationships" ref="G83" r:id="rId152"/>
    <hyperlink xmlns:r="http://schemas.openxmlformats.org/officeDocument/2006/relationships" ref="H83" r:id="rId153"/>
    <hyperlink xmlns:r="http://schemas.openxmlformats.org/officeDocument/2006/relationships" ref="G84" r:id="rId154"/>
    <hyperlink xmlns:r="http://schemas.openxmlformats.org/officeDocument/2006/relationships" ref="H84" r:id="rId155"/>
    <hyperlink xmlns:r="http://schemas.openxmlformats.org/officeDocument/2006/relationships" ref="G85" r:id="rId156"/>
    <hyperlink xmlns:r="http://schemas.openxmlformats.org/officeDocument/2006/relationships" ref="H85" r:id="rId157"/>
    <hyperlink xmlns:r="http://schemas.openxmlformats.org/officeDocument/2006/relationships" ref="G86" r:id="rId158"/>
    <hyperlink xmlns:r="http://schemas.openxmlformats.org/officeDocument/2006/relationships" ref="H86" r:id="rId159"/>
    <hyperlink xmlns:r="http://schemas.openxmlformats.org/officeDocument/2006/relationships" ref="G87" r:id="rId160"/>
    <hyperlink xmlns:r="http://schemas.openxmlformats.org/officeDocument/2006/relationships" ref="H87" r:id="rId161"/>
    <hyperlink xmlns:r="http://schemas.openxmlformats.org/officeDocument/2006/relationships" ref="G88" r:id="rId162"/>
    <hyperlink xmlns:r="http://schemas.openxmlformats.org/officeDocument/2006/relationships" ref="H88" r:id="rId163"/>
    <hyperlink xmlns:r="http://schemas.openxmlformats.org/officeDocument/2006/relationships" ref="G89" r:id="rId164"/>
    <hyperlink xmlns:r="http://schemas.openxmlformats.org/officeDocument/2006/relationships" ref="H89" r:id="rId165"/>
    <hyperlink xmlns:r="http://schemas.openxmlformats.org/officeDocument/2006/relationships" ref="G90" r:id="rId166"/>
    <hyperlink xmlns:r="http://schemas.openxmlformats.org/officeDocument/2006/relationships" ref="H90" r:id="rId167"/>
    <hyperlink xmlns:r="http://schemas.openxmlformats.org/officeDocument/2006/relationships" ref="G91" r:id="rId168"/>
    <hyperlink xmlns:r="http://schemas.openxmlformats.org/officeDocument/2006/relationships" ref="H91" r:id="rId169"/>
    <hyperlink xmlns:r="http://schemas.openxmlformats.org/officeDocument/2006/relationships" ref="G92" r:id="rId170"/>
    <hyperlink xmlns:r="http://schemas.openxmlformats.org/officeDocument/2006/relationships" ref="H92" r:id="rId171"/>
    <hyperlink xmlns:r="http://schemas.openxmlformats.org/officeDocument/2006/relationships" ref="G93" r:id="rId172"/>
    <hyperlink xmlns:r="http://schemas.openxmlformats.org/officeDocument/2006/relationships" ref="H93" r:id="rId173"/>
    <hyperlink xmlns:r="http://schemas.openxmlformats.org/officeDocument/2006/relationships" ref="G94" r:id="rId174"/>
    <hyperlink xmlns:r="http://schemas.openxmlformats.org/officeDocument/2006/relationships" ref="H94" r:id="rId175"/>
    <hyperlink xmlns:r="http://schemas.openxmlformats.org/officeDocument/2006/relationships" ref="G95" r:id="rId176"/>
    <hyperlink xmlns:r="http://schemas.openxmlformats.org/officeDocument/2006/relationships" ref="H95" r:id="rId177"/>
    <hyperlink xmlns:r="http://schemas.openxmlformats.org/officeDocument/2006/relationships" ref="G96" r:id="rId178"/>
    <hyperlink xmlns:r="http://schemas.openxmlformats.org/officeDocument/2006/relationships" ref="H96" r:id="rId179"/>
    <hyperlink xmlns:r="http://schemas.openxmlformats.org/officeDocument/2006/relationships" ref="G97" r:id="rId180"/>
    <hyperlink xmlns:r="http://schemas.openxmlformats.org/officeDocument/2006/relationships" ref="H97" r:id="rId181"/>
    <hyperlink xmlns:r="http://schemas.openxmlformats.org/officeDocument/2006/relationships" ref="G98" r:id="rId182"/>
    <hyperlink xmlns:r="http://schemas.openxmlformats.org/officeDocument/2006/relationships" ref="H98" r:id="rId183"/>
    <hyperlink xmlns:r="http://schemas.openxmlformats.org/officeDocument/2006/relationships" ref="H99" r:id="rId184"/>
    <hyperlink xmlns:r="http://schemas.openxmlformats.org/officeDocument/2006/relationships" ref="H100" r:id="rId185"/>
    <hyperlink xmlns:r="http://schemas.openxmlformats.org/officeDocument/2006/relationships" ref="H101" r:id="rId186"/>
    <hyperlink xmlns:r="http://schemas.openxmlformats.org/officeDocument/2006/relationships" ref="G102" r:id="rId187"/>
    <hyperlink xmlns:r="http://schemas.openxmlformats.org/officeDocument/2006/relationships" ref="H102" r:id="rId188"/>
    <hyperlink xmlns:r="http://schemas.openxmlformats.org/officeDocument/2006/relationships" ref="G103" r:id="rId189"/>
    <hyperlink xmlns:r="http://schemas.openxmlformats.org/officeDocument/2006/relationships" ref="H103" r:id="rId190"/>
    <hyperlink xmlns:r="http://schemas.openxmlformats.org/officeDocument/2006/relationships" ref="G104" r:id="rId191"/>
    <hyperlink xmlns:r="http://schemas.openxmlformats.org/officeDocument/2006/relationships" ref="H104" r:id="rId192"/>
    <hyperlink xmlns:r="http://schemas.openxmlformats.org/officeDocument/2006/relationships" ref="G105" r:id="rId193"/>
    <hyperlink xmlns:r="http://schemas.openxmlformats.org/officeDocument/2006/relationships" ref="H105" r:id="rId194"/>
    <hyperlink xmlns:r="http://schemas.openxmlformats.org/officeDocument/2006/relationships" ref="G106" r:id="rId195"/>
    <hyperlink xmlns:r="http://schemas.openxmlformats.org/officeDocument/2006/relationships" ref="H106" r:id="rId196"/>
    <hyperlink xmlns:r="http://schemas.openxmlformats.org/officeDocument/2006/relationships" ref="G107" r:id="rId197"/>
    <hyperlink xmlns:r="http://schemas.openxmlformats.org/officeDocument/2006/relationships" ref="H107" r:id="rId198"/>
    <hyperlink xmlns:r="http://schemas.openxmlformats.org/officeDocument/2006/relationships" ref="G108" r:id="rId199"/>
    <hyperlink xmlns:r="http://schemas.openxmlformats.org/officeDocument/2006/relationships" ref="H108" r:id="rId200"/>
    <hyperlink xmlns:r="http://schemas.openxmlformats.org/officeDocument/2006/relationships" ref="G109" r:id="rId201"/>
    <hyperlink xmlns:r="http://schemas.openxmlformats.org/officeDocument/2006/relationships" ref="H109" r:id="rId202"/>
    <hyperlink xmlns:r="http://schemas.openxmlformats.org/officeDocument/2006/relationships" ref="G110" r:id="rId203"/>
    <hyperlink xmlns:r="http://schemas.openxmlformats.org/officeDocument/2006/relationships" ref="H110" r:id="rId204"/>
    <hyperlink xmlns:r="http://schemas.openxmlformats.org/officeDocument/2006/relationships" ref="G111" r:id="rId205"/>
    <hyperlink xmlns:r="http://schemas.openxmlformats.org/officeDocument/2006/relationships" ref="H111" r:id="rId206"/>
    <hyperlink xmlns:r="http://schemas.openxmlformats.org/officeDocument/2006/relationships" ref="G112" r:id="rId207"/>
    <hyperlink xmlns:r="http://schemas.openxmlformats.org/officeDocument/2006/relationships" ref="H112" r:id="rId208"/>
    <hyperlink xmlns:r="http://schemas.openxmlformats.org/officeDocument/2006/relationships" ref="G113" r:id="rId209"/>
    <hyperlink xmlns:r="http://schemas.openxmlformats.org/officeDocument/2006/relationships" ref="H113" r:id="rId210"/>
    <hyperlink xmlns:r="http://schemas.openxmlformats.org/officeDocument/2006/relationships" ref="G114" r:id="rId211"/>
    <hyperlink xmlns:r="http://schemas.openxmlformats.org/officeDocument/2006/relationships" ref="H114" r:id="rId212"/>
    <hyperlink xmlns:r="http://schemas.openxmlformats.org/officeDocument/2006/relationships" ref="G115" r:id="rId213"/>
    <hyperlink xmlns:r="http://schemas.openxmlformats.org/officeDocument/2006/relationships" ref="H115" r:id="rId214"/>
    <hyperlink xmlns:r="http://schemas.openxmlformats.org/officeDocument/2006/relationships" ref="G116" r:id="rId215"/>
    <hyperlink xmlns:r="http://schemas.openxmlformats.org/officeDocument/2006/relationships" ref="H116" r:id="rId216"/>
    <hyperlink xmlns:r="http://schemas.openxmlformats.org/officeDocument/2006/relationships" ref="G117" r:id="rId217"/>
    <hyperlink xmlns:r="http://schemas.openxmlformats.org/officeDocument/2006/relationships" ref="H117" r:id="rId218"/>
    <hyperlink xmlns:r="http://schemas.openxmlformats.org/officeDocument/2006/relationships" ref="G118" r:id="rId219"/>
    <hyperlink xmlns:r="http://schemas.openxmlformats.org/officeDocument/2006/relationships" ref="H118" r:id="rId220"/>
    <hyperlink xmlns:r="http://schemas.openxmlformats.org/officeDocument/2006/relationships" ref="G119" r:id="rId221"/>
    <hyperlink xmlns:r="http://schemas.openxmlformats.org/officeDocument/2006/relationships" ref="H119" r:id="rId222"/>
    <hyperlink xmlns:r="http://schemas.openxmlformats.org/officeDocument/2006/relationships" ref="G120" r:id="rId223"/>
    <hyperlink xmlns:r="http://schemas.openxmlformats.org/officeDocument/2006/relationships" ref="H120" r:id="rId224"/>
    <hyperlink xmlns:r="http://schemas.openxmlformats.org/officeDocument/2006/relationships" ref="G121" r:id="rId225"/>
    <hyperlink xmlns:r="http://schemas.openxmlformats.org/officeDocument/2006/relationships" ref="H121" r:id="rId226"/>
    <hyperlink xmlns:r="http://schemas.openxmlformats.org/officeDocument/2006/relationships" ref="G122" r:id="rId227"/>
    <hyperlink xmlns:r="http://schemas.openxmlformats.org/officeDocument/2006/relationships" ref="H122" r:id="rId228"/>
    <hyperlink xmlns:r="http://schemas.openxmlformats.org/officeDocument/2006/relationships" ref="G123" r:id="rId229"/>
    <hyperlink xmlns:r="http://schemas.openxmlformats.org/officeDocument/2006/relationships" ref="H123" r:id="rId230"/>
    <hyperlink xmlns:r="http://schemas.openxmlformats.org/officeDocument/2006/relationships" ref="G124" r:id="rId231"/>
    <hyperlink xmlns:r="http://schemas.openxmlformats.org/officeDocument/2006/relationships" ref="H124" r:id="rId232"/>
    <hyperlink xmlns:r="http://schemas.openxmlformats.org/officeDocument/2006/relationships" ref="G125" r:id="rId233"/>
    <hyperlink xmlns:r="http://schemas.openxmlformats.org/officeDocument/2006/relationships" ref="H125" r:id="rId234"/>
    <hyperlink xmlns:r="http://schemas.openxmlformats.org/officeDocument/2006/relationships" ref="G126" r:id="rId235"/>
    <hyperlink xmlns:r="http://schemas.openxmlformats.org/officeDocument/2006/relationships" ref="H126" r:id="rId236"/>
    <hyperlink xmlns:r="http://schemas.openxmlformats.org/officeDocument/2006/relationships" ref="G127" r:id="rId237"/>
    <hyperlink xmlns:r="http://schemas.openxmlformats.org/officeDocument/2006/relationships" ref="H127" r:id="rId238"/>
    <hyperlink xmlns:r="http://schemas.openxmlformats.org/officeDocument/2006/relationships" ref="G128" r:id="rId239"/>
    <hyperlink xmlns:r="http://schemas.openxmlformats.org/officeDocument/2006/relationships" ref="H128" r:id="rId240"/>
    <hyperlink xmlns:r="http://schemas.openxmlformats.org/officeDocument/2006/relationships" ref="G129" r:id="rId241"/>
    <hyperlink xmlns:r="http://schemas.openxmlformats.org/officeDocument/2006/relationships" ref="H129" r:id="rId242"/>
    <hyperlink xmlns:r="http://schemas.openxmlformats.org/officeDocument/2006/relationships" ref="G130" r:id="rId243"/>
    <hyperlink xmlns:r="http://schemas.openxmlformats.org/officeDocument/2006/relationships" ref="H130" r:id="rId244"/>
    <hyperlink xmlns:r="http://schemas.openxmlformats.org/officeDocument/2006/relationships" ref="G131" r:id="rId245"/>
    <hyperlink xmlns:r="http://schemas.openxmlformats.org/officeDocument/2006/relationships" ref="H131" r:id="rId246"/>
    <hyperlink xmlns:r="http://schemas.openxmlformats.org/officeDocument/2006/relationships" ref="G132" r:id="rId247"/>
    <hyperlink xmlns:r="http://schemas.openxmlformats.org/officeDocument/2006/relationships" ref="H132" r:id="rId248"/>
    <hyperlink xmlns:r="http://schemas.openxmlformats.org/officeDocument/2006/relationships" ref="G133" r:id="rId249"/>
    <hyperlink xmlns:r="http://schemas.openxmlformats.org/officeDocument/2006/relationships" ref="H133" r:id="rId250"/>
    <hyperlink xmlns:r="http://schemas.openxmlformats.org/officeDocument/2006/relationships" ref="G134" r:id="rId251"/>
    <hyperlink xmlns:r="http://schemas.openxmlformats.org/officeDocument/2006/relationships" ref="H134" r:id="rId252"/>
    <hyperlink xmlns:r="http://schemas.openxmlformats.org/officeDocument/2006/relationships" ref="G135" r:id="rId253"/>
    <hyperlink xmlns:r="http://schemas.openxmlformats.org/officeDocument/2006/relationships" ref="H135" r:id="rId254"/>
    <hyperlink xmlns:r="http://schemas.openxmlformats.org/officeDocument/2006/relationships" ref="G136" r:id="rId255"/>
    <hyperlink xmlns:r="http://schemas.openxmlformats.org/officeDocument/2006/relationships" ref="H136" r:id="rId256"/>
    <hyperlink xmlns:r="http://schemas.openxmlformats.org/officeDocument/2006/relationships" ref="G137" r:id="rId257"/>
    <hyperlink xmlns:r="http://schemas.openxmlformats.org/officeDocument/2006/relationships" ref="H137" r:id="rId258"/>
    <hyperlink xmlns:r="http://schemas.openxmlformats.org/officeDocument/2006/relationships" ref="G138" r:id="rId259"/>
    <hyperlink xmlns:r="http://schemas.openxmlformats.org/officeDocument/2006/relationships" ref="H138" r:id="rId260"/>
    <hyperlink xmlns:r="http://schemas.openxmlformats.org/officeDocument/2006/relationships" ref="G139" r:id="rId261"/>
    <hyperlink xmlns:r="http://schemas.openxmlformats.org/officeDocument/2006/relationships" ref="H139" r:id="rId262"/>
    <hyperlink xmlns:r="http://schemas.openxmlformats.org/officeDocument/2006/relationships" ref="G140" r:id="rId263"/>
    <hyperlink xmlns:r="http://schemas.openxmlformats.org/officeDocument/2006/relationships" ref="H140" r:id="rId264"/>
    <hyperlink xmlns:r="http://schemas.openxmlformats.org/officeDocument/2006/relationships" ref="H141" r:id="rId265"/>
    <hyperlink xmlns:r="http://schemas.openxmlformats.org/officeDocument/2006/relationships" ref="H142" r:id="rId266"/>
    <hyperlink xmlns:r="http://schemas.openxmlformats.org/officeDocument/2006/relationships" ref="H143" r:id="rId267"/>
    <hyperlink xmlns:r="http://schemas.openxmlformats.org/officeDocument/2006/relationships" ref="H144" r:id="rId268"/>
    <hyperlink xmlns:r="http://schemas.openxmlformats.org/officeDocument/2006/relationships" ref="G145" r:id="rId269"/>
    <hyperlink xmlns:r="http://schemas.openxmlformats.org/officeDocument/2006/relationships" ref="H145" r:id="rId270"/>
    <hyperlink xmlns:r="http://schemas.openxmlformats.org/officeDocument/2006/relationships" ref="G146" r:id="rId271"/>
    <hyperlink xmlns:r="http://schemas.openxmlformats.org/officeDocument/2006/relationships" ref="H146" r:id="rId272"/>
    <hyperlink xmlns:r="http://schemas.openxmlformats.org/officeDocument/2006/relationships" ref="G147" r:id="rId273"/>
    <hyperlink xmlns:r="http://schemas.openxmlformats.org/officeDocument/2006/relationships" ref="H147" r:id="rId274"/>
    <hyperlink xmlns:r="http://schemas.openxmlformats.org/officeDocument/2006/relationships" ref="G148" r:id="rId275"/>
    <hyperlink xmlns:r="http://schemas.openxmlformats.org/officeDocument/2006/relationships" ref="H148" r:id="rId276"/>
    <hyperlink xmlns:r="http://schemas.openxmlformats.org/officeDocument/2006/relationships" ref="G149" r:id="rId277"/>
    <hyperlink xmlns:r="http://schemas.openxmlformats.org/officeDocument/2006/relationships" ref="H149" r:id="rId278"/>
    <hyperlink xmlns:r="http://schemas.openxmlformats.org/officeDocument/2006/relationships" ref="G150" r:id="rId279"/>
    <hyperlink xmlns:r="http://schemas.openxmlformats.org/officeDocument/2006/relationships" ref="H150" r:id="rId280"/>
    <hyperlink xmlns:r="http://schemas.openxmlformats.org/officeDocument/2006/relationships" ref="G151" r:id="rId281"/>
    <hyperlink xmlns:r="http://schemas.openxmlformats.org/officeDocument/2006/relationships" ref="H151" r:id="rId282"/>
    <hyperlink xmlns:r="http://schemas.openxmlformats.org/officeDocument/2006/relationships" ref="G152" r:id="rId283"/>
    <hyperlink xmlns:r="http://schemas.openxmlformats.org/officeDocument/2006/relationships" ref="H152" r:id="rId28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46" customWidth="1" min="3" max="3"/>
    <col width="12" customWidth="1" min="4" max="4"/>
    <col width="10" customWidth="1" min="5" max="5"/>
    <col width="14" customWidth="1" min="6" max="6"/>
    <col width="11" customWidth="1" min="7" max="7"/>
    <col width="34" customWidth="1" min="8" max="8"/>
  </cols>
  <sheetData>
    <row r="1">
      <c r="A1" s="20" t="inlineStr">
        <is>
          <t>Screen</t>
        </is>
      </c>
      <c r="B1" s="20" t="inlineStr">
        <is>
          <t>Section</t>
        </is>
      </c>
      <c r="C1" s="20" t="inlineStr">
        <is>
          <t>Figma URL</t>
        </is>
      </c>
      <c r="D1" s="20" t="inlineStr">
        <is>
          <t>Has Design?</t>
        </is>
      </c>
      <c r="E1" s="20" t="inlineStr">
        <is>
          <t>Built?</t>
        </is>
      </c>
      <c r="F1" s="20" t="inlineStr">
        <is>
          <t>QC Status</t>
        </is>
      </c>
      <c r="G1" s="20" t="inlineStr">
        <is>
          <t># Findings</t>
        </is>
      </c>
      <c r="H1" s="20" t="inlineStr">
        <is>
          <t>Notes</t>
        </is>
      </c>
    </row>
    <row r="2">
      <c r="A2" s="21" t="inlineStr">
        <is>
          <t>Citizen — Home / Dashboard</t>
        </is>
      </c>
      <c r="B2" s="21" t="inlineStr">
        <is>
          <t>Citizen</t>
        </is>
      </c>
      <c r="C2" s="21" t="inlineStr">
        <is>
          <t>https://www.figma.com/design/gH2vQ62cfg4677YKWuOpLc/MoSJE-Portal--Handoff-?node-id=5986-51876</t>
        </is>
      </c>
      <c r="D2" s="21" t="inlineStr">
        <is>
          <t>Yes</t>
        </is>
      </c>
      <c r="E2" s="21" t="inlineStr">
        <is>
          <t>Yes</t>
        </is>
      </c>
      <c r="F2" s="21" t="inlineStr">
        <is>
          <t>In Review</t>
        </is>
      </c>
      <c r="G2" s="21">
        <f>COUNTIF('NHAPOA'!$B:$B,"Citizen — Home / Dashboard")</f>
        <v/>
      </c>
      <c r="H2" s="21" t="inlineStr"/>
    </row>
    <row r="3">
      <c r="A3" s="23" t="inlineStr">
        <is>
          <t>Citizen — Register Grievance · Step 1: Grievance Registration</t>
        </is>
      </c>
      <c r="B3" s="23" t="inlineStr">
        <is>
          <t>Citizen</t>
        </is>
      </c>
      <c r="C3" s="23" t="inlineStr">
        <is>
          <t>https://www.figma.com/design/gH2vQ62cfg4677YKWuOpLc/MoSJE-Portal--Handoff-?node-id=5986-51959</t>
        </is>
      </c>
      <c r="D3" s="23" t="inlineStr">
        <is>
          <t>Yes</t>
        </is>
      </c>
      <c r="E3" s="23" t="inlineStr">
        <is>
          <t>Yes</t>
        </is>
      </c>
      <c r="F3" s="23" t="inlineStr">
        <is>
          <t>In Review</t>
        </is>
      </c>
      <c r="G3" s="23">
        <f>COUNTIF('NHAPOA'!$B:$B,"Citizen — Register Grievance · Step 1: Grievance Registration")</f>
        <v/>
      </c>
      <c r="H3" s="23" t="inlineStr"/>
    </row>
    <row r="4">
      <c r="A4" s="21" t="inlineStr">
        <is>
          <t>Citizen — Register Grievance · Step 2: Informer Details</t>
        </is>
      </c>
      <c r="B4" s="21" t="inlineStr">
        <is>
          <t>Citizen</t>
        </is>
      </c>
      <c r="C4" s="21" t="inlineStr">
        <is>
          <t>https://www.figma.com/design/gH2vQ62cfg4677YKWuOpLc/MoSJE-Portal--Handoff-?node-id=5986-52133</t>
        </is>
      </c>
      <c r="D4" s="21" t="inlineStr">
        <is>
          <t>Yes</t>
        </is>
      </c>
      <c r="E4" s="21" t="inlineStr">
        <is>
          <t>Yes</t>
        </is>
      </c>
      <c r="F4" s="21" t="inlineStr">
        <is>
          <t>In Review</t>
        </is>
      </c>
      <c r="G4" s="21">
        <f>COUNTIF('NHAPOA'!$B:$B,"Citizen — Register Grievance · Step 2: Informer Details")</f>
        <v/>
      </c>
      <c r="H4" s="21" t="inlineStr"/>
    </row>
    <row r="5">
      <c r="A5" s="23" t="inlineStr">
        <is>
          <t>Citizen — Register Grievance · Step 3: Victim Details</t>
        </is>
      </c>
      <c r="B5" s="23" t="inlineStr">
        <is>
          <t>Citizen</t>
        </is>
      </c>
      <c r="C5" s="23" t="inlineStr">
        <is>
          <t>https://www.figma.com/design/gH2vQ62cfg4677YKWuOpLc/MoSJE-Portal--Handoff-?node-id=5986-52231</t>
        </is>
      </c>
      <c r="D5" s="23" t="inlineStr">
        <is>
          <t>Yes</t>
        </is>
      </c>
      <c r="E5" s="23" t="inlineStr">
        <is>
          <t>Yes</t>
        </is>
      </c>
      <c r="F5" s="23" t="inlineStr">
        <is>
          <t>In Review</t>
        </is>
      </c>
      <c r="G5" s="23">
        <f>COUNTIF('NHAPOA'!$B:$B,"Citizen — Register Grievance · Step 3: Victim Details")</f>
        <v/>
      </c>
      <c r="H5" s="23" t="inlineStr"/>
    </row>
    <row r="6">
      <c r="A6" s="21" t="inlineStr">
        <is>
          <t>Citizen — Register Grievance · Step 4: Grievance Details</t>
        </is>
      </c>
      <c r="B6" s="21" t="inlineStr">
        <is>
          <t>Citizen</t>
        </is>
      </c>
      <c r="C6" s="21" t="inlineStr">
        <is>
          <t>https://www.figma.com/design/gH2vQ62cfg4677YKWuOpLc/MoSJE-Portal--Handoff-?node-id=5986-52298</t>
        </is>
      </c>
      <c r="D6" s="21" t="inlineStr">
        <is>
          <t>Yes</t>
        </is>
      </c>
      <c r="E6" s="21" t="inlineStr">
        <is>
          <t>Yes</t>
        </is>
      </c>
      <c r="F6" s="21" t="inlineStr">
        <is>
          <t>In Review</t>
        </is>
      </c>
      <c r="G6" s="21">
        <f>COUNTIF('NHAPOA'!$B:$B,"Citizen — Register Grievance · Step 4: Grievance Details")</f>
        <v/>
      </c>
      <c r="H6" s="21" t="inlineStr"/>
    </row>
    <row r="7">
      <c r="A7" s="23" t="inlineStr">
        <is>
          <t>Citizen — Register Grievance · Step 5: Review &amp; Submit</t>
        </is>
      </c>
      <c r="B7" s="23" t="inlineStr">
        <is>
          <t>Citizen</t>
        </is>
      </c>
      <c r="C7" s="23" t="inlineStr">
        <is>
          <t>https://www.figma.com/design/gH2vQ62cfg4677YKWuOpLc/MoSJE-Portal--Handoff-?node-id=5986-52429</t>
        </is>
      </c>
      <c r="D7" s="23" t="inlineStr">
        <is>
          <t>Yes</t>
        </is>
      </c>
      <c r="E7" s="23" t="inlineStr">
        <is>
          <t>Yes</t>
        </is>
      </c>
      <c r="F7" s="23" t="inlineStr">
        <is>
          <t>In Review</t>
        </is>
      </c>
      <c r="G7" s="23">
        <f>COUNTIF('NHAPOA'!$B:$B,"Citizen — Register Grievance · Step 5: Review &amp; Submit")</f>
        <v/>
      </c>
      <c r="H7" s="23" t="inlineStr"/>
    </row>
    <row r="8">
      <c r="A8" s="21" t="inlineStr">
        <is>
          <t>Citizen — Register Grievance · Confirm Submission (modal)</t>
        </is>
      </c>
      <c r="B8" s="21" t="inlineStr">
        <is>
          <t>Citizen</t>
        </is>
      </c>
      <c r="C8" s="21" t="inlineStr">
        <is>
          <t>https://www.figma.com/design/gH2vQ62cfg4677YKWuOpLc/MoSJE-Portal--Handoff-?node-id=5986-52830</t>
        </is>
      </c>
      <c r="D8" s="21" t="inlineStr">
        <is>
          <t>Yes</t>
        </is>
      </c>
      <c r="E8" s="21" t="inlineStr">
        <is>
          <t>Yes</t>
        </is>
      </c>
      <c r="F8" s="21" t="inlineStr">
        <is>
          <t>In Review</t>
        </is>
      </c>
      <c r="G8" s="21">
        <f>COUNTIF('NHAPOA'!$B:$B,"Citizen — Register Grievance · Confirm Submission (modal)")</f>
        <v/>
      </c>
      <c r="H8" s="21" t="inlineStr"/>
    </row>
    <row r="9">
      <c r="A9" s="23" t="inlineStr">
        <is>
          <t>Citizen — Register Grievance · Success</t>
        </is>
      </c>
      <c r="B9" s="23" t="inlineStr">
        <is>
          <t>Citizen</t>
        </is>
      </c>
      <c r="C9" s="23" t="inlineStr">
        <is>
          <t>https://www.figma.com/design/gH2vQ62cfg4677YKWuOpLc/MoSJE-Portal--Handoff-?node-id=5986-52526</t>
        </is>
      </c>
      <c r="D9" s="23" t="inlineStr">
        <is>
          <t>Yes</t>
        </is>
      </c>
      <c r="E9" s="23" t="inlineStr">
        <is>
          <t>Yes</t>
        </is>
      </c>
      <c r="F9" s="23" t="inlineStr">
        <is>
          <t>In Review</t>
        </is>
      </c>
      <c r="G9" s="23">
        <f>COUNTIF('NHAPOA'!$B:$B,"Citizen — Register Grievance · Success")</f>
        <v/>
      </c>
      <c r="H9" s="23" t="inlineStr"/>
    </row>
    <row r="10">
      <c r="A10" s="21" t="inlineStr">
        <is>
          <t>Citizen — Register Rescue</t>
        </is>
      </c>
      <c r="B10" s="21" t="inlineStr">
        <is>
          <t>Citizen</t>
        </is>
      </c>
      <c r="C10" s="21" t="inlineStr"/>
      <c r="D10" s="21" t="inlineStr">
        <is>
          <t>No</t>
        </is>
      </c>
      <c r="E10" s="21" t="inlineStr">
        <is>
          <t>Yes</t>
        </is>
      </c>
      <c r="F10" s="21" t="inlineStr">
        <is>
          <t>In Review</t>
        </is>
      </c>
      <c r="G10" s="21">
        <f>COUNTIF('NHAPOA'!$B:$B,"Citizen — Register Rescue")</f>
        <v/>
      </c>
      <c r="H10" s="21" t="inlineStr"/>
    </row>
    <row r="11">
      <c r="A11" s="23" t="inlineStr">
        <is>
          <t>Citizen — Track Status · Lookup (Reference ID / Mobile)</t>
        </is>
      </c>
      <c r="B11" s="23" t="inlineStr">
        <is>
          <t>Citizen</t>
        </is>
      </c>
      <c r="C11" s="23" t="inlineStr">
        <is>
          <t>https://www.figma.com/design/gH2vQ62cfg4677YKWuOpLc/MoSJE-Portal--Handoff-?node-id=5986-53203</t>
        </is>
      </c>
      <c r="D11" s="23" t="inlineStr">
        <is>
          <t>Yes</t>
        </is>
      </c>
      <c r="E11" s="23" t="inlineStr">
        <is>
          <t>Yes</t>
        </is>
      </c>
      <c r="F11" s="23" t="inlineStr">
        <is>
          <t>In Review</t>
        </is>
      </c>
      <c r="G11" s="23">
        <f>COUNTIF('NHAPOA'!$B:$B,"Citizen — Track Status · Lookup (Reference ID / Mobile)")</f>
        <v/>
      </c>
      <c r="H11" s="23" t="inlineStr"/>
    </row>
    <row r="12">
      <c r="A12" s="21" t="inlineStr">
        <is>
          <t>Citizen — Track Status · Result (View Details)</t>
        </is>
      </c>
      <c r="B12" s="21" t="inlineStr">
        <is>
          <t>Citizen</t>
        </is>
      </c>
      <c r="C12" s="21" t="inlineStr">
        <is>
          <t>https://www.figma.com/design/gH2vQ62cfg4677YKWuOpLc/MoSJE-Portal--Handoff-?node-id=5986-53285</t>
        </is>
      </c>
      <c r="D12" s="21" t="inlineStr">
        <is>
          <t>Yes</t>
        </is>
      </c>
      <c r="E12" s="21" t="inlineStr">
        <is>
          <t>Yes</t>
        </is>
      </c>
      <c r="F12" s="21" t="inlineStr">
        <is>
          <t>In Review</t>
        </is>
      </c>
      <c r="G12" s="21">
        <f>COUNTIF('NHAPOA'!$B:$B,"Citizen — Track Status · Result (View Details)")</f>
        <v/>
      </c>
      <c r="H12" s="21" t="inlineStr"/>
    </row>
    <row r="13">
      <c r="A13" s="23" t="inlineStr">
        <is>
          <t>Citizen — Help &amp; FAQs</t>
        </is>
      </c>
      <c r="B13" s="23" t="inlineStr">
        <is>
          <t>Citizen</t>
        </is>
      </c>
      <c r="C13" s="23" t="inlineStr">
        <is>
          <t>https://www.figma.com/design/gH2vQ62cfg4677YKWuOpLc/MoSJE-Portal--Handoff-?node-id=5986-53669</t>
        </is>
      </c>
      <c r="D13" s="23" t="inlineStr">
        <is>
          <t>Yes</t>
        </is>
      </c>
      <c r="E13" s="23" t="inlineStr">
        <is>
          <t>Yes</t>
        </is>
      </c>
      <c r="F13" s="23" t="inlineStr">
        <is>
          <t>In Review</t>
        </is>
      </c>
      <c r="G13" s="23">
        <f>COUNTIF('NHAPOA'!$B:$B,"Citizen — Help &amp; FAQs")</f>
        <v/>
      </c>
      <c r="H13" s="23" t="inlineStr"/>
    </row>
    <row r="14">
      <c r="A14" s="21" t="inlineStr">
        <is>
          <t>Register Rescue · Filled</t>
        </is>
      </c>
      <c r="B14" s="21" t="inlineStr">
        <is>
          <t>Citizen</t>
        </is>
      </c>
      <c r="C14" s="21" t="inlineStr"/>
      <c r="D14" s="21" t="inlineStr">
        <is>
          <t>No</t>
        </is>
      </c>
      <c r="E14" s="21" t="inlineStr">
        <is>
          <t>Yes</t>
        </is>
      </c>
      <c r="F14" s="21" t="inlineStr">
        <is>
          <t>In Review</t>
        </is>
      </c>
      <c r="G14" s="21">
        <f>COUNTIF('NHAPOA'!$B:$B,"Register Rescue · Filled")</f>
        <v/>
      </c>
      <c r="H14" s="21" t="inlineStr"/>
    </row>
    <row r="15">
      <c r="A15" s="23" t="inlineStr">
        <is>
          <t>Register Rescue · OTP verification</t>
        </is>
      </c>
      <c r="B15" s="23" t="inlineStr">
        <is>
          <t>Citizen</t>
        </is>
      </c>
      <c r="C15" s="23" t="inlineStr"/>
      <c r="D15" s="23" t="inlineStr">
        <is>
          <t>No</t>
        </is>
      </c>
      <c r="E15" s="23" t="inlineStr">
        <is>
          <t>Yes</t>
        </is>
      </c>
      <c r="F15" s="23" t="inlineStr">
        <is>
          <t>In Review</t>
        </is>
      </c>
      <c r="G15" s="23">
        <f>COUNTIF('NHAPOA'!$B:$B,"Register Rescue · OTP verification")</f>
        <v/>
      </c>
      <c r="H15" s="23" t="inlineStr"/>
    </row>
    <row r="16">
      <c r="A16" s="21" t="inlineStr">
        <is>
          <t>Register Rescue · Mobile verified</t>
        </is>
      </c>
      <c r="B16" s="21" t="inlineStr">
        <is>
          <t>Citizen</t>
        </is>
      </c>
      <c r="C16" s="21" t="inlineStr"/>
      <c r="D16" s="21" t="inlineStr">
        <is>
          <t>No</t>
        </is>
      </c>
      <c r="E16" s="21" t="inlineStr">
        <is>
          <t>Yes</t>
        </is>
      </c>
      <c r="F16" s="21" t="inlineStr">
        <is>
          <t>In Review</t>
        </is>
      </c>
      <c r="G16" s="21">
        <f>COUNTIF('NHAPOA'!$B:$B,"Register Rescue · Mobile verified")</f>
        <v/>
      </c>
      <c r="H16" s="21" t="inlineStr"/>
    </row>
    <row r="17">
      <c r="A17" s="23" t="inlineStr">
        <is>
          <t>Register Rescue · Success</t>
        </is>
      </c>
      <c r="B17" s="23" t="inlineStr">
        <is>
          <t>Citizen</t>
        </is>
      </c>
      <c r="C17" s="23" t="inlineStr"/>
      <c r="D17" s="23" t="inlineStr">
        <is>
          <t>No</t>
        </is>
      </c>
      <c r="E17" s="23" t="inlineStr">
        <is>
          <t>Yes</t>
        </is>
      </c>
      <c r="F17" s="23" t="inlineStr">
        <is>
          <t>In Review</t>
        </is>
      </c>
      <c r="G17" s="23">
        <f>COUNTIF('NHAPOA'!$B:$B,"Register Rescue · Success")</f>
        <v/>
      </c>
      <c r="H17" s="23" t="inlineStr"/>
    </row>
    <row r="18">
      <c r="A18" s="21" t="inlineStr">
        <is>
          <t>Track Status · Reference entered (pre-OTP)</t>
        </is>
      </c>
      <c r="B18" s="21" t="inlineStr">
        <is>
          <t>Citizen</t>
        </is>
      </c>
      <c r="C18" s="21" t="inlineStr"/>
      <c r="D18" s="21" t="inlineStr">
        <is>
          <t>No</t>
        </is>
      </c>
      <c r="E18" s="21" t="inlineStr">
        <is>
          <t>Yes</t>
        </is>
      </c>
      <c r="F18" s="21" t="inlineStr">
        <is>
          <t>In Review</t>
        </is>
      </c>
      <c r="G18" s="21">
        <f>COUNTIF('NHAPOA'!$B:$B,"Track Status · Reference entered (pre-OTP)")</f>
        <v/>
      </c>
      <c r="H18" s="21" t="inlineStr"/>
    </row>
    <row r="19">
      <c r="A19" s="23" t="inlineStr">
        <is>
          <t>Login &amp; Authentication — Sign In</t>
        </is>
      </c>
      <c r="B19" s="23" t="inlineStr">
        <is>
          <t>Login</t>
        </is>
      </c>
      <c r="C19" s="23" t="inlineStr">
        <is>
          <t>https://www.figma.com/design/gH2vQ62cfg4677YKWuOpLc/MoSJE-Portal--Handoff-?node-id=10434-159436</t>
        </is>
      </c>
      <c r="D19" s="23" t="inlineStr">
        <is>
          <t>Yes</t>
        </is>
      </c>
      <c r="E19" s="23" t="inlineStr">
        <is>
          <t>Yes</t>
        </is>
      </c>
      <c r="F19" s="23" t="inlineStr">
        <is>
          <t>In Review</t>
        </is>
      </c>
      <c r="G19" s="23">
        <f>COUNTIF('NHAPOA'!$B:$B,"Login &amp; Authentication — Sign In")</f>
        <v/>
      </c>
      <c r="H19" s="23" t="inlineStr"/>
    </row>
    <row r="20">
      <c r="A20" s="21" t="inlineStr">
        <is>
          <t>Login &amp; Authentication — Choose Portal</t>
        </is>
      </c>
      <c r="B20" s="21" t="inlineStr">
        <is>
          <t>Login</t>
        </is>
      </c>
      <c r="C20" s="21" t="inlineStr">
        <is>
          <t>https://www.figma.com/design/gH2vQ62cfg4677YKWuOpLc/MoSJE-Portal--Handoff-?node-id=10434-159687</t>
        </is>
      </c>
      <c r="D20" s="21" t="inlineStr">
        <is>
          <t>Yes</t>
        </is>
      </c>
      <c r="E20" s="21" t="inlineStr">
        <is>
          <t>Yes</t>
        </is>
      </c>
      <c r="F20" s="21" t="inlineStr">
        <is>
          <t>In Review</t>
        </is>
      </c>
      <c r="G20" s="21">
        <f>COUNTIF('NHAPOA'!$B:$B,"Login &amp; Authentication — Choose Portal")</f>
        <v/>
      </c>
      <c r="H20" s="21" t="inlineStr"/>
    </row>
    <row r="21">
      <c r="A21" s="23" t="inlineStr">
        <is>
          <t>System Admin — Grievance Monitoring</t>
        </is>
      </c>
      <c r="B21" s="23" t="inlineStr">
        <is>
          <t>System Admin</t>
        </is>
      </c>
      <c r="C21" s="23" t="inlineStr">
        <is>
          <t>https://www.figma.com/design/gH2vQ62cfg4677YKWuOpLc/MoSJE-Portal--Handoff-?node-id=5986-59480</t>
        </is>
      </c>
      <c r="D21" s="23" t="inlineStr">
        <is>
          <t>Yes</t>
        </is>
      </c>
      <c r="E21" s="23" t="inlineStr">
        <is>
          <t>Yes</t>
        </is>
      </c>
      <c r="F21" s="23" t="inlineStr">
        <is>
          <t>In Review</t>
        </is>
      </c>
      <c r="G21" s="23">
        <f>COUNTIF('NHAPOA'!$B:$B,"System Admin — Grievance Monitoring")</f>
        <v/>
      </c>
      <c r="H21" s="23" t="inlineStr">
        <is>
          <t>This list/table view is the reference build for the portal-wide table, pagination, status-chip, sidebar and neutral-token patterns — see the Global Findings section.</t>
        </is>
      </c>
    </row>
    <row r="22">
      <c r="A22" s="21" t="inlineStr">
        <is>
          <t>System Admin — User Management</t>
        </is>
      </c>
      <c r="B22" s="21" t="inlineStr">
        <is>
          <t>System Admin</t>
        </is>
      </c>
      <c r="C22" s="21" t="inlineStr">
        <is>
          <t>https://www.figma.com/design/gH2vQ62cfg4677YKWuOpLc/MoSJE-Portal--Handoff-?node-id=5986-61256</t>
        </is>
      </c>
      <c r="D22" s="21" t="inlineStr">
        <is>
          <t>Yes</t>
        </is>
      </c>
      <c r="E22" s="21" t="inlineStr">
        <is>
          <t>Yes</t>
        </is>
      </c>
      <c r="F22" s="21" t="inlineStr">
        <is>
          <t>In Review</t>
        </is>
      </c>
      <c r="G22" s="21">
        <f>COUNTIF('NHAPOA'!$B:$B,"System Admin — User Management")</f>
        <v/>
      </c>
      <c r="H22" s="21" t="inlineStr">
        <is>
          <t>Portal-wide table, pagination and neutral-token patterns are consolidated in the Global Findings section; the two items below are specific to this screen.</t>
        </is>
      </c>
    </row>
    <row r="23">
      <c r="A23" s="23" t="inlineStr">
        <is>
          <t>System Admin — Role Management</t>
        </is>
      </c>
      <c r="B23" s="23" t="inlineStr">
        <is>
          <t>System Admin</t>
        </is>
      </c>
      <c r="C23" s="23" t="inlineStr">
        <is>
          <t>https://www.figma.com/design/gH2vQ62cfg4677YKWuOpLc/MoSJE-Portal--Handoff-?node-id=5986-60823</t>
        </is>
      </c>
      <c r="D23" s="23" t="inlineStr">
        <is>
          <t>Yes</t>
        </is>
      </c>
      <c r="E23" s="23" t="inlineStr">
        <is>
          <t>Yes</t>
        </is>
      </c>
      <c r="F23" s="23" t="inlineStr">
        <is>
          <t>In Review</t>
        </is>
      </c>
      <c r="G23" s="23">
        <f>COUNTIF('NHAPOA'!$B:$B,"System Admin — Role Management")</f>
        <v/>
      </c>
      <c r="H23" s="23" t="inlineStr">
        <is>
          <t>Portal-wide patterns on this screen are consolidated in the Global Findings section (each tagged Scope: Global).</t>
        </is>
      </c>
    </row>
    <row r="24">
      <c r="A24" s="21" t="inlineStr">
        <is>
          <t>System Admin — Reports &amp; Export</t>
        </is>
      </c>
      <c r="B24" s="21" t="inlineStr">
        <is>
          <t>System Admin</t>
        </is>
      </c>
      <c r="C24" s="21" t="inlineStr">
        <is>
          <t>https://www.figma.com/design/gH2vQ62cfg4677YKWuOpLc/MoSJE-Portal--Handoff-?node-id=5986-60711</t>
        </is>
      </c>
      <c r="D24" s="21" t="inlineStr">
        <is>
          <t>Yes</t>
        </is>
      </c>
      <c r="E24" s="21" t="inlineStr">
        <is>
          <t>Yes</t>
        </is>
      </c>
      <c r="F24" s="21" t="inlineStr">
        <is>
          <t>In Review</t>
        </is>
      </c>
      <c r="G24" s="21">
        <f>COUNTIF('NHAPOA'!$B:$B,"System Admin — Reports &amp; Export")</f>
        <v/>
      </c>
      <c r="H24" s="21" t="inlineStr"/>
    </row>
    <row r="25">
      <c r="A25" s="23" t="inlineStr">
        <is>
          <t>System Admin — Notifications</t>
        </is>
      </c>
      <c r="B25" s="23" t="inlineStr">
        <is>
          <t>System Admin</t>
        </is>
      </c>
      <c r="C25" s="23" t="inlineStr">
        <is>
          <t>https://www.figma.com/design/gH2vQ62cfg4677YKWuOpLc/MoSJE-Portal--Handoff-?node-id=5986-61146</t>
        </is>
      </c>
      <c r="D25" s="23" t="inlineStr">
        <is>
          <t>Yes</t>
        </is>
      </c>
      <c r="E25" s="23" t="inlineStr">
        <is>
          <t>Yes</t>
        </is>
      </c>
      <c r="F25" s="23" t="inlineStr">
        <is>
          <t>In Review</t>
        </is>
      </c>
      <c r="G25" s="23">
        <f>COUNTIF('NHAPOA'!$B:$B,"System Admin — Notifications")</f>
        <v/>
      </c>
      <c r="H25" s="23" t="inlineStr">
        <is>
          <t>Portal-wide patterns on this screen are consolidated in the Global Findings section (each tagged Scope: Global). Some list rows / sub-states couldn't be verified on this dev build (no seeded data).</t>
        </is>
      </c>
    </row>
    <row r="26">
      <c r="A26" s="21" t="inlineStr">
        <is>
          <t>System Admin — Dashboard</t>
        </is>
      </c>
      <c r="B26" s="21" t="inlineStr">
        <is>
          <t>System Admin</t>
        </is>
      </c>
      <c r="C26" s="21" t="inlineStr">
        <is>
          <t>https://www.figma.com/design/gH2vQ62cfg4677YKWuOpLc/MoSJE-Portal--Handoff-?node-id=5986-59234</t>
        </is>
      </c>
      <c r="D26" s="21" t="inlineStr">
        <is>
          <t>Yes</t>
        </is>
      </c>
      <c r="E26" s="21" t="inlineStr">
        <is>
          <t>Yes</t>
        </is>
      </c>
      <c r="F26" s="21" t="inlineStr">
        <is>
          <t>In Review</t>
        </is>
      </c>
      <c r="G26" s="21">
        <f>COUNTIF('NHAPOA'!$B:$B,"System Admin — Dashboard")</f>
        <v/>
      </c>
      <c r="H26" s="21" t="inlineStr"/>
    </row>
    <row r="27">
      <c r="A27" s="23" t="inlineStr">
        <is>
          <t>System Admin — SLA Monitor</t>
        </is>
      </c>
      <c r="B27" s="23" t="inlineStr">
        <is>
          <t>System Admin</t>
        </is>
      </c>
      <c r="C27" s="23" t="inlineStr">
        <is>
          <t>https://www.figma.com/design/gH2vQ62cfg4677YKWuOpLc/MoSJE-Portal--Handoff-?node-id=5986-59826</t>
        </is>
      </c>
      <c r="D27" s="23" t="inlineStr">
        <is>
          <t>Yes</t>
        </is>
      </c>
      <c r="E27" s="23" t="inlineStr">
        <is>
          <t>Yes</t>
        </is>
      </c>
      <c r="F27" s="23" t="inlineStr">
        <is>
          <t>In Review</t>
        </is>
      </c>
      <c r="G27" s="23">
        <f>COUNTIF('NHAPOA'!$B:$B,"System Admin — SLA Monitor")</f>
        <v/>
      </c>
      <c r="H27" s="23" t="inlineStr"/>
    </row>
    <row r="28">
      <c r="A28" s="21" t="inlineStr">
        <is>
          <t>System Admin — Officer Performance</t>
        </is>
      </c>
      <c r="B28" s="21" t="inlineStr">
        <is>
          <t>System Admin</t>
        </is>
      </c>
      <c r="C28" s="21" t="inlineStr">
        <is>
          <t>https://www.figma.com/design/gH2vQ62cfg4677YKWuOpLc/MoSJE-Portal--Handoff-?node-id=5986-60012</t>
        </is>
      </c>
      <c r="D28" s="21" t="inlineStr">
        <is>
          <t>Yes</t>
        </is>
      </c>
      <c r="E28" s="21" t="inlineStr">
        <is>
          <t>Yes</t>
        </is>
      </c>
      <c r="F28" s="21" t="inlineStr">
        <is>
          <t>In Review</t>
        </is>
      </c>
      <c r="G28" s="21">
        <f>COUNTIF('NHAPOA'!$B:$B,"System Admin — Officer Performance")</f>
        <v/>
      </c>
      <c r="H28" s="21" t="inlineStr">
        <is>
          <t>Portal-wide patterns on this screen are consolidated in the Global Findings section (each tagged Scope: Global).</t>
        </is>
      </c>
    </row>
    <row r="29">
      <c r="A29" s="23" t="inlineStr">
        <is>
          <t>System Admin — Grievance Analytics</t>
        </is>
      </c>
      <c r="B29" s="23" t="inlineStr">
        <is>
          <t>System Admin</t>
        </is>
      </c>
      <c r="C29" s="23" t="inlineStr">
        <is>
          <t>https://www.figma.com/design/gH2vQ62cfg4677YKWuOpLc/MoSJE-Portal--Handoff-?node-id=5986-60319</t>
        </is>
      </c>
      <c r="D29" s="23" t="inlineStr">
        <is>
          <t>Yes</t>
        </is>
      </c>
      <c r="E29" s="23" t="inlineStr">
        <is>
          <t>Yes</t>
        </is>
      </c>
      <c r="F29" s="23" t="inlineStr">
        <is>
          <t>In Review</t>
        </is>
      </c>
      <c r="G29" s="23">
        <f>COUNTIF('NHAPOA'!$B:$B,"System Admin — Grievance Analytics")</f>
        <v/>
      </c>
      <c r="H29" s="23" t="inlineStr">
        <is>
          <t>Portal-wide patterns on this screen are consolidated in the Global Findings section (each tagged Scope: Global).</t>
        </is>
      </c>
    </row>
    <row r="30">
      <c r="A30" s="21" t="inlineStr">
        <is>
          <t>System Admin — Geographic View</t>
        </is>
      </c>
      <c r="B30" s="21" t="inlineStr">
        <is>
          <t>System Admin</t>
        </is>
      </c>
      <c r="C30" s="21" t="inlineStr">
        <is>
          <t>https://www.figma.com/design/gH2vQ62cfg4677YKWuOpLc/MoSJE-Portal--Handoff-?node-id=5986-60490</t>
        </is>
      </c>
      <c r="D30" s="21" t="inlineStr">
        <is>
          <t>Yes</t>
        </is>
      </c>
      <c r="E30" s="21" t="inlineStr">
        <is>
          <t>Yes</t>
        </is>
      </c>
      <c r="F30" s="21" t="inlineStr">
        <is>
          <t>In Review</t>
        </is>
      </c>
      <c r="G30" s="21">
        <f>COUNTIF('NHAPOA'!$B:$B,"System Admin — Geographic View")</f>
        <v/>
      </c>
      <c r="H30" s="21" t="inlineStr"/>
    </row>
    <row r="31">
      <c r="A31" s="23" t="inlineStr">
        <is>
          <t>System Admin — Grievance Categories</t>
        </is>
      </c>
      <c r="B31" s="23" t="inlineStr">
        <is>
          <t>System Admin</t>
        </is>
      </c>
      <c r="C31" s="23" t="inlineStr"/>
      <c r="D31" s="23" t="inlineStr">
        <is>
          <t>No</t>
        </is>
      </c>
      <c r="E31" s="23" t="inlineStr">
        <is>
          <t>Yes</t>
        </is>
      </c>
      <c r="F31" s="23" t="inlineStr">
        <is>
          <t>In Review</t>
        </is>
      </c>
      <c r="G31" s="23">
        <f>COUNTIF('NHAPOA'!$B:$B,"System Admin — Grievance Categories")</f>
        <v/>
      </c>
      <c r="H31" s="23" t="inlineStr">
        <is>
          <t>Portal-wide patterns on this screen are consolidated in the Global Findings section (each tagged Scope: Global).</t>
        </is>
      </c>
    </row>
    <row r="32">
      <c r="A32" s="21" t="inlineStr">
        <is>
          <t>System Admin — Portal Feedback</t>
        </is>
      </c>
      <c r="B32" s="21" t="inlineStr">
        <is>
          <t>System Admin</t>
        </is>
      </c>
      <c r="C32" s="21" t="inlineStr"/>
      <c r="D32" s="21" t="inlineStr">
        <is>
          <t>No</t>
        </is>
      </c>
      <c r="E32" s="21" t="inlineStr">
        <is>
          <t>Yes</t>
        </is>
      </c>
      <c r="F32" s="21" t="inlineStr">
        <is>
          <t>In Review</t>
        </is>
      </c>
      <c r="G32" s="21">
        <f>COUNTIF('NHAPOA'!$B:$B,"System Admin — Portal Feedback")</f>
        <v/>
      </c>
      <c r="H32" s="21" t="inlineStr">
        <is>
          <t>Portal-wide patterns on this screen are consolidated in the Global Findings section (each tagged Scope: Global).</t>
        </is>
      </c>
    </row>
    <row r="33">
      <c r="A33" s="23" t="inlineStr">
        <is>
          <t>District Officer — Dashboard</t>
        </is>
      </c>
      <c r="B33" s="23" t="inlineStr">
        <is>
          <t>District Officer</t>
        </is>
      </c>
      <c r="C33" s="23" t="inlineStr">
        <is>
          <t>https://www.figma.com/design/gH2vQ62cfg4677YKWuOpLc/MoSJE-Portal--Handoff-?node-id=5986-53726</t>
        </is>
      </c>
      <c r="D33" s="23" t="inlineStr">
        <is>
          <t>Yes</t>
        </is>
      </c>
      <c r="E33" s="23" t="inlineStr">
        <is>
          <t>Yes</t>
        </is>
      </c>
      <c r="F33" s="23" t="inlineStr">
        <is>
          <t>In Review</t>
        </is>
      </c>
      <c r="G33" s="23">
        <f>COUNTIF('NHAPOA'!$B:$B,"District Officer — Dashboard")</f>
        <v/>
      </c>
      <c r="H33" s="23" t="inlineStr"/>
    </row>
    <row r="34">
      <c r="A34" s="21" t="inlineStr">
        <is>
          <t>District Officer — My Cases</t>
        </is>
      </c>
      <c r="B34" s="21" t="inlineStr">
        <is>
          <t>District Officer</t>
        </is>
      </c>
      <c r="C34" s="21" t="inlineStr">
        <is>
          <t>https://www.figma.com/design/gH2vQ62cfg4677YKWuOpLc/MoSJE-Portal--Handoff-?node-id=5986-53857</t>
        </is>
      </c>
      <c r="D34" s="21" t="inlineStr">
        <is>
          <t>Yes</t>
        </is>
      </c>
      <c r="E34" s="21" t="inlineStr">
        <is>
          <t>Yes</t>
        </is>
      </c>
      <c r="F34" s="21" t="inlineStr">
        <is>
          <t>In Review</t>
        </is>
      </c>
      <c r="G34" s="21">
        <f>COUNTIF('NHAPOA'!$B:$B,"District Officer — My Cases")</f>
        <v/>
      </c>
      <c r="H34" s="21" t="inlineStr">
        <is>
          <t>Portal-wide patterns on this screen are consolidated in the Global Findings section (each tagged Scope: Global).</t>
        </is>
      </c>
    </row>
    <row r="35">
      <c r="A35" s="23" t="inlineStr">
        <is>
          <t>District Officer — Clarifications</t>
        </is>
      </c>
      <c r="B35" s="23" t="inlineStr">
        <is>
          <t>District Officer</t>
        </is>
      </c>
      <c r="C35" s="23" t="inlineStr">
        <is>
          <t>https://www.figma.com/design/gH2vQ62cfg4677YKWuOpLc/MoSJE-Portal--Handoff-?node-id=5986-55757</t>
        </is>
      </c>
      <c r="D35" s="23" t="inlineStr">
        <is>
          <t>Yes</t>
        </is>
      </c>
      <c r="E35" s="23" t="inlineStr">
        <is>
          <t>Yes</t>
        </is>
      </c>
      <c r="F35" s="23" t="inlineStr">
        <is>
          <t>In Review</t>
        </is>
      </c>
      <c r="G35" s="23">
        <f>COUNTIF('NHAPOA'!$B:$B,"District Officer — Clarifications")</f>
        <v/>
      </c>
      <c r="H35" s="23" t="inlineStr">
        <is>
          <t>Portal-wide patterns on this screen are consolidated in the Global Findings section (each tagged Scope: Global). Some list rows / sub-states couldn't be verified on this dev build (no seeded data).</t>
        </is>
      </c>
    </row>
    <row r="36">
      <c r="A36" s="21" t="inlineStr">
        <is>
          <t>District Officer — Investigation Queue</t>
        </is>
      </c>
      <c r="B36" s="21" t="inlineStr">
        <is>
          <t>District Officer</t>
        </is>
      </c>
      <c r="C36" s="21" t="inlineStr">
        <is>
          <t>https://www.figma.com/design/gH2vQ62cfg4677YKWuOpLc/MoSJE-Portal--Handoff-?node-id=5986-55831</t>
        </is>
      </c>
      <c r="D36" s="21" t="inlineStr">
        <is>
          <t>Yes</t>
        </is>
      </c>
      <c r="E36" s="21" t="inlineStr">
        <is>
          <t>Yes</t>
        </is>
      </c>
      <c r="F36" s="21" t="inlineStr">
        <is>
          <t>In Review</t>
        </is>
      </c>
      <c r="G36" s="21">
        <f>COUNTIF('NHAPOA'!$B:$B,"District Officer — Investigation Queue")</f>
        <v/>
      </c>
      <c r="H36" s="21" t="inlineStr">
        <is>
          <t>Portal-wide patterns on this screen are consolidated in the Global Findings section (each tagged Scope: Global).</t>
        </is>
      </c>
    </row>
    <row r="37">
      <c r="A37" s="23" t="inlineStr">
        <is>
          <t>District Officer — My Reports</t>
        </is>
      </c>
      <c r="B37" s="23" t="inlineStr">
        <is>
          <t>District Officer</t>
        </is>
      </c>
      <c r="C37" s="23" t="inlineStr">
        <is>
          <t>https://www.figma.com/design/gH2vQ62cfg4677YKWuOpLc/MoSJE-Portal--Handoff-?node-id=5986-55911</t>
        </is>
      </c>
      <c r="D37" s="23" t="inlineStr">
        <is>
          <t>Yes</t>
        </is>
      </c>
      <c r="E37" s="23" t="inlineStr">
        <is>
          <t>Yes</t>
        </is>
      </c>
      <c r="F37" s="23" t="inlineStr">
        <is>
          <t>In Review</t>
        </is>
      </c>
      <c r="G37" s="23">
        <f>COUNTIF('NHAPOA'!$B:$B,"District Officer — My Reports")</f>
        <v/>
      </c>
      <c r="H37" s="23" t="inlineStr">
        <is>
          <t>Portal-wide patterns on this screen are consolidated in the Global Findings section (each tagged Scope: Global).</t>
        </is>
      </c>
    </row>
    <row r="38">
      <c r="A38" s="21" t="inlineStr">
        <is>
          <t>District Officer — SLA Monitor</t>
        </is>
      </c>
      <c r="B38" s="21" t="inlineStr">
        <is>
          <t>District Officer</t>
        </is>
      </c>
      <c r="C38" s="21" t="inlineStr">
        <is>
          <t>https://www.figma.com/design/gH2vQ62cfg4677YKWuOpLc/MoSJE-Portal--Handoff-?node-id=5986-56034</t>
        </is>
      </c>
      <c r="D38" s="21" t="inlineStr">
        <is>
          <t>Yes</t>
        </is>
      </c>
      <c r="E38" s="21" t="inlineStr">
        <is>
          <t>Yes</t>
        </is>
      </c>
      <c r="F38" s="21" t="inlineStr">
        <is>
          <t>In Review</t>
        </is>
      </c>
      <c r="G38" s="21">
        <f>COUNTIF('NHAPOA'!$B:$B,"District Officer — SLA Monitor")</f>
        <v/>
      </c>
      <c r="H38" s="21" t="inlineStr">
        <is>
          <t>Portal-wide patterns on this screen are consolidated in the Global Findings section (each tagged Scope: Global).</t>
        </is>
      </c>
    </row>
    <row r="39">
      <c r="A39" s="23" t="inlineStr">
        <is>
          <t>District Officer — Notifications</t>
        </is>
      </c>
      <c r="B39" s="23" t="inlineStr">
        <is>
          <t>District Officer</t>
        </is>
      </c>
      <c r="C39" s="23" t="inlineStr">
        <is>
          <t>https://www.figma.com/design/gH2vQ62cfg4677YKWuOpLc/MoSJE-Portal--Handoff-?node-id=5986-56171</t>
        </is>
      </c>
      <c r="D39" s="23" t="inlineStr">
        <is>
          <t>Yes</t>
        </is>
      </c>
      <c r="E39" s="23" t="inlineStr">
        <is>
          <t>Yes</t>
        </is>
      </c>
      <c r="F39" s="23" t="inlineStr">
        <is>
          <t>In Review</t>
        </is>
      </c>
      <c r="G39" s="23">
        <f>COUNTIF('NHAPOA'!$B:$B,"District Officer — Notifications")</f>
        <v/>
      </c>
      <c r="H39" s="23" t="inlineStr">
        <is>
          <t>Portal-wide patterns on this screen are consolidated in the Global Findings section (each tagged Scope: Global).</t>
        </is>
      </c>
    </row>
    <row r="40">
      <c r="A40" s="21" t="inlineStr">
        <is>
          <t>State Authority — Dashboard</t>
        </is>
      </c>
      <c r="B40" s="21" t="inlineStr">
        <is>
          <t>State Authority</t>
        </is>
      </c>
      <c r="C40" s="21" t="inlineStr">
        <is>
          <t>https://www.figma.com/design/gH2vQ62cfg4677YKWuOpLc/MoSJE-Portal--Handoff-?node-id=5986-56262</t>
        </is>
      </c>
      <c r="D40" s="21" t="inlineStr">
        <is>
          <t>Yes</t>
        </is>
      </c>
      <c r="E40" s="21" t="inlineStr">
        <is>
          <t>Yes</t>
        </is>
      </c>
      <c r="F40" s="21" t="inlineStr">
        <is>
          <t>In Review</t>
        </is>
      </c>
      <c r="G40" s="21">
        <f>COUNTIF('NHAPOA'!$B:$B,"State Authority — Dashboard")</f>
        <v/>
      </c>
      <c r="H40" s="21" t="inlineStr">
        <is>
          <t>Portal-wide patterns on this screen are consolidated in the Global Findings section (each tagged Scope: Global).</t>
        </is>
      </c>
    </row>
    <row r="41">
      <c r="A41" s="23" t="inlineStr">
        <is>
          <t>State Authority — Pending Approvals</t>
        </is>
      </c>
      <c r="B41" s="23" t="inlineStr">
        <is>
          <t>State Authority</t>
        </is>
      </c>
      <c r="C41" s="23" t="inlineStr">
        <is>
          <t>https://www.figma.com/design/gH2vQ62cfg4677YKWuOpLc/MoSJE-Portal--Handoff-?node-id=5986-56392</t>
        </is>
      </c>
      <c r="D41" s="23" t="inlineStr">
        <is>
          <t>Yes</t>
        </is>
      </c>
      <c r="E41" s="23" t="inlineStr">
        <is>
          <t>Yes</t>
        </is>
      </c>
      <c r="F41" s="23" t="inlineStr">
        <is>
          <t>In Review</t>
        </is>
      </c>
      <c r="G41" s="23">
        <f>COUNTIF('NHAPOA'!$B:$B,"State Authority — Pending Approvals")</f>
        <v/>
      </c>
      <c r="H41" s="23" t="inlineStr">
        <is>
          <t>Portal-wide patterns on this screen are consolidated in the Global Findings section (each tagged Scope: Global). Some list rows / sub-states couldn't be verified on this dev build (no seeded data).</t>
        </is>
      </c>
    </row>
    <row r="42">
      <c r="A42" s="21" t="inlineStr">
        <is>
          <t>State Authority — Approved Cases</t>
        </is>
      </c>
      <c r="B42" s="21" t="inlineStr">
        <is>
          <t>State Authority</t>
        </is>
      </c>
      <c r="C42" s="21" t="inlineStr">
        <is>
          <t>https://www.figma.com/design/gH2vQ62cfg4677YKWuOpLc/MoSJE-Portal--Handoff-?node-id=5986-57102</t>
        </is>
      </c>
      <c r="D42" s="21" t="inlineStr">
        <is>
          <t>Yes</t>
        </is>
      </c>
      <c r="E42" s="21" t="inlineStr">
        <is>
          <t>Yes</t>
        </is>
      </c>
      <c r="F42" s="21" t="inlineStr">
        <is>
          <t>In Review</t>
        </is>
      </c>
      <c r="G42" s="21">
        <f>COUNTIF('NHAPOA'!$B:$B,"State Authority — Approved Cases")</f>
        <v/>
      </c>
      <c r="H42" s="21" t="inlineStr">
        <is>
          <t>Portal-wide patterns on this screen are consolidated in the Global Findings section (each tagged Scope: Global).</t>
        </is>
      </c>
    </row>
    <row r="43">
      <c r="A43" s="23" t="inlineStr">
        <is>
          <t>State Authority — Sent Back Cases</t>
        </is>
      </c>
      <c r="B43" s="23" t="inlineStr">
        <is>
          <t>State Authority</t>
        </is>
      </c>
      <c r="C43" s="23" t="inlineStr">
        <is>
          <t>https://www.figma.com/design/gH2vQ62cfg4677YKWuOpLc/MoSJE-Portal--Handoff-?node-id=5986-57396</t>
        </is>
      </c>
      <c r="D43" s="23" t="inlineStr">
        <is>
          <t>Yes</t>
        </is>
      </c>
      <c r="E43" s="23" t="inlineStr">
        <is>
          <t>Yes</t>
        </is>
      </c>
      <c r="F43" s="23" t="inlineStr">
        <is>
          <t>In Review</t>
        </is>
      </c>
      <c r="G43" s="23">
        <f>COUNTIF('NHAPOA'!$B:$B,"State Authority — Sent Back Cases")</f>
        <v/>
      </c>
      <c r="H43" s="23" t="inlineStr">
        <is>
          <t>Portal-wide patterns on this screen are consolidated in the Global Findings section (each tagged Scope: Global).</t>
        </is>
      </c>
    </row>
    <row r="44">
      <c r="A44" s="21" t="inlineStr">
        <is>
          <t>State Authority — All Cases</t>
        </is>
      </c>
      <c r="B44" s="21" t="inlineStr">
        <is>
          <t>State Authority</t>
        </is>
      </c>
      <c r="C44" s="21" t="inlineStr"/>
      <c r="D44" s="21" t="inlineStr">
        <is>
          <t>No</t>
        </is>
      </c>
      <c r="E44" s="21" t="inlineStr">
        <is>
          <t>Yes</t>
        </is>
      </c>
      <c r="F44" s="21" t="inlineStr">
        <is>
          <t>In Review</t>
        </is>
      </c>
      <c r="G44" s="21">
        <f>COUNTIF('NHAPOA'!$B:$B,"State Authority — All Cases")</f>
        <v/>
      </c>
      <c r="H44" s="21" t="inlineStr">
        <is>
          <t>Portal-wide patterns on this screen are consolidated in the Global Findings section (each tagged Scope: Global).</t>
        </is>
      </c>
    </row>
    <row r="45">
      <c r="A45" s="23" t="inlineStr">
        <is>
          <t>State Authority — State Reports</t>
        </is>
      </c>
      <c r="B45" s="23" t="inlineStr">
        <is>
          <t>State Authority</t>
        </is>
      </c>
      <c r="C45" s="23" t="inlineStr">
        <is>
          <t>https://www.figma.com/design/gH2vQ62cfg4677YKWuOpLc/MoSJE-Portal--Handoff-?node-id=5986-57731</t>
        </is>
      </c>
      <c r="D45" s="23" t="inlineStr">
        <is>
          <t>Yes</t>
        </is>
      </c>
      <c r="E45" s="23" t="inlineStr">
        <is>
          <t>Yes</t>
        </is>
      </c>
      <c r="F45" s="23" t="inlineStr">
        <is>
          <t>In Review</t>
        </is>
      </c>
      <c r="G45" s="23">
        <f>COUNTIF('NHAPOA'!$B:$B,"State Authority — State Reports")</f>
        <v/>
      </c>
      <c r="H45" s="23" t="inlineStr">
        <is>
          <t>Portal-wide patterns on this screen are consolidated in the Global Findings section (each tagged Scope: Global).</t>
        </is>
      </c>
    </row>
    <row r="46">
      <c r="A46" s="21" t="inlineStr">
        <is>
          <t>State Authority — SLA Monitor</t>
        </is>
      </c>
      <c r="B46" s="21" t="inlineStr">
        <is>
          <t>State Authority</t>
        </is>
      </c>
      <c r="C46" s="21" t="inlineStr">
        <is>
          <t>https://www.figma.com/design/gH2vQ62cfg4677YKWuOpLc/MoSJE-Portal--Handoff-?node-id=5986-57848</t>
        </is>
      </c>
      <c r="D46" s="21" t="inlineStr">
        <is>
          <t>Yes</t>
        </is>
      </c>
      <c r="E46" s="21" t="inlineStr">
        <is>
          <t>Yes</t>
        </is>
      </c>
      <c r="F46" s="21" t="inlineStr">
        <is>
          <t>In Review</t>
        </is>
      </c>
      <c r="G46" s="21">
        <f>COUNTIF('NHAPOA'!$B:$B,"State Authority — SLA Monitor")</f>
        <v/>
      </c>
      <c r="H46" s="21" t="inlineStr">
        <is>
          <t>Portal-wide patterns on this screen are consolidated in the Global Findings section (each tagged Scope: Global).</t>
        </is>
      </c>
    </row>
    <row r="47">
      <c r="A47" s="23" t="inlineStr">
        <is>
          <t>State Authority — Notifications</t>
        </is>
      </c>
      <c r="B47" s="23" t="inlineStr">
        <is>
          <t>State Authority</t>
        </is>
      </c>
      <c r="C47" s="23" t="inlineStr">
        <is>
          <t>https://www.figma.com/design/gH2vQ62cfg4677YKWuOpLc/MoSJE-Portal--Handoff-?node-id=5986-57979</t>
        </is>
      </c>
      <c r="D47" s="23" t="inlineStr">
        <is>
          <t>Yes</t>
        </is>
      </c>
      <c r="E47" s="23" t="inlineStr">
        <is>
          <t>Yes</t>
        </is>
      </c>
      <c r="F47" s="23" t="inlineStr">
        <is>
          <t>In Review</t>
        </is>
      </c>
      <c r="G47" s="23">
        <f>COUNTIF('NHAPOA'!$B:$B,"State Authority — Notifications")</f>
        <v/>
      </c>
      <c r="H47" s="23" t="inlineStr">
        <is>
          <t>Portal-wide patterns on this screen are consolidated in the Global Findings section (each tagged Scope: Global).</t>
        </is>
      </c>
    </row>
    <row r="48">
      <c r="A48" s="21" t="inlineStr">
        <is>
          <t>Finance Officer — Dashboard</t>
        </is>
      </c>
      <c r="B48" s="21" t="inlineStr">
        <is>
          <t>Finance Officer</t>
        </is>
      </c>
      <c r="C48" s="21" t="inlineStr">
        <is>
          <t>https://www.figma.com/design/gH2vQ62cfg4677YKWuOpLc/MoSJE-Portal--Handoff-?node-id=5986-58064</t>
        </is>
      </c>
      <c r="D48" s="21" t="inlineStr">
        <is>
          <t>Yes</t>
        </is>
      </c>
      <c r="E48" s="21" t="inlineStr">
        <is>
          <t>Yes</t>
        </is>
      </c>
      <c r="F48" s="21" t="inlineStr">
        <is>
          <t>In Review</t>
        </is>
      </c>
      <c r="G48" s="21">
        <f>COUNTIF('NHAPOA'!$B:$B,"Finance Officer — Dashboard")</f>
        <v/>
      </c>
      <c r="H48" s="21" t="inlineStr">
        <is>
          <t>Portal-wide patterns on this screen are consolidated in the Global Findings section (each tagged Scope: Global).</t>
        </is>
      </c>
    </row>
    <row r="49">
      <c r="A49" s="23" t="inlineStr">
        <is>
          <t>Finance Officer — Approved Cases Queue</t>
        </is>
      </c>
      <c r="B49" s="23" t="inlineStr">
        <is>
          <t>Finance Officer</t>
        </is>
      </c>
      <c r="C49" s="23" t="inlineStr">
        <is>
          <t>https://www.figma.com/design/gH2vQ62cfg4677YKWuOpLc/MoSJE-Portal--Handoff-?node-id=5986-58179</t>
        </is>
      </c>
      <c r="D49" s="23" t="inlineStr">
        <is>
          <t>Yes</t>
        </is>
      </c>
      <c r="E49" s="23" t="inlineStr">
        <is>
          <t>Yes</t>
        </is>
      </c>
      <c r="F49" s="23" t="inlineStr">
        <is>
          <t>In Review</t>
        </is>
      </c>
      <c r="G49" s="23">
        <f>COUNTIF('NHAPOA'!$B:$B,"Finance Officer — Approved Cases Queue")</f>
        <v/>
      </c>
      <c r="H49" s="23" t="inlineStr"/>
    </row>
    <row r="50">
      <c r="A50" s="21" t="inlineStr">
        <is>
          <t>Finance Officer — Transaction Log</t>
        </is>
      </c>
      <c r="B50" s="21" t="inlineStr">
        <is>
          <t>Finance Officer</t>
        </is>
      </c>
      <c r="C50" s="21" t="inlineStr">
        <is>
          <t>https://www.figma.com/design/gH2vQ62cfg4677YKWuOpLc/MoSJE-Portal--Handoff-?node-id=5986-58801</t>
        </is>
      </c>
      <c r="D50" s="21" t="inlineStr">
        <is>
          <t>Yes</t>
        </is>
      </c>
      <c r="E50" s="21" t="inlineStr">
        <is>
          <t>Yes</t>
        </is>
      </c>
      <c r="F50" s="21" t="inlineStr">
        <is>
          <t>In Review</t>
        </is>
      </c>
      <c r="G50" s="21">
        <f>COUNTIF('NHAPOA'!$B:$B,"Finance Officer — Transaction Log")</f>
        <v/>
      </c>
      <c r="H50" s="21" t="inlineStr">
        <is>
          <t>Portal-wide patterns on this screen are consolidated in the Global Findings section (each tagged Scope: Global).</t>
        </is>
      </c>
    </row>
    <row r="51">
      <c r="A51" s="23" t="inlineStr">
        <is>
          <t>Finance Officer — Fund Utilisation</t>
        </is>
      </c>
      <c r="B51" s="23" t="inlineStr">
        <is>
          <t>Finance Officer</t>
        </is>
      </c>
      <c r="C51" s="23" t="inlineStr">
        <is>
          <t>https://www.figma.com/design/gH2vQ62cfg4677YKWuOpLc/MoSJE-Portal--Handoff-?node-id=5986-58996</t>
        </is>
      </c>
      <c r="D51" s="23" t="inlineStr">
        <is>
          <t>Yes</t>
        </is>
      </c>
      <c r="E51" s="23" t="inlineStr">
        <is>
          <t>Yes</t>
        </is>
      </c>
      <c r="F51" s="23" t="inlineStr">
        <is>
          <t>In Review</t>
        </is>
      </c>
      <c r="G51" s="23">
        <f>COUNTIF('NHAPOA'!$B:$B,"Finance Officer — Fund Utilisation")</f>
        <v/>
      </c>
      <c r="H51" s="23" t="inlineStr">
        <is>
          <t>Portal-wide patterns on this screen are consolidated in the Global Findings section (each tagged Scope: Global).</t>
        </is>
      </c>
    </row>
    <row r="52">
      <c r="A52" s="21" t="inlineStr">
        <is>
          <t>Finance Officer — Notifications</t>
        </is>
      </c>
      <c r="B52" s="21" t="inlineStr">
        <is>
          <t>Finance Officer</t>
        </is>
      </c>
      <c r="C52" s="21" t="inlineStr">
        <is>
          <t>https://www.figma.com/design/gH2vQ62cfg4677YKWuOpLc/MoSJE-Portal--Handoff-?node-id=5986-59151</t>
        </is>
      </c>
      <c r="D52" s="21" t="inlineStr">
        <is>
          <t>Yes</t>
        </is>
      </c>
      <c r="E52" s="21" t="inlineStr">
        <is>
          <t>Yes</t>
        </is>
      </c>
      <c r="F52" s="21" t="inlineStr">
        <is>
          <t>In Review</t>
        </is>
      </c>
      <c r="G52" s="21">
        <f>COUNTIF('NHAPOA'!$B:$B,"Finance Officer — Notifications")</f>
        <v/>
      </c>
      <c r="H52" s="21" t="inlineStr">
        <is>
          <t>Portal-wide patterns on this screen are consolidated in the Global Findings section (each tagged Scope: Global).</t>
        </is>
      </c>
    </row>
    <row r="53">
      <c r="A53" s="23" t="inlineStr">
        <is>
          <t>Central Authority — Dashboard</t>
        </is>
      </c>
      <c r="B53" s="23" t="inlineStr">
        <is>
          <t>Central Authority</t>
        </is>
      </c>
      <c r="C53" s="23" t="inlineStr">
        <is>
          <t>https://www.figma.com/design/gH2vQ62cfg4677YKWuOpLc/MoSJE-Portal--Handoff-?node-id=5986-62103</t>
        </is>
      </c>
      <c r="D53" s="23" t="inlineStr">
        <is>
          <t>Yes</t>
        </is>
      </c>
      <c r="E53" s="23" t="inlineStr">
        <is>
          <t>Yes</t>
        </is>
      </c>
      <c r="F53" s="23" t="inlineStr">
        <is>
          <t>In Review</t>
        </is>
      </c>
      <c r="G53" s="23">
        <f>COUNTIF('NHAPOA'!$B:$B,"Central Authority — Dashboard")</f>
        <v/>
      </c>
      <c r="H53" s="23" t="inlineStr">
        <is>
          <t>Portal-wide patterns on this screen are consolidated in the Global Findings section (each tagged Scope: Global).</t>
        </is>
      </c>
    </row>
    <row r="54">
      <c r="A54" s="21" t="inlineStr">
        <is>
          <t>Central Authority — Fund Allocation</t>
        </is>
      </c>
      <c r="B54" s="21" t="inlineStr">
        <is>
          <t>Central Authority</t>
        </is>
      </c>
      <c r="C54" s="21" t="inlineStr">
        <is>
          <t>https://www.figma.com/design/gH2vQ62cfg4677YKWuOpLc/MoSJE-Portal--Handoff-?node-id=5986-62832</t>
        </is>
      </c>
      <c r="D54" s="21" t="inlineStr">
        <is>
          <t>Yes</t>
        </is>
      </c>
      <c r="E54" s="21" t="inlineStr">
        <is>
          <t>Yes</t>
        </is>
      </c>
      <c r="F54" s="21" t="inlineStr">
        <is>
          <t>In Review</t>
        </is>
      </c>
      <c r="G54" s="21">
        <f>COUNTIF('NHAPOA'!$B:$B,"Central Authority — Fund Allocation")</f>
        <v/>
      </c>
      <c r="H54" s="21" t="inlineStr">
        <is>
          <t>Portal-wide patterns on this screen are consolidated in the Global Findings section (each tagged Scope: Global).</t>
        </is>
      </c>
    </row>
    <row r="55">
      <c r="A55" s="23" t="inlineStr">
        <is>
          <t>Central Authority — State Comparison</t>
        </is>
      </c>
      <c r="B55" s="23" t="inlineStr">
        <is>
          <t>Central Authority</t>
        </is>
      </c>
      <c r="C55" s="23" t="inlineStr">
        <is>
          <t>https://www.figma.com/design/gH2vQ62cfg4677YKWuOpLc/MoSJE-Portal--Handoff-?node-id=5986-62275</t>
        </is>
      </c>
      <c r="D55" s="23" t="inlineStr">
        <is>
          <t>Yes</t>
        </is>
      </c>
      <c r="E55" s="23" t="inlineStr">
        <is>
          <t>Yes</t>
        </is>
      </c>
      <c r="F55" s="23" t="inlineStr">
        <is>
          <t>In Review</t>
        </is>
      </c>
      <c r="G55" s="23">
        <f>COUNTIF('NHAPOA'!$B:$B,"Central Authority — State Comparison")</f>
        <v/>
      </c>
      <c r="H55" s="23" t="inlineStr">
        <is>
          <t>Portal-wide patterns on this screen are consolidated in the Global Findings section (each tagged Scope: Global).</t>
        </is>
      </c>
    </row>
    <row r="56">
      <c r="A56" s="21" t="inlineStr">
        <is>
          <t>Central Authority — Scheme Performance</t>
        </is>
      </c>
      <c r="B56" s="21" t="inlineStr">
        <is>
          <t>Central Authority</t>
        </is>
      </c>
      <c r="C56" s="21" t="inlineStr">
        <is>
          <t>https://www.figma.com/design/gH2vQ62cfg4677YKWuOpLc/MoSJE-Portal--Handoff-?node-id=5986-62639</t>
        </is>
      </c>
      <c r="D56" s="21" t="inlineStr">
        <is>
          <t>Yes</t>
        </is>
      </c>
      <c r="E56" s="21" t="inlineStr">
        <is>
          <t>Yes</t>
        </is>
      </c>
      <c r="F56" s="21" t="inlineStr">
        <is>
          <t>In Review</t>
        </is>
      </c>
      <c r="G56" s="21">
        <f>COUNTIF('NHAPOA'!$B:$B,"Central Authority — Scheme Performance")</f>
        <v/>
      </c>
      <c r="H56" s="21" t="inlineStr">
        <is>
          <t>Portal-wide patterns on this screen are consolidated in the Global Findings section (each tagged Scope: Global).</t>
        </is>
      </c>
    </row>
    <row r="57">
      <c r="A57" s="23" t="inlineStr">
        <is>
          <t>Central Authority — Grievances</t>
        </is>
      </c>
      <c r="B57" s="23" t="inlineStr">
        <is>
          <t>Central Authority</t>
        </is>
      </c>
      <c r="C57" s="23" t="inlineStr">
        <is>
          <t>https://www.figma.com/design/gH2vQ62cfg4677YKWuOpLc/MoSJE-Portal--Handoff-?node-id=5986-53857</t>
        </is>
      </c>
      <c r="D57" s="23" t="inlineStr">
        <is>
          <t>Yes</t>
        </is>
      </c>
      <c r="E57" s="23" t="inlineStr">
        <is>
          <t>Yes</t>
        </is>
      </c>
      <c r="F57" s="23" t="inlineStr">
        <is>
          <t>In Review</t>
        </is>
      </c>
      <c r="G57" s="23">
        <f>COUNTIF('NHAPOA'!$B:$B,"Central Authority — Grievances")</f>
        <v/>
      </c>
      <c r="H57" s="23" t="inlineStr">
        <is>
          <t>Design column is a REFERENCE frame (reuse its visual language); not a same-screen mock.</t>
        </is>
      </c>
    </row>
    <row r="58">
      <c r="A58" s="21" t="inlineStr">
        <is>
          <t>Central Authority — Reports &amp; Export</t>
        </is>
      </c>
      <c r="B58" s="21" t="inlineStr">
        <is>
          <t>Central Authority</t>
        </is>
      </c>
      <c r="C58" s="21" t="inlineStr">
        <is>
          <t>https://www.figma.com/design/gH2vQ62cfg4677YKWuOpLc/MoSJE-Portal--Handoff-?node-id=5986-63083</t>
        </is>
      </c>
      <c r="D58" s="21" t="inlineStr">
        <is>
          <t>Yes</t>
        </is>
      </c>
      <c r="E58" s="21" t="inlineStr">
        <is>
          <t>Yes</t>
        </is>
      </c>
      <c r="F58" s="21" t="inlineStr">
        <is>
          <t>In Review</t>
        </is>
      </c>
      <c r="G58" s="21">
        <f>COUNTIF('NHAPOA'!$B:$B,"Central Authority — Reports &amp; Export")</f>
        <v/>
      </c>
      <c r="H58" s="21" t="inlineStr">
        <is>
          <t>Portal-wide patterns on this screen are consolidated in the Global Findings section (each tagged Scope: Global).</t>
        </is>
      </c>
    </row>
    <row r="59">
      <c r="A59" s="23" t="inlineStr">
        <is>
          <t>Central Authority — Notifications</t>
        </is>
      </c>
      <c r="B59" s="23" t="inlineStr">
        <is>
          <t>Central Authority</t>
        </is>
      </c>
      <c r="C59" s="23" t="inlineStr">
        <is>
          <t>https://www.figma.com/design/gH2vQ62cfg4677YKWuOpLc/MoSJE-Portal--Handoff-?node-id=5986-63178</t>
        </is>
      </c>
      <c r="D59" s="23" t="inlineStr">
        <is>
          <t>Yes</t>
        </is>
      </c>
      <c r="E59" s="23" t="inlineStr">
        <is>
          <t>Yes</t>
        </is>
      </c>
      <c r="F59" s="23" t="inlineStr">
        <is>
          <t>In Review</t>
        </is>
      </c>
      <c r="G59" s="23">
        <f>COUNTIF('NHAPOA'!$B:$B,"Central Authority — Notifications")</f>
        <v/>
      </c>
      <c r="H59" s="23" t="inlineStr">
        <is>
          <t>Portal-wide patterns on this screen are consolidated in the Global Findings section (each tagged Scope: Global).</t>
        </is>
      </c>
    </row>
    <row r="60">
      <c r="A60" s="21" t="inlineStr">
        <is>
          <t>SHO — Dashboard</t>
        </is>
      </c>
      <c r="B60" s="21" t="inlineStr">
        <is>
          <t>SHO</t>
        </is>
      </c>
      <c r="C60" s="21" t="inlineStr">
        <is>
          <t>https://www.figma.com/design/gH2vQ62cfg4677YKWuOpLc/MoSJE-Portal--Handoff-?node-id=5986-53726</t>
        </is>
      </c>
      <c r="D60" s="21" t="inlineStr">
        <is>
          <t>Yes</t>
        </is>
      </c>
      <c r="E60" s="21" t="inlineStr">
        <is>
          <t>Yes</t>
        </is>
      </c>
      <c r="F60" s="21" t="inlineStr">
        <is>
          <t>In Review</t>
        </is>
      </c>
      <c r="G60" s="21">
        <f>COUNTIF('NHAPOA'!$B:$B,"SHO — Dashboard")</f>
        <v/>
      </c>
      <c r="H60" s="21" t="inlineStr">
        <is>
          <t>Portal-wide patterns on this screen are consolidated in the Global Findings section (each tagged Scope: Global).</t>
        </is>
      </c>
    </row>
    <row r="61">
      <c r="A61" s="23" t="inlineStr">
        <is>
          <t>SHO — My Cases</t>
        </is>
      </c>
      <c r="B61" s="23" t="inlineStr">
        <is>
          <t>SHO</t>
        </is>
      </c>
      <c r="C61" s="23" t="inlineStr">
        <is>
          <t>https://www.figma.com/design/gH2vQ62cfg4677YKWuOpLc/MoSJE-Portal--Handoff-?node-id=5986-53857</t>
        </is>
      </c>
      <c r="D61" s="23" t="inlineStr">
        <is>
          <t>Yes</t>
        </is>
      </c>
      <c r="E61" s="23" t="inlineStr">
        <is>
          <t>Yes</t>
        </is>
      </c>
      <c r="F61" s="23" t="inlineStr">
        <is>
          <t>In Review</t>
        </is>
      </c>
      <c r="G61" s="23">
        <f>COUNTIF('NHAPOA'!$B:$B,"SHO — My Cases")</f>
        <v/>
      </c>
      <c r="H61" s="23" t="inlineStr">
        <is>
          <t>Portal-wide patterns on this screen are consolidated in the Global Findings section (each tagged Scope: Global).</t>
        </is>
      </c>
    </row>
    <row r="62">
      <c r="A62" s="21" t="inlineStr">
        <is>
          <t>SHO — Clarifications</t>
        </is>
      </c>
      <c r="B62" s="21" t="inlineStr">
        <is>
          <t>SHO</t>
        </is>
      </c>
      <c r="C62" s="21" t="inlineStr">
        <is>
          <t>https://www.figma.com/design/gH2vQ62cfg4677YKWuOpLc/MoSJE-Portal--Handoff-?node-id=5986-55757</t>
        </is>
      </c>
      <c r="D62" s="21" t="inlineStr">
        <is>
          <t>Yes</t>
        </is>
      </c>
      <c r="E62" s="21" t="inlineStr">
        <is>
          <t>Yes</t>
        </is>
      </c>
      <c r="F62" s="21" t="inlineStr">
        <is>
          <t>In Review</t>
        </is>
      </c>
      <c r="G62" s="21">
        <f>COUNTIF('NHAPOA'!$B:$B,"SHO — Clarifications")</f>
        <v/>
      </c>
      <c r="H62" s="21" t="inlineStr">
        <is>
          <t>Portal-wide patterns on this screen are consolidated in the Global Findings section (each tagged Scope: Global).</t>
        </is>
      </c>
    </row>
    <row r="63">
      <c r="A63" s="23" t="inlineStr">
        <is>
          <t>SHO — Investigation Queue</t>
        </is>
      </c>
      <c r="B63" s="23" t="inlineStr">
        <is>
          <t>SHO</t>
        </is>
      </c>
      <c r="C63" s="23" t="inlineStr">
        <is>
          <t>https://www.figma.com/design/gH2vQ62cfg4677YKWuOpLc/MoSJE-Portal--Handoff-?node-id=5986-55831</t>
        </is>
      </c>
      <c r="D63" s="23" t="inlineStr">
        <is>
          <t>Yes</t>
        </is>
      </c>
      <c r="E63" s="23" t="inlineStr">
        <is>
          <t>Yes</t>
        </is>
      </c>
      <c r="F63" s="23" t="inlineStr">
        <is>
          <t>In Review</t>
        </is>
      </c>
      <c r="G63" s="23">
        <f>COUNTIF('NHAPOA'!$B:$B,"SHO — Investigation Queue")</f>
        <v/>
      </c>
      <c r="H63" s="23" t="inlineStr">
        <is>
          <t>Portal-wide patterns on this screen are consolidated in the Global Findings section (each tagged Scope: Global).</t>
        </is>
      </c>
    </row>
    <row r="64">
      <c r="A64" s="21" t="inlineStr">
        <is>
          <t>SHO — My Reports</t>
        </is>
      </c>
      <c r="B64" s="21" t="inlineStr">
        <is>
          <t>SHO</t>
        </is>
      </c>
      <c r="C64" s="21" t="inlineStr">
        <is>
          <t>https://www.figma.com/design/gH2vQ62cfg4677YKWuOpLc/MoSJE-Portal--Handoff-?node-id=5986-55911</t>
        </is>
      </c>
      <c r="D64" s="21" t="inlineStr">
        <is>
          <t>Yes</t>
        </is>
      </c>
      <c r="E64" s="21" t="inlineStr">
        <is>
          <t>Yes</t>
        </is>
      </c>
      <c r="F64" s="21" t="inlineStr">
        <is>
          <t>In Review</t>
        </is>
      </c>
      <c r="G64" s="21">
        <f>COUNTIF('NHAPOA'!$B:$B,"SHO — My Reports")</f>
        <v/>
      </c>
      <c r="H64" s="21" t="inlineStr">
        <is>
          <t>Portal-wide patterns on this screen are consolidated in the Global Findings section (each tagged Scope: Global).</t>
        </is>
      </c>
    </row>
    <row r="65">
      <c r="A65" s="23" t="inlineStr">
        <is>
          <t>SHO — SLA Monitor</t>
        </is>
      </c>
      <c r="B65" s="23" t="inlineStr">
        <is>
          <t>SHO</t>
        </is>
      </c>
      <c r="C65" s="23" t="inlineStr">
        <is>
          <t>https://www.figma.com/design/gH2vQ62cfg4677YKWuOpLc/MoSJE-Portal--Handoff-?node-id=5986-56034</t>
        </is>
      </c>
      <c r="D65" s="23" t="inlineStr">
        <is>
          <t>Yes</t>
        </is>
      </c>
      <c r="E65" s="23" t="inlineStr">
        <is>
          <t>Yes</t>
        </is>
      </c>
      <c r="F65" s="23" t="inlineStr">
        <is>
          <t>In Review</t>
        </is>
      </c>
      <c r="G65" s="23">
        <f>COUNTIF('NHAPOA'!$B:$B,"SHO — SLA Monitor")</f>
        <v/>
      </c>
      <c r="H65" s="23" t="inlineStr">
        <is>
          <t>Portal-wide patterns on this screen are consolidated in the Global Findings section (each tagged Scope: Global).</t>
        </is>
      </c>
    </row>
    <row r="66">
      <c r="A66" s="21" t="inlineStr">
        <is>
          <t>SHO — Notifications</t>
        </is>
      </c>
      <c r="B66" s="21" t="inlineStr">
        <is>
          <t>SHO</t>
        </is>
      </c>
      <c r="C66" s="21" t="inlineStr">
        <is>
          <t>https://www.figma.com/design/gH2vQ62cfg4677YKWuOpLc/MoSJE-Portal--Handoff-?node-id=5986-56171</t>
        </is>
      </c>
      <c r="D66" s="21" t="inlineStr">
        <is>
          <t>Yes</t>
        </is>
      </c>
      <c r="E66" s="21" t="inlineStr">
        <is>
          <t>Yes</t>
        </is>
      </c>
      <c r="F66" s="21" t="inlineStr">
        <is>
          <t>In Review</t>
        </is>
      </c>
      <c r="G66" s="21">
        <f>COUNTIF('NHAPOA'!$B:$B,"SHO — Notifications")</f>
        <v/>
      </c>
      <c r="H66" s="21" t="inlineStr">
        <is>
          <t>Portal-wide patterns on this screen are consolidated in the Global Findings section (each tagged Scope: Global).</t>
        </is>
      </c>
    </row>
    <row r="67">
      <c r="A67" s="23" t="inlineStr">
        <is>
          <t>Call Centre — Dashboard</t>
        </is>
      </c>
      <c r="B67" s="23" t="inlineStr">
        <is>
          <t>Call Centre</t>
        </is>
      </c>
      <c r="C67" s="23" t="inlineStr">
        <is>
          <t>https://www.figma.com/design/gH2vQ62cfg4677YKWuOpLc/MoSJE-Portal--Handoff-?node-id=5986-51876</t>
        </is>
      </c>
      <c r="D67" s="23" t="inlineStr">
        <is>
          <t>Yes</t>
        </is>
      </c>
      <c r="E67" s="23" t="inlineStr">
        <is>
          <t>Yes</t>
        </is>
      </c>
      <c r="F67" s="23" t="inlineStr">
        <is>
          <t>In Review</t>
        </is>
      </c>
      <c r="G67" s="23">
        <f>COUNTIF('NHAPOA'!$B:$B,"Call Centre — Dashboard")</f>
        <v/>
      </c>
      <c r="H67" s="23" t="inlineStr">
        <is>
          <t>Design column is a REFERENCE frame (reuse its visual language); not a same-screen mock.</t>
        </is>
      </c>
    </row>
    <row r="68">
      <c r="A68" s="21" t="inlineStr">
        <is>
          <t>Call Centre — Caller</t>
        </is>
      </c>
      <c r="B68" s="21" t="inlineStr">
        <is>
          <t>Call Centre</t>
        </is>
      </c>
      <c r="C68" s="21" t="inlineStr">
        <is>
          <t>https://www.figma.com/design/gH2vQ62cfg4677YKWuOpLc/MoSJE-Portal--Handoff-?node-id=5986-53203</t>
        </is>
      </c>
      <c r="D68" s="21" t="inlineStr">
        <is>
          <t>Yes</t>
        </is>
      </c>
      <c r="E68" s="21" t="inlineStr">
        <is>
          <t>Yes</t>
        </is>
      </c>
      <c r="F68" s="21" t="inlineStr">
        <is>
          <t>In Review</t>
        </is>
      </c>
      <c r="G68" s="21">
        <f>COUNTIF('NHAPOA'!$B:$B,"Call Centre — Caller")</f>
        <v/>
      </c>
      <c r="H68" s="21" t="inlineStr">
        <is>
          <t>Design column is a REFERENCE frame (reuse its visual language); not a same-screen mock.</t>
        </is>
      </c>
    </row>
    <row r="69">
      <c r="A69" s="23" t="inlineStr">
        <is>
          <t>Call Centre — Register Grievance</t>
        </is>
      </c>
      <c r="B69" s="23" t="inlineStr">
        <is>
          <t>Call Centre</t>
        </is>
      </c>
      <c r="C69" s="23" t="inlineStr">
        <is>
          <t>https://www.figma.com/design/gH2vQ62cfg4677YKWuOpLc/MoSJE-Portal--Handoff-?node-id=5986-51959</t>
        </is>
      </c>
      <c r="D69" s="23" t="inlineStr">
        <is>
          <t>Yes</t>
        </is>
      </c>
      <c r="E69" s="23" t="inlineStr">
        <is>
          <t>Yes</t>
        </is>
      </c>
      <c r="F69" s="23" t="inlineStr">
        <is>
          <t>In Review</t>
        </is>
      </c>
      <c r="G69" s="23">
        <f>COUNTIF('NHAPOA'!$B:$B,"Call Centre — Register Grievance")</f>
        <v/>
      </c>
      <c r="H69" s="23" t="inlineStr">
        <is>
          <t>Design column is a REFERENCE frame (reuse its visual language); not a same-screen mock.</t>
        </is>
      </c>
    </row>
    <row r="70">
      <c r="A70" s="21" t="inlineStr">
        <is>
          <t>Call Centre — Query</t>
        </is>
      </c>
      <c r="B70" s="21" t="inlineStr">
        <is>
          <t>Call Centre</t>
        </is>
      </c>
      <c r="C70" s="21" t="inlineStr"/>
      <c r="D70" s="21" t="inlineStr">
        <is>
          <t>No</t>
        </is>
      </c>
      <c r="E70" s="21" t="inlineStr">
        <is>
          <t>Yes</t>
        </is>
      </c>
      <c r="F70" s="21" t="inlineStr">
        <is>
          <t>In Review</t>
        </is>
      </c>
      <c r="G70" s="21">
        <f>COUNTIF('NHAPOA'!$B:$B,"Call Centre — Query")</f>
        <v/>
      </c>
      <c r="H70" s="21" t="inlineStr"/>
    </row>
    <row r="71">
      <c r="A71" s="23" t="inlineStr">
        <is>
          <t>Call Centre — Queries</t>
        </is>
      </c>
      <c r="B71" s="23" t="inlineStr">
        <is>
          <t>Call Centre</t>
        </is>
      </c>
      <c r="C71" s="23" t="inlineStr"/>
      <c r="D71" s="23" t="inlineStr">
        <is>
          <t>No</t>
        </is>
      </c>
      <c r="E71" s="23" t="inlineStr">
        <is>
          <t>Yes</t>
        </is>
      </c>
      <c r="F71" s="23" t="inlineStr">
        <is>
          <t>In Review</t>
        </is>
      </c>
      <c r="G71" s="23">
        <f>COUNTIF('NHAPOA'!$B:$B,"Call Centre — Queries")</f>
        <v/>
      </c>
      <c r="H71" s="23" t="inlineStr"/>
    </row>
    <row r="72">
      <c r="A72" s="21" t="inlineStr">
        <is>
          <t>Call Centre — Directory</t>
        </is>
      </c>
      <c r="B72" s="21" t="inlineStr">
        <is>
          <t>Call Centre</t>
        </is>
      </c>
      <c r="C72" s="21" t="inlineStr"/>
      <c r="D72" s="21" t="inlineStr">
        <is>
          <t>No</t>
        </is>
      </c>
      <c r="E72" s="21" t="inlineStr">
        <is>
          <t>Yes</t>
        </is>
      </c>
      <c r="F72" s="21" t="inlineStr">
        <is>
          <t>In Review</t>
        </is>
      </c>
      <c r="G72" s="21">
        <f>COUNTIF('NHAPOA'!$B:$B,"Call Centre — Directory")</f>
        <v/>
      </c>
      <c r="H72" s="21" t="inlineStr"/>
    </row>
    <row r="73">
      <c r="A73" s="23" t="inlineStr">
        <is>
          <t>Call Centre — Track</t>
        </is>
      </c>
      <c r="B73" s="23" t="inlineStr">
        <is>
          <t>Call Centre</t>
        </is>
      </c>
      <c r="C73" s="23" t="inlineStr"/>
      <c r="D73" s="23" t="inlineStr">
        <is>
          <t>No</t>
        </is>
      </c>
      <c r="E73" s="23" t="inlineStr">
        <is>
          <t>Yes</t>
        </is>
      </c>
      <c r="F73" s="23" t="inlineStr">
        <is>
          <t>In Review</t>
        </is>
      </c>
      <c r="G73" s="23">
        <f>COUNTIF('NHAPOA'!$B:$B,"Call Centre — Track")</f>
        <v/>
      </c>
      <c r="H73" s="23" t="inlineStr"/>
    </row>
    <row r="74">
      <c r="A74" s="21" t="inlineStr">
        <is>
          <t>Call Centre — FAQ</t>
        </is>
      </c>
      <c r="B74" s="21" t="inlineStr">
        <is>
          <t>Call Centre</t>
        </is>
      </c>
      <c r="C74" s="21" t="inlineStr">
        <is>
          <t>https://www.figma.com/design/gH2vQ62cfg4677YKWuOpLc/MoSJE-Portal--Handoff-?node-id=5986-53669</t>
        </is>
      </c>
      <c r="D74" s="21" t="inlineStr">
        <is>
          <t>Yes</t>
        </is>
      </c>
      <c r="E74" s="21" t="inlineStr">
        <is>
          <t>Yes</t>
        </is>
      </c>
      <c r="F74" s="21" t="inlineStr">
        <is>
          <t>In Review</t>
        </is>
      </c>
      <c r="G74" s="21">
        <f>COUNTIF('NHAPOA'!$B:$B,"Call Centre — FAQ")</f>
        <v/>
      </c>
      <c r="H74" s="21" t="inlineStr">
        <is>
          <t>Design column is a REFERENCE frame (reuse its visual language); not a same-screen mock.</t>
        </is>
      </c>
    </row>
    <row r="75">
      <c r="A75" s="23" t="inlineStr">
        <is>
          <t>District Officer — Case Detail · Overview</t>
        </is>
      </c>
      <c r="B75" s="23" t="inlineStr">
        <is>
          <t>Detail Views &amp; Modals</t>
        </is>
      </c>
      <c r="C75" s="23" t="inlineStr">
        <is>
          <t>https://www.figma.com/design/gH2vQ62cfg4677YKWuOpLc/MoSJE-Portal--Handoff-?node-id=5986-54121</t>
        </is>
      </c>
      <c r="D75" s="23" t="inlineStr">
        <is>
          <t>Yes</t>
        </is>
      </c>
      <c r="E75" s="23" t="inlineStr">
        <is>
          <t>Yes</t>
        </is>
      </c>
      <c r="F75" s="23" t="inlineStr">
        <is>
          <t>In Review</t>
        </is>
      </c>
      <c r="G75" s="23">
        <f>COUNTIF('NHAPOA'!$B:$B,"District Officer — Case Detail · Overview")</f>
        <v/>
      </c>
      <c r="H75" s="23" t="inlineStr">
        <is>
          <t>Portal-wide patterns on this screen are consolidated in the Global Findings section (each tagged Scope: Global).</t>
        </is>
      </c>
    </row>
    <row r="76">
      <c r="A76" s="21" t="inlineStr">
        <is>
          <t>District Officer — Case Detail · Documents</t>
        </is>
      </c>
      <c r="B76" s="21" t="inlineStr">
        <is>
          <t>Detail Views &amp; Modals</t>
        </is>
      </c>
      <c r="C76" s="21" t="inlineStr">
        <is>
          <t>https://www.figma.com/design/gH2vQ62cfg4677YKWuOpLc/MoSJE-Portal--Handoff-?node-id=5986-54232</t>
        </is>
      </c>
      <c r="D76" s="21" t="inlineStr">
        <is>
          <t>Yes</t>
        </is>
      </c>
      <c r="E76" s="21" t="inlineStr">
        <is>
          <t>Yes</t>
        </is>
      </c>
      <c r="F76" s="21" t="inlineStr">
        <is>
          <t>In Review</t>
        </is>
      </c>
      <c r="G76" s="21">
        <f>COUNTIF('NHAPOA'!$B:$B,"District Officer — Case Detail · Documents")</f>
        <v/>
      </c>
      <c r="H76" s="21" t="inlineStr"/>
    </row>
    <row r="77">
      <c r="A77" s="23" t="inlineStr">
        <is>
          <t>District Officer — Case Detail · Investigation</t>
        </is>
      </c>
      <c r="B77" s="23" t="inlineStr">
        <is>
          <t>Detail Views &amp; Modals</t>
        </is>
      </c>
      <c r="C77" s="23" t="inlineStr">
        <is>
          <t>https://www.figma.com/design/gH2vQ62cfg4677YKWuOpLc/MoSJE-Portal--Handoff-?node-id=5986-54340</t>
        </is>
      </c>
      <c r="D77" s="23" t="inlineStr">
        <is>
          <t>Yes</t>
        </is>
      </c>
      <c r="E77" s="23" t="inlineStr">
        <is>
          <t>Yes</t>
        </is>
      </c>
      <c r="F77" s="23" t="inlineStr">
        <is>
          <t>In Review</t>
        </is>
      </c>
      <c r="G77" s="23">
        <f>COUNTIF('NHAPOA'!$B:$B,"District Officer — Case Detail · Investigation")</f>
        <v/>
      </c>
      <c r="H77" s="23" t="inlineStr"/>
    </row>
    <row r="78">
      <c r="A78" s="21" t="inlineStr">
        <is>
          <t>District Officer — Case Detail · Audit Log</t>
        </is>
      </c>
      <c r="B78" s="21" t="inlineStr">
        <is>
          <t>Detail Views &amp; Modals</t>
        </is>
      </c>
      <c r="C78" s="21" t="inlineStr">
        <is>
          <t>https://www.figma.com/design/gH2vQ62cfg4677YKWuOpLc/MoSJE-Portal--Handoff-?node-id=5986-54704</t>
        </is>
      </c>
      <c r="D78" s="21" t="inlineStr">
        <is>
          <t>Yes</t>
        </is>
      </c>
      <c r="E78" s="21" t="inlineStr">
        <is>
          <t>Yes</t>
        </is>
      </c>
      <c r="F78" s="21" t="inlineStr">
        <is>
          <t>In Review</t>
        </is>
      </c>
      <c r="G78" s="21">
        <f>COUNTIF('NHAPOA'!$B:$B,"District Officer — Case Detail · Audit Log")</f>
        <v/>
      </c>
      <c r="H78" s="21" t="inlineStr"/>
    </row>
    <row r="79">
      <c r="A79" s="23" t="inlineStr">
        <is>
          <t>District Officer — Request Clarification (modal)</t>
        </is>
      </c>
      <c r="B79" s="23" t="inlineStr">
        <is>
          <t>Detail Views &amp; Modals</t>
        </is>
      </c>
      <c r="C79" s="23" t="inlineStr">
        <is>
          <t>https://www.figma.com/design/gH2vQ62cfg4677YKWuOpLc/MoSJE-Portal--Handoff-?node-id=5986-54812</t>
        </is>
      </c>
      <c r="D79" s="23" t="inlineStr">
        <is>
          <t>Yes</t>
        </is>
      </c>
      <c r="E79" s="23" t="inlineStr">
        <is>
          <t>Yes</t>
        </is>
      </c>
      <c r="F79" s="23" t="inlineStr">
        <is>
          <t>In Review</t>
        </is>
      </c>
      <c r="G79" s="23">
        <f>COUNTIF('NHAPOA'!$B:$B,"District Officer — Request Clarification (modal)")</f>
        <v/>
      </c>
      <c r="H79" s="23" t="inlineStr"/>
    </row>
    <row r="80">
      <c r="A80" s="21" t="inlineStr">
        <is>
          <t>Finance Officer — Sanction Order Review</t>
        </is>
      </c>
      <c r="B80" s="21" t="inlineStr">
        <is>
          <t>Detail Views &amp; Modals</t>
        </is>
      </c>
      <c r="C80" s="21" t="inlineStr">
        <is>
          <t>https://www.figma.com/design/gH2vQ62cfg4677YKWuOpLc/MoSJE-Portal--Handoff-?node-id=5986-58351</t>
        </is>
      </c>
      <c r="D80" s="21" t="inlineStr">
        <is>
          <t>Yes</t>
        </is>
      </c>
      <c r="E80" s="21" t="inlineStr">
        <is>
          <t>Yes</t>
        </is>
      </c>
      <c r="F80" s="21" t="inlineStr">
        <is>
          <t>In Review</t>
        </is>
      </c>
      <c r="G80" s="21">
        <f>COUNTIF('NHAPOA'!$B:$B,"Finance Officer — Sanction Order Review")</f>
        <v/>
      </c>
      <c r="H80" s="21" t="inlineStr"/>
    </row>
    <row r="81">
      <c r="A81" s="23" t="inlineStr">
        <is>
          <t>System Admin — Create New User (modal)</t>
        </is>
      </c>
      <c r="B81" s="23" t="inlineStr">
        <is>
          <t>Detail Views &amp; Modals</t>
        </is>
      </c>
      <c r="C81" s="23" t="inlineStr">
        <is>
          <t>https://www.figma.com/design/gH2vQ62cfg4677YKWuOpLc/MoSJE-Portal--Handoff-?node-id=5986-61792</t>
        </is>
      </c>
      <c r="D81" s="23" t="inlineStr">
        <is>
          <t>Yes</t>
        </is>
      </c>
      <c r="E81" s="23" t="inlineStr">
        <is>
          <t>Yes</t>
        </is>
      </c>
      <c r="F81" s="23" t="inlineStr">
        <is>
          <t>In Review</t>
        </is>
      </c>
      <c r="G81" s="23">
        <f>COUNTIF('NHAPOA'!$B:$B,"System Admin — Create New User (modal)")</f>
        <v/>
      </c>
      <c r="H81" s="23" t="inlineStr"/>
    </row>
  </sheetData>
  <autoFilter ref="A1:H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0" customWidth="1" min="3" max="3"/>
    <col width="11" customWidth="1" min="4" max="4"/>
    <col width="46" customWidth="1" min="5" max="5"/>
    <col width="42" customWidth="1" min="6" max="6"/>
    <col width="30" customWidth="1" min="7" max="7"/>
    <col width="30" customWidth="1" min="8" max="8"/>
    <col width="12" customWidth="1" min="9" max="9"/>
    <col width="13" customWidth="1" min="10" max="10"/>
    <col width="12" customWidth="1" min="11" max="11"/>
    <col width="30" customWidth="1" min="12" max="12"/>
    <col width="10" customWidth="1" min="13" max="13"/>
  </cols>
  <sheetData>
    <row r="1">
      <c r="A1" s="20" t="inlineStr">
        <is>
          <t>ID</t>
        </is>
      </c>
      <c r="B1" s="20" t="inlineStr">
        <is>
          <t>Screen</t>
        </is>
      </c>
      <c r="C1" s="20" t="inlineStr">
        <is>
          <t>Category</t>
        </is>
      </c>
      <c r="D1" s="20" t="inlineStr">
        <is>
          <t>Severity</t>
        </is>
      </c>
      <c r="E1" s="20" t="inlineStr">
        <is>
          <t>Issue (Design → Built)</t>
        </is>
      </c>
      <c r="F1" s="20" t="inlineStr">
        <is>
          <t>Recommended Fix (Dev)</t>
        </is>
      </c>
      <c r="G1" s="20" t="inlineStr">
        <is>
          <t>Figma URL</t>
        </is>
      </c>
      <c r="H1" s="20" t="inlineStr">
        <is>
          <t>Live URL</t>
        </is>
      </c>
      <c r="I1" s="20" t="inlineStr">
        <is>
          <t>Status</t>
        </is>
      </c>
      <c r="J1" s="20" t="inlineStr">
        <is>
          <t>Assignee</t>
        </is>
      </c>
      <c r="K1" s="20" t="inlineStr">
        <is>
          <t>Date</t>
        </is>
      </c>
      <c r="L1" s="20" t="inlineStr">
        <is>
          <t>Notes</t>
        </is>
      </c>
      <c r="M1" s="20" t="inlineStr">
        <is>
          <t>Scope</t>
        </is>
      </c>
    </row>
    <row r="2">
      <c r="A2" s="21" t="inlineStr">
        <is>
          <t>TG-GLOBAL-001</t>
        </is>
      </c>
      <c r="B2" s="21" t="inlineStr">
        <is>
          <t>Global · Government masthead · dashboards · tables</t>
        </is>
      </c>
      <c r="C2" s="21" t="inlineStr">
        <is>
          <t>Content &amp; Iconography</t>
        </is>
      </c>
      <c r="D2" s="21" t="inlineStr">
        <is>
          <t>Major</t>
        </is>
      </c>
      <c r="E2" s="21" t="inlineStr">
        <is>
          <t>Figma: The masthead right zone carries the SAMAVESH co-branding lockup — the Digital India logo + the SAMAVESH logo — before the user/avatar block.  →  Live: Both logos are omitted portal-wide; only the user name/role/avatar remain on the right. (Present on the login hero, missing on every authenticated inner page.)</t>
        </is>
      </c>
      <c r="F2" s="21" t="inlineStr">
        <is>
          <t>Restore the Digital India + SAMAVESH co-branding lockup in the masthead right zone per the design, on every screen.</t>
        </is>
      </c>
      <c r="G2" s="22" t="inlineStr">
        <is>
          <t>https://www.figma.com/design/gH2vQ62cfg4677YKWuOpLc/MoSJE-Portal--Handoff-?node-id=2494-38830</t>
        </is>
      </c>
      <c r="H2" s="22" t="inlineStr">
        <is>
          <t>https://tg-admin-dev.mosje.in/dashboard</t>
        </is>
      </c>
      <c r="I2" s="21" t="inlineStr">
        <is>
          <t>Open</t>
        </is>
      </c>
      <c r="J2" s="21" t="inlineStr"/>
      <c r="K2" s="21" t="inlineStr"/>
      <c r="L2" s="21" t="inlineStr">
        <is>
          <t>env: dev  ·  Scope: Global — these elements repeat across the portal; fix once. The board shows a representative frame (Central Admin — Dashboard) — open it via 'Figma frame ↗'; each marker's number matches its TG-GLOBAL id.</t>
        </is>
      </c>
      <c r="M2" s="21" t="inlineStr">
        <is>
          <t>Global</t>
        </is>
      </c>
    </row>
    <row r="3">
      <c r="A3" s="23" t="inlineStr">
        <is>
          <t>TG-GLOBAL-002</t>
        </is>
      </c>
      <c r="B3" s="23" t="inlineStr">
        <is>
          <t>Global · Government masthead · dashboards · tables</t>
        </is>
      </c>
      <c r="C3" s="23" t="inlineStr">
        <is>
          <t>Content &amp; Iconography</t>
        </is>
      </c>
      <c r="D3" s="23" t="inlineStr">
        <is>
          <t>Minor</t>
        </is>
      </c>
      <c r="E3" s="23" t="inlineStr">
        <is>
          <t>Figma: 'Government of India / Ministry of Social Justice &amp; Empowerment / Department of Social Justice &amp; Empowerment' (Department line in bold navy).  →  Live: Only 'Government of India / Ministry of Social Justice &amp; Empowerment' — the Department line is dropped and the bold weight moves up a line.</t>
        </is>
      </c>
      <c r="F3" s="23" t="inlineStr">
        <is>
          <t>Render the full 3-line identity lockup with the Department line bold, per the design masthead.</t>
        </is>
      </c>
      <c r="G3" s="24" t="inlineStr">
        <is>
          <t>https://www.figma.com/design/gH2vQ62cfg4677YKWuOpLc/MoSJE-Portal--Handoff-?node-id=2494-38830</t>
        </is>
      </c>
      <c r="H3" s="24" t="inlineStr">
        <is>
          <t>https://tg-admin-dev.mosje.in/dashboard</t>
        </is>
      </c>
      <c r="I3" s="23" t="inlineStr">
        <is>
          <t>Open</t>
        </is>
      </c>
      <c r="J3" s="23" t="inlineStr"/>
      <c r="K3" s="23" t="inlineStr"/>
      <c r="L3" s="23" t="inlineStr">
        <is>
          <t>env: dev  ·  Scope: Global — these elements repeat across the portal; fix once. The board shows a representative frame (Central Admin — Dashboard) — open it via 'Figma frame ↗'; each marker's number matches its TG-GLOBAL id.</t>
        </is>
      </c>
      <c r="M3" s="23" t="inlineStr">
        <is>
          <t>Global</t>
        </is>
      </c>
    </row>
    <row r="4">
      <c r="A4" s="21" t="inlineStr">
        <is>
          <t>TG-GLOBAL-003</t>
        </is>
      </c>
      <c r="B4" s="21" t="inlineStr">
        <is>
          <t>Global · Government masthead · dashboards · tables</t>
        </is>
      </c>
      <c r="C4" s="21" t="inlineStr">
        <is>
          <t>Components &amp; States</t>
        </is>
      </c>
      <c r="D4" s="21" t="inlineStr">
        <is>
          <t>Major</t>
        </is>
      </c>
      <c r="E4" s="21" t="inlineStr">
        <is>
          <t>Figma: Each dashboard KPI card shows a leading metric icon and a delta/trend line ('▲ +14.5% vs last month' or a contextual subtitle).  →  Live: KPI cards render only a label + number — the icon and trend/subtext are dropped, losing the at-a-glance comparison hierarchy.</t>
        </is>
      </c>
      <c r="F4" s="21" t="inlineStr">
        <is>
          <t>Restore the KPI card icon and trend/delta subtitle per the design KPI component. Applies to all role dashboards.</t>
        </is>
      </c>
      <c r="G4" s="22" t="inlineStr">
        <is>
          <t>https://www.figma.com/design/gH2vQ62cfg4677YKWuOpLc/MoSJE-Portal--Handoff-?node-id=2494-38830</t>
        </is>
      </c>
      <c r="H4" s="22" t="inlineStr">
        <is>
          <t>https://tg-admin-dev.mosje.in/dashboard</t>
        </is>
      </c>
      <c r="I4" s="21" t="inlineStr">
        <is>
          <t>Open</t>
        </is>
      </c>
      <c r="J4" s="21" t="inlineStr"/>
      <c r="K4" s="21" t="inlineStr"/>
      <c r="L4" s="21" t="inlineStr">
        <is>
          <t>env: dev  ·  Scope: Global — these elements repeat across the portal; fix once. The board shows a representative frame (Central Admin — Dashboard) — open it via 'Figma frame ↗'; each marker's number matches its TG-GLOBAL id.</t>
        </is>
      </c>
      <c r="M4" s="21" t="inlineStr">
        <is>
          <t>Global</t>
        </is>
      </c>
    </row>
    <row r="5">
      <c r="A5" s="23" t="inlineStr">
        <is>
          <t>TG-GLOBAL-004</t>
        </is>
      </c>
      <c r="B5" s="23" t="inlineStr">
        <is>
          <t>Global · Government masthead · dashboards · tables</t>
        </is>
      </c>
      <c r="C5" s="23" t="inlineStr">
        <is>
          <t>Components &amp; States</t>
        </is>
      </c>
      <c r="D5" s="23" t="inlineStr">
        <is>
          <t>Minor</t>
        </is>
      </c>
      <c r="E5" s="23" t="inlineStr">
        <is>
          <t>Figma: Active page = outlined (white fill, navy border, navy numeral).  →  Live: Active page = a navy-filled chip with a white numeral.</t>
        </is>
      </c>
      <c r="F5" s="23" t="inlineStr">
        <is>
          <t>Match the pagination active-page control to the design's outlined style. Applies to every paginated table.</t>
        </is>
      </c>
      <c r="G5" s="24" t="inlineStr">
        <is>
          <t>https://www.figma.com/design/gH2vQ62cfg4677YKWuOpLc/MoSJE-Portal--Handoff-?node-id=2494-38830</t>
        </is>
      </c>
      <c r="H5" s="24" t="inlineStr">
        <is>
          <t>https://tg-admin-dev.mosje.in/dashboard</t>
        </is>
      </c>
      <c r="I5" s="23" t="inlineStr">
        <is>
          <t>Open</t>
        </is>
      </c>
      <c r="J5" s="23" t="inlineStr"/>
      <c r="K5" s="23" t="inlineStr"/>
      <c r="L5" s="23" t="inlineStr">
        <is>
          <t>env: dev  ·  Scope: Global — these elements repeat across the portal; fix once. The board shows a representative frame (Central Admin — Dashboard) — open it via 'Figma frame ↗'; each marker's number matches its TG-GLOBAL id.</t>
        </is>
      </c>
      <c r="M5" s="23" t="inlineStr">
        <is>
          <t>Global</t>
        </is>
      </c>
    </row>
    <row r="6">
      <c r="A6" s="21" t="inlineStr">
        <is>
          <t>TG-GLOBAL-005</t>
        </is>
      </c>
      <c r="B6" s="21" t="inlineStr">
        <is>
          <t>Global · Government masthead · dashboards · tables</t>
        </is>
      </c>
      <c r="C6" s="21" t="inlineStr">
        <is>
          <t>Color &amp; Token</t>
        </is>
      </c>
      <c r="D6" s="21" t="inlineStr">
        <is>
          <t>Minor</t>
        </is>
      </c>
      <c r="E6" s="21" t="inlineStr">
        <is>
          <t>Figma: Table headers use a light neutral-gray fill (≈#f9fafb, Stroke/50).  →  Live: Dashboard queue tables use a near-neutral header, but the User/Role/Tenant management tables use a light blue header tint (≈#dbeafe).</t>
        </is>
      </c>
      <c r="F6" s="21" t="inlineStr">
        <is>
          <t>Standardise all data-table headers to the neutral-gray header token; drop the blue tint on the management tables.</t>
        </is>
      </c>
      <c r="G6" s="22" t="inlineStr">
        <is>
          <t>https://www.figma.com/design/gH2vQ62cfg4677YKWuOpLc/MoSJE-Portal--Handoff-?node-id=2494-38830</t>
        </is>
      </c>
      <c r="H6" s="22" t="inlineStr">
        <is>
          <t>https://tg-admin-dev.mosje.in/dashboard</t>
        </is>
      </c>
      <c r="I6" s="21" t="inlineStr">
        <is>
          <t>Open</t>
        </is>
      </c>
      <c r="J6" s="21" t="inlineStr"/>
      <c r="K6" s="21" t="inlineStr"/>
      <c r="L6" s="21" t="inlineStr">
        <is>
          <t>env: dev  ·  Scope: Global — these elements repeat across the portal; fix once. The board shows a representative frame (Central Admin — Dashboard) — open it via 'Figma frame ↗'; each marker's number matches its TG-GLOBAL id.</t>
        </is>
      </c>
      <c r="M6" s="21" t="inlineStr">
        <is>
          <t>Global</t>
        </is>
      </c>
    </row>
    <row r="7">
      <c r="A7" s="23" t="inlineStr">
        <is>
          <t>TG-GLOBAL-006</t>
        </is>
      </c>
      <c r="B7" s="23" t="inlineStr">
        <is>
          <t>Global · Application review — validation &amp; documents</t>
        </is>
      </c>
      <c r="C7" s="23" t="inlineStr">
        <is>
          <t>Components &amp; States</t>
        </is>
      </c>
      <c r="D7" s="23" t="inlineStr">
        <is>
          <t>Major</t>
        </is>
      </c>
      <c r="E7" s="23" t="inlineStr">
        <is>
          <t>Figma: System Validation lists three checks — Data Validation, Duplicate Check (with the match + similarity score, e.g. 'Potential match: TG2024-LU-04521 (85% similarity)') and Document Verification.  →  Live: The build shows only Data Validation and Document Verification — the Duplicate Check row is absent, so the duplicate-detection signal never reaches the reviewer. Repeats on every role's application review screen.</t>
        </is>
      </c>
      <c r="F7" s="23" t="inlineStr">
        <is>
          <t>Restore the Duplicate Check row in System Validation with its match reference + similarity status. Applies to every role's application review screen.</t>
        </is>
      </c>
      <c r="G7" s="24" t="inlineStr">
        <is>
          <t>https://www.figma.com/design/gH2vQ62cfg4677YKWuOpLc/MoSJE-Portal--Handoff-?node-id=2494-39123</t>
        </is>
      </c>
      <c r="H7" s="24" t="inlineStr">
        <is>
          <t>https://tg-admin-dev.mosje.in/applications</t>
        </is>
      </c>
      <c r="I7" s="23" t="inlineStr">
        <is>
          <t>Open</t>
        </is>
      </c>
      <c r="J7" s="23" t="inlineStr"/>
      <c r="K7" s="23" t="inlineStr"/>
      <c r="L7" s="23" t="inlineStr">
        <is>
          <t>env: dev  ·  Scope: Global — these elements repeat across the portal; fix once. The board shows a representative frame (Examining Officer — Application Documents) — open it via 'Figma frame ↗'; each marker's number matches its TG-GLOBAL id.</t>
        </is>
      </c>
      <c r="M7" s="23" t="inlineStr">
        <is>
          <t>Global</t>
        </is>
      </c>
    </row>
    <row r="8">
      <c r="A8" s="21" t="inlineStr">
        <is>
          <t>TG-GLOBAL-007</t>
        </is>
      </c>
      <c r="B8" s="21" t="inlineStr">
        <is>
          <t>Global · Application review — validation &amp; documents</t>
        </is>
      </c>
      <c r="C8" s="21" t="inlineStr">
        <is>
          <t>Content &amp; Iconography</t>
        </is>
      </c>
      <c r="D8" s="21" t="inlineStr">
        <is>
          <t>Major</t>
        </is>
      </c>
      <c r="E8" s="21" t="inlineStr">
        <is>
          <t>Figma: Each document is listed by its semantic name — 'Signed Affidavit', 'Aadhaar Card', 'Passport Photo' — with a matching document-type icon.  →  Live: The build lists raw upload filenames ('form1 (2).pdf', 'Screenshot 2026-06-24 221031.pdf', 'tgportal-image.jpg') against a generic file glyph, so a reviewer cannot tell which document is which without opening each one. Repeats on every role's Documents tab.</t>
        </is>
      </c>
      <c r="F8" s="21" t="inlineStr">
        <is>
          <t>Label each document by its semantic type with the matching type icon and keep the filename as secondary text. Applies to every role's Documents tab.</t>
        </is>
      </c>
      <c r="G8" s="22" t="inlineStr">
        <is>
          <t>https://www.figma.com/design/gH2vQ62cfg4677YKWuOpLc/MoSJE-Portal--Handoff-?node-id=2494-39123</t>
        </is>
      </c>
      <c r="H8" s="22" t="inlineStr">
        <is>
          <t>https://tg-admin-dev.mosje.in/applications</t>
        </is>
      </c>
      <c r="I8" s="21" t="inlineStr">
        <is>
          <t>Open</t>
        </is>
      </c>
      <c r="J8" s="21" t="inlineStr"/>
      <c r="K8" s="21" t="inlineStr"/>
      <c r="L8" s="21" t="inlineStr">
        <is>
          <t>env: dev  ·  Scope: Global — these elements repeat across the portal; fix once. The board shows a representative frame (Examining Officer — Application Documents) — open it via 'Figma frame ↗'; each marker's number matches its TG-GLOBAL id.</t>
        </is>
      </c>
      <c r="M8" s="21" t="inlineStr">
        <is>
          <t>Global</t>
        </is>
      </c>
    </row>
    <row r="9">
      <c r="A9" s="23" t="inlineStr">
        <is>
          <t>TG-GLOBAL-008</t>
        </is>
      </c>
      <c r="B9" s="23" t="inlineStr">
        <is>
          <t>Global · Application review — validation &amp; documents</t>
        </is>
      </c>
      <c r="C9" s="23" t="inlineStr">
        <is>
          <t>Components &amp; States</t>
        </is>
      </c>
      <c r="D9" s="23" t="inlineStr">
        <is>
          <t>Minor</t>
        </is>
      </c>
      <c r="E9" s="23" t="inlineStr">
        <is>
          <t>Figma: When the system detects a similar record the screen surfaces an amber 'Exception Flagged: Duplicate' banner above the application, explaining the match.  →  Live: The build never renders the exception banner, so flagged applications look identical to clean ones.</t>
        </is>
      </c>
      <c r="F9" s="23" t="inlineStr">
        <is>
          <t>Render the exception banner when the duplicate/exception check trips, per the design.</t>
        </is>
      </c>
      <c r="G9" s="24" t="inlineStr">
        <is>
          <t>https://www.figma.com/design/gH2vQ62cfg4677YKWuOpLc/MoSJE-Portal--Handoff-?node-id=2494-39123</t>
        </is>
      </c>
      <c r="H9" s="24" t="inlineStr">
        <is>
          <t>https://tg-admin-dev.mosje.in/applications</t>
        </is>
      </c>
      <c r="I9" s="23" t="inlineStr">
        <is>
          <t>Open</t>
        </is>
      </c>
      <c r="J9" s="23" t="inlineStr"/>
      <c r="K9" s="23" t="inlineStr"/>
      <c r="L9" s="23" t="inlineStr">
        <is>
          <t>env: dev  ·  Scope: Global — these elements repeat across the portal; fix once. The board shows a representative frame (Examining Officer — Application Documents) — open it via 'Figma frame ↗'; each marker's number matches its TG-GLOBAL id.</t>
        </is>
      </c>
      <c r="M9" s="23" t="inlineStr">
        <is>
          <t>Global</t>
        </is>
      </c>
    </row>
    <row r="10">
      <c r="A10" s="21" t="inlineStr">
        <is>
          <t>TG-CIT-SIGNIN-001</t>
        </is>
      </c>
      <c r="B10" s="21" t="inlineStr">
        <is>
          <t>Citizen — Sign In</t>
        </is>
      </c>
      <c r="C10" s="21" t="inlineStr">
        <is>
          <t>Components &amp; States</t>
        </is>
      </c>
      <c r="D10" s="21" t="inlineStr">
        <is>
          <t>Major</t>
        </is>
      </c>
      <c r="E10" s="21" t="inlineStr">
        <is>
          <t>Figma: The login card leads with a three-way role switcher — Citizen · Admin · Garima Greh — with Citizen active.  →  Live: The citizen build renders no role tabs; the card opens straight into the 'Log In to your account' heading.</t>
        </is>
      </c>
      <c r="F10" s="21" t="inlineStr">
        <is>
          <t>Restore the Citizen / Admin / Garima Greh role-tab switcher at the top of the login card, per the design frame.</t>
        </is>
      </c>
      <c r="G10" s="22" t="inlineStr">
        <is>
          <t>https://www.figma.com/design/gH2vQ62cfg4677YKWuOpLc/MoSJE-Portal--Handoff-?node-id=9379-115794</t>
        </is>
      </c>
      <c r="H10" s="22" t="inlineStr">
        <is>
          <t>https://tg-user-dev.mosje.in/auth/sign-in</t>
        </is>
      </c>
      <c r="I10" s="21" t="inlineStr">
        <is>
          <t>Open</t>
        </is>
      </c>
      <c r="J10" s="21" t="inlineStr"/>
      <c r="K10" s="21" t="inlineStr"/>
      <c r="L10" s="21" t="inlineStr">
        <is>
          <t>env: dev</t>
        </is>
      </c>
      <c r="M10" s="21" t="inlineStr">
        <is>
          <t>Screen</t>
        </is>
      </c>
    </row>
    <row r="11">
      <c r="A11" s="23" t="inlineStr">
        <is>
          <t>TG-CIT-SIGNIN-002</t>
        </is>
      </c>
      <c r="B11" s="23" t="inlineStr">
        <is>
          <t>Citizen — Sign In</t>
        </is>
      </c>
      <c r="C11" s="23" t="inlineStr">
        <is>
          <t>Components &amp; States</t>
        </is>
      </c>
      <c r="D11" s="23" t="inlineStr">
        <is>
          <t>Major</t>
        </is>
      </c>
      <c r="E11" s="23" t="inlineStr">
        <is>
          <t>Figma: The design offers a single Email field under 'or sign in with credentials', then a Send OTP button.  →  Live: The build inserts a second 'Mobile Number' field (with its own 'or' divider) below the Email Id field — absent from the design.</t>
        </is>
      </c>
      <c r="F11" s="23" t="inlineStr">
        <is>
          <t>Align to the design's single-field pattern, or update the design frame if the Mobile Number entry is a deliberate addition.</t>
        </is>
      </c>
      <c r="G11" s="24" t="inlineStr">
        <is>
          <t>https://www.figma.com/design/gH2vQ62cfg4677YKWuOpLc/MoSJE-Portal--Handoff-?node-id=9379-115794</t>
        </is>
      </c>
      <c r="H11" s="24" t="inlineStr">
        <is>
          <t>https://tg-user-dev.mosje.in/auth/sign-in</t>
        </is>
      </c>
      <c r="I11" s="23" t="inlineStr">
        <is>
          <t>Open</t>
        </is>
      </c>
      <c r="J11" s="23" t="inlineStr"/>
      <c r="K11" s="23" t="inlineStr"/>
      <c r="L11" s="23" t="inlineStr">
        <is>
          <t>env: dev</t>
        </is>
      </c>
      <c r="M11" s="23" t="inlineStr">
        <is>
          <t>Screen</t>
        </is>
      </c>
    </row>
    <row r="12">
      <c r="A12" s="21" t="inlineStr">
        <is>
          <t>TG-CIT-SIGNIN-003</t>
        </is>
      </c>
      <c r="B12" s="21" t="inlineStr">
        <is>
          <t>Citizen — Sign In</t>
        </is>
      </c>
      <c r="C12" s="21" t="inlineStr">
        <is>
          <t>Typography</t>
        </is>
      </c>
      <c r="D12" s="21" t="inlineStr">
        <is>
          <t>Minor</t>
        </is>
      </c>
      <c r="E12" s="21" t="inlineStr">
        <is>
          <t>Figma: The heading reads 'Log in to your account' (sentence case).  →  Live: The build renders 'Log In to your account' — 'In' is capitalised.</t>
        </is>
      </c>
      <c r="F12" s="21" t="inlineStr">
        <is>
          <t>Match the design's sentence-case heading: 'Log in to your account'.</t>
        </is>
      </c>
      <c r="G12" s="22" t="inlineStr">
        <is>
          <t>https://www.figma.com/design/gH2vQ62cfg4677YKWuOpLc/MoSJE-Portal--Handoff-?node-id=9379-115794</t>
        </is>
      </c>
      <c r="H12" s="22" t="inlineStr">
        <is>
          <t>https://tg-user-dev.mosje.in/auth/sign-in</t>
        </is>
      </c>
      <c r="I12" s="21" t="inlineStr">
        <is>
          <t>Open</t>
        </is>
      </c>
      <c r="J12" s="21" t="inlineStr"/>
      <c r="K12" s="21" t="inlineStr"/>
      <c r="L12" s="21" t="inlineStr">
        <is>
          <t>env: dev</t>
        </is>
      </c>
      <c r="M12" s="21" t="inlineStr">
        <is>
          <t>Screen</t>
        </is>
      </c>
    </row>
    <row r="13">
      <c r="A13" s="23" t="inlineStr">
        <is>
          <t>TG-ADM-SIGNIN-001</t>
        </is>
      </c>
      <c r="B13" s="23" t="inlineStr">
        <is>
          <t>Admin — Log In</t>
        </is>
      </c>
      <c r="C13" s="23" t="inlineStr">
        <is>
          <t>Components &amp; States</t>
        </is>
      </c>
      <c r="D13" s="23" t="inlineStr">
        <is>
          <t>Major</t>
        </is>
      </c>
      <c r="E13" s="23" t="inlineStr">
        <is>
          <t>Figma: The design offers a single Email field, then a Send OTP button.  →  Live: The build adds a second 'Mobile Number' field (with an 'or' divider) below Email — absent from the design.</t>
        </is>
      </c>
      <c r="F13" s="23" t="inlineStr">
        <is>
          <t>Align to the design's single Email-field pattern, or update the design frame if Mobile Number entry is a deliberate addition.</t>
        </is>
      </c>
      <c r="G13" s="24" t="inlineStr">
        <is>
          <t>https://www.figma.com/design/gH2vQ62cfg4677YKWuOpLc/MoSJE-Portal--Handoff-?node-id=9387-138143</t>
        </is>
      </c>
      <c r="H13" s="24" t="inlineStr">
        <is>
          <t>https://tg-admin-dev.mosje.in/login</t>
        </is>
      </c>
      <c r="I13" s="23" t="inlineStr">
        <is>
          <t>Open</t>
        </is>
      </c>
      <c r="J13" s="23" t="inlineStr"/>
      <c r="K13" s="23" t="inlineStr"/>
      <c r="L13" s="23" t="inlineStr">
        <is>
          <t>env: dev</t>
        </is>
      </c>
      <c r="M13" s="23" t="inlineStr">
        <is>
          <t>Screen</t>
        </is>
      </c>
    </row>
    <row r="14">
      <c r="A14" s="21" t="inlineStr">
        <is>
          <t>TG-ADM-SIGNIN-002</t>
        </is>
      </c>
      <c r="B14" s="21" t="inlineStr">
        <is>
          <t>Admin — Log In</t>
        </is>
      </c>
      <c r="C14" s="21" t="inlineStr">
        <is>
          <t>Typography</t>
        </is>
      </c>
      <c r="D14" s="21" t="inlineStr">
        <is>
          <t>Minor</t>
        </is>
      </c>
      <c r="E14" s="21" t="inlineStr">
        <is>
          <t>Figma: The heading reads 'Log in to your account' (sentence case).  →  Live: The build renders 'Log In to your account' — 'In' is capitalised.</t>
        </is>
      </c>
      <c r="F14" s="21" t="inlineStr">
        <is>
          <t>Match the design's sentence-case heading: 'Log in to your account'.</t>
        </is>
      </c>
      <c r="G14" s="22" t="inlineStr">
        <is>
          <t>https://www.figma.com/design/gH2vQ62cfg4677YKWuOpLc/MoSJE-Portal--Handoff-?node-id=9387-138143</t>
        </is>
      </c>
      <c r="H14" s="22" t="inlineStr">
        <is>
          <t>https://tg-admin-dev.mosje.in/login</t>
        </is>
      </c>
      <c r="I14" s="21" t="inlineStr">
        <is>
          <t>Open</t>
        </is>
      </c>
      <c r="J14" s="21" t="inlineStr"/>
      <c r="K14" s="21" t="inlineStr"/>
      <c r="L14" s="21" t="inlineStr">
        <is>
          <t>env: dev</t>
        </is>
      </c>
      <c r="M14" s="21" t="inlineStr">
        <is>
          <t>Screen</t>
        </is>
      </c>
    </row>
    <row r="15">
      <c r="A15" s="23" t="inlineStr">
        <is>
          <t>TG-CIT-APPLY-IDENTITY-001</t>
        </is>
      </c>
      <c r="B15" s="23" t="inlineStr">
        <is>
          <t>Citizen — Apply · Step 1 · Basic Identity Details</t>
        </is>
      </c>
      <c r="C15" s="23" t="inlineStr">
        <is>
          <t>Layout &amp; Spacing</t>
        </is>
      </c>
      <c r="D15" s="23" t="inlineStr">
        <is>
          <t>Minor</t>
        </is>
      </c>
      <c r="E15" s="23" t="inlineStr">
        <is>
          <t>Figma: Self-Perceived Identity and Permanent Address lay out on a 3-column field grid.  →  Live: The build uses a 2-column grid, making the form noticeably taller and pushing the primary action below the fold.</t>
        </is>
      </c>
      <c r="F15" s="23" t="inlineStr">
        <is>
          <t>Match the design's 3-column field grid on the identity step.</t>
        </is>
      </c>
      <c r="G15" s="24" t="inlineStr">
        <is>
          <t>https://www.figma.com/design/gH2vQ62cfg4677YKWuOpLc/MoSJE-Portal--Handoff-?node-id=3531-35553</t>
        </is>
      </c>
      <c r="H15" s="24" t="inlineStr">
        <is>
          <t>https://tg-user-dev.mosje.in/apply</t>
        </is>
      </c>
      <c r="I15" s="23" t="inlineStr">
        <is>
          <t>Open</t>
        </is>
      </c>
      <c r="J15" s="23" t="inlineStr"/>
      <c r="K15" s="23" t="inlineStr"/>
      <c r="L15" s="23" t="inlineStr">
        <is>
          <t>env: dev</t>
        </is>
      </c>
      <c r="M15" s="23" t="inlineStr">
        <is>
          <t>Screen</t>
        </is>
      </c>
    </row>
    <row r="16">
      <c r="A16" s="21" t="inlineStr">
        <is>
          <t>TG-CIT-APPLY-IDENTITY-002</t>
        </is>
      </c>
      <c r="B16" s="21" t="inlineStr">
        <is>
          <t>Citizen — Apply · Step 1 · Basic Identity Details</t>
        </is>
      </c>
      <c r="C16" s="21" t="inlineStr">
        <is>
          <t>Components &amp; States</t>
        </is>
      </c>
      <c r="D16" s="21" t="inlineStr">
        <is>
          <t>Minor</t>
        </is>
      </c>
      <c r="E16" s="21" t="inlineStr">
        <is>
          <t>Figma: A single checkbox reads 'My Current / Correspondence address is the same as my Permanent address.'  →  Live: The build asks 'Is your correspondence address the same as your permanent address?' with Yes/No toggle buttons.</t>
        </is>
      </c>
      <c r="F16" s="21" t="inlineStr">
        <is>
          <t>Use the design's single checkbox for the correspondence-address control.</t>
        </is>
      </c>
      <c r="G16" s="22" t="inlineStr">
        <is>
          <t>https://www.figma.com/design/gH2vQ62cfg4677YKWuOpLc/MoSJE-Portal--Handoff-?node-id=3531-35553</t>
        </is>
      </c>
      <c r="H16" s="22" t="inlineStr">
        <is>
          <t>https://tg-user-dev.mosje.in/apply</t>
        </is>
      </c>
      <c r="I16" s="21" t="inlineStr">
        <is>
          <t>Open</t>
        </is>
      </c>
      <c r="J16" s="21" t="inlineStr"/>
      <c r="K16" s="21" t="inlineStr"/>
      <c r="L16" s="21" t="inlineStr">
        <is>
          <t>env: dev</t>
        </is>
      </c>
      <c r="M16" s="21" t="inlineStr">
        <is>
          <t>Screen</t>
        </is>
      </c>
    </row>
    <row r="17">
      <c r="A17" s="23" t="inlineStr">
        <is>
          <t>TG-CIT-APPLY-IDENTITY-003</t>
        </is>
      </c>
      <c r="B17" s="23" t="inlineStr">
        <is>
          <t>Citizen — Apply · Step 1 · Basic Identity Details</t>
        </is>
      </c>
      <c r="C17" s="23" t="inlineStr">
        <is>
          <t>Components &amp; States</t>
        </is>
      </c>
      <c r="D17" s="23" t="inlineStr">
        <is>
          <t>Minor</t>
        </is>
      </c>
      <c r="E17" s="23" t="inlineStr">
        <is>
          <t>Figma: The bottom-left control on the step is 'Cancel'.  →  Live: The build renders 'Back' instead.</t>
        </is>
      </c>
      <c r="F17" s="23" t="inlineStr">
        <is>
          <t>Relabel the bottom-left control to 'Cancel' per the design.</t>
        </is>
      </c>
      <c r="G17" s="24" t="inlineStr">
        <is>
          <t>https://www.figma.com/design/gH2vQ62cfg4677YKWuOpLc/MoSJE-Portal--Handoff-?node-id=3531-35553</t>
        </is>
      </c>
      <c r="H17" s="24" t="inlineStr">
        <is>
          <t>https://tg-user-dev.mosje.in/apply</t>
        </is>
      </c>
      <c r="I17" s="23" t="inlineStr">
        <is>
          <t>Open</t>
        </is>
      </c>
      <c r="J17" s="23" t="inlineStr"/>
      <c r="K17" s="23" t="inlineStr"/>
      <c r="L17" s="23" t="inlineStr">
        <is>
          <t>env: dev</t>
        </is>
      </c>
      <c r="M17" s="23" t="inlineStr">
        <is>
          <t>Screen</t>
        </is>
      </c>
    </row>
    <row r="18">
      <c r="A18" s="21" t="inlineStr">
        <is>
          <t>TG-CIT-APPLY-IDENTITY-004</t>
        </is>
      </c>
      <c r="B18" s="21" t="inlineStr">
        <is>
          <t>Citizen — Apply · Step 1 · Basic Identity Details</t>
        </is>
      </c>
      <c r="C18" s="21" t="inlineStr">
        <is>
          <t>Components &amp; States</t>
        </is>
      </c>
      <c r="D18" s="21" t="inlineStr">
        <is>
          <t>Minor</t>
        </is>
      </c>
      <c r="E18" s="21" t="inlineStr">
        <is>
          <t>Figma: The active step is a solid navy disc with a white numeral.  →  Live: The build renders the active step as an outlined ring, so it reads like an inactive step.</t>
        </is>
      </c>
      <c r="F18" s="21" t="inlineStr">
        <is>
          <t>Give the active step the design's solid navy fill + white numeral.</t>
        </is>
      </c>
      <c r="G18" s="22" t="inlineStr">
        <is>
          <t>https://www.figma.com/design/gH2vQ62cfg4677YKWuOpLc/MoSJE-Portal--Handoff-?node-id=3531-35553</t>
        </is>
      </c>
      <c r="H18" s="22" t="inlineStr">
        <is>
          <t>https://tg-user-dev.mosje.in/apply</t>
        </is>
      </c>
      <c r="I18" s="21" t="inlineStr">
        <is>
          <t>Open</t>
        </is>
      </c>
      <c r="J18" s="21" t="inlineStr"/>
      <c r="K18" s="21" t="inlineStr"/>
      <c r="L18" s="21" t="inlineStr">
        <is>
          <t>env: dev</t>
        </is>
      </c>
      <c r="M18" s="21" t="inlineStr">
        <is>
          <t>Screen</t>
        </is>
      </c>
    </row>
    <row r="19">
      <c r="A19" s="23" t="inlineStr">
        <is>
          <t>TG-CIT-DASH-001</t>
        </is>
      </c>
      <c r="B19" s="23" t="inlineStr">
        <is>
          <t>Citizen — Dashboard · Certificate Active</t>
        </is>
      </c>
      <c r="C19" s="23" t="inlineStr">
        <is>
          <t>Layout &amp; Spacing</t>
        </is>
      </c>
      <c r="D19" s="23" t="inlineStr">
        <is>
          <t>Minor</t>
        </is>
      </c>
      <c r="E19" s="23" t="inlineStr">
        <is>
          <t>Figma: All four benefit cards — Scholarships, Skill Training, Garima Greh, Medical Support — sit in a single 4-up row.  →  Live: The build's cards are wider, so only three fit and Medical Support wraps onto a second row.</t>
        </is>
      </c>
      <c r="F19" s="23" t="inlineStr">
        <is>
          <t>Match the design's 4-up Welfare Benefits grid so the row doesn't wrap.</t>
        </is>
      </c>
      <c r="G19" s="24" t="inlineStr">
        <is>
          <t>https://www.figma.com/design/gH2vQ62cfg4677YKWuOpLc/MoSJE-Portal--Handoff-?node-id=3531-36919</t>
        </is>
      </c>
      <c r="H19" s="24" t="inlineStr">
        <is>
          <t>https://tg-user-dev.mosje.in/dashboard</t>
        </is>
      </c>
      <c r="I19" s="23" t="inlineStr">
        <is>
          <t>Open</t>
        </is>
      </c>
      <c r="J19" s="23" t="inlineStr"/>
      <c r="K19" s="23" t="inlineStr"/>
      <c r="L19" s="23" t="inlineStr">
        <is>
          <t>env: dev</t>
        </is>
      </c>
      <c r="M19" s="23" t="inlineStr">
        <is>
          <t>Screen</t>
        </is>
      </c>
    </row>
    <row r="20">
      <c r="A20" s="21" t="inlineStr">
        <is>
          <t>TG-CIT-DASH-002</t>
        </is>
      </c>
      <c r="B20" s="21" t="inlineStr">
        <is>
          <t>Citizen — Dashboard · Certificate Active</t>
        </is>
      </c>
      <c r="C20" s="21" t="inlineStr">
        <is>
          <t>Components &amp; States</t>
        </is>
      </c>
      <c r="D20" s="21" t="inlineStr">
        <is>
          <t>Minor</t>
        </is>
      </c>
      <c r="E20" s="21" t="inlineStr">
        <is>
          <t>Figma: The sidebar lists Dashboard / Certificate/ID / Scholarships / Grievances, each with a leading icon.  →  Live: The build's sidebar has no per-item icons and drops the Scholarships entry (it shows a 'Transgender' scheme dropdown above the list instead).</t>
        </is>
      </c>
      <c r="F20" s="21" t="inlineStr">
        <is>
          <t>Restore the per-item sidebar icons and the Scholarships nav entry per the design.</t>
        </is>
      </c>
      <c r="G20" s="22" t="inlineStr">
        <is>
          <t>https://www.figma.com/design/gH2vQ62cfg4677YKWuOpLc/MoSJE-Portal--Handoff-?node-id=3531-36919</t>
        </is>
      </c>
      <c r="H20" s="22" t="inlineStr">
        <is>
          <t>https://tg-user-dev.mosje.in/dashboard</t>
        </is>
      </c>
      <c r="I20" s="21" t="inlineStr">
        <is>
          <t>Open</t>
        </is>
      </c>
      <c r="J20" s="21" t="inlineStr"/>
      <c r="K20" s="21" t="inlineStr"/>
      <c r="L20" s="21" t="inlineStr">
        <is>
          <t>env: dev</t>
        </is>
      </c>
      <c r="M20" s="21" t="inlineStr">
        <is>
          <t>Screen</t>
        </is>
      </c>
    </row>
    <row r="21">
      <c r="A21" s="23" t="inlineStr">
        <is>
          <t>TG-CIT-CERT-DETAIL-001</t>
        </is>
      </c>
      <c r="B21" s="23" t="inlineStr">
        <is>
          <t>Citizen — Certificate &amp; Identity Card</t>
        </is>
      </c>
      <c r="C21" s="23" t="inlineStr">
        <is>
          <t>Components &amp; States</t>
        </is>
      </c>
      <c r="D21" s="23" t="inlineStr">
        <is>
          <t>Major</t>
        </is>
      </c>
      <c r="E21" s="23" t="inlineStr">
        <is>
          <t>Figma: The certificate page carries an OTHER SERVICES section with four lifecycle actions — New Transgender Certificate &amp; ID, Revised Certificate (Post-Medical Intervention), Correction or Update Existing Details, and Withdraw a Pending Application.  →  Live: The build renders the dashboard's Welfare Benefits cards here instead, so none of the certificate lifecycle actions are reachable from this page.</t>
        </is>
      </c>
      <c r="F21" s="23" t="inlineStr">
        <is>
          <t>Restore the Other Services section (New certificate · Revised certificate · Correction/Update · Withdraw) on the certificate page per the design.</t>
        </is>
      </c>
      <c r="G21" s="24" t="inlineStr">
        <is>
          <t>https://www.figma.com/design/gH2vQ62cfg4677YKWuOpLc/MoSJE-Portal--Handoff-?node-id=3531-36666</t>
        </is>
      </c>
      <c r="H21" s="24" t="inlineStr">
        <is>
          <t>https://tg-user-dev.mosje.in/certificate</t>
        </is>
      </c>
      <c r="I21" s="23" t="inlineStr">
        <is>
          <t>Open</t>
        </is>
      </c>
      <c r="J21" s="23" t="inlineStr"/>
      <c r="K21" s="23" t="inlineStr"/>
      <c r="L21" s="23" t="inlineStr">
        <is>
          <t>env: dev</t>
        </is>
      </c>
      <c r="M21" s="23" t="inlineStr">
        <is>
          <t>Screen</t>
        </is>
      </c>
    </row>
    <row r="22">
      <c r="A22" s="21" t="inlineStr">
        <is>
          <t>TG-CIT-CERT-DETAIL-002</t>
        </is>
      </c>
      <c r="B22" s="21" t="inlineStr">
        <is>
          <t>Citizen — Certificate &amp; Identity Card</t>
        </is>
      </c>
      <c r="C22" s="21" t="inlineStr">
        <is>
          <t>Typography</t>
        </is>
      </c>
      <c r="D22" s="21" t="inlineStr">
        <is>
          <t>Minor</t>
        </is>
      </c>
      <c r="E22" s="21" t="inlineStr">
        <is>
          <t>Figma: The page opens with the title 'Transgender Certificate &amp; Identity Card' and an explanatory paragraph about the certificate.  →  Live: The build starts straight at the approval card — no page title or intro copy.</t>
        </is>
      </c>
      <c r="F22" s="21" t="inlineStr">
        <is>
          <t>Render the page title and intro paragraph per the design.</t>
        </is>
      </c>
      <c r="G22" s="22" t="inlineStr">
        <is>
          <t>https://www.figma.com/design/gH2vQ62cfg4677YKWuOpLc/MoSJE-Portal--Handoff-?node-id=3531-36666</t>
        </is>
      </c>
      <c r="H22" s="22" t="inlineStr">
        <is>
          <t>https://tg-user-dev.mosje.in/certificate</t>
        </is>
      </c>
      <c r="I22" s="21" t="inlineStr">
        <is>
          <t>Open</t>
        </is>
      </c>
      <c r="J22" s="21" t="inlineStr"/>
      <c r="K22" s="21" t="inlineStr"/>
      <c r="L22" s="21" t="inlineStr">
        <is>
          <t>env: dev</t>
        </is>
      </c>
      <c r="M22" s="21" t="inlineStr">
        <is>
          <t>Screen</t>
        </is>
      </c>
    </row>
    <row r="23">
      <c r="A23" s="23" t="inlineStr">
        <is>
          <t>TG-CIT-CERT-DETAIL-003</t>
        </is>
      </c>
      <c r="B23" s="23" t="inlineStr">
        <is>
          <t>Citizen — Certificate &amp; Identity Card</t>
        </is>
      </c>
      <c r="C23" s="23" t="inlineStr">
        <is>
          <t>Components &amp; States</t>
        </is>
      </c>
      <c r="D23" s="23" t="inlineStr">
        <is>
          <t>Nit</t>
        </is>
      </c>
      <c r="E23" s="23" t="inlineStr">
        <is>
          <t>Figma: The approval card offers 'Download Certificate' and 'Download ID Card'.  →  Live: The build offers 'Download Revised Certificate', 'Download ID Card', 'Gender Revision Request' and 'Collapse'.</t>
        </is>
      </c>
      <c r="F23" s="23" t="inlineStr">
        <is>
          <t>Confirm the extra actions are intended and align the primary label with the design.</t>
        </is>
      </c>
      <c r="G23" s="24" t="inlineStr">
        <is>
          <t>https://www.figma.com/design/gH2vQ62cfg4677YKWuOpLc/MoSJE-Portal--Handoff-?node-id=3531-36666</t>
        </is>
      </c>
      <c r="H23" s="24" t="inlineStr">
        <is>
          <t>https://tg-user-dev.mosje.in/certificate</t>
        </is>
      </c>
      <c r="I23" s="23" t="inlineStr">
        <is>
          <t>Open</t>
        </is>
      </c>
      <c r="J23" s="23" t="inlineStr"/>
      <c r="K23" s="23" t="inlineStr"/>
      <c r="L23" s="23" t="inlineStr">
        <is>
          <t>env: dev</t>
        </is>
      </c>
      <c r="M23" s="23" t="inlineStr">
        <is>
          <t>Screen</t>
        </is>
      </c>
    </row>
    <row r="24">
      <c r="A24" s="21" t="inlineStr">
        <is>
          <t>TG-CIT-TRACK-001</t>
        </is>
      </c>
      <c r="B24" s="21" t="inlineStr">
        <is>
          <t>Citizen — Track Status</t>
        </is>
      </c>
      <c r="C24" s="21" t="inlineStr">
        <is>
          <t>Components &amp; States</t>
        </is>
      </c>
      <c r="D24" s="21" t="inlineStr">
        <is>
          <t>Major</t>
        </is>
      </c>
      <c r="E24" s="21" t="inlineStr">
        <is>
          <t>Figma: A Track page shows the application progress stepper (Submitted → In Scrutiny → Approval → Certificate Generation) with the current step highlighted, plus Withdraw Application, Correction Request and View Full Application actions.  →  Live: The build's track route renders the citizen dashboard instead — the progress stepper and its three actions do not exist anywhere in the build.</t>
        </is>
      </c>
      <c r="F24" s="21" t="inlineStr">
        <is>
          <t>Build the track/status page per the design frame, including the progress stepper and the Withdraw / Correction Request / View Full Application actions.</t>
        </is>
      </c>
      <c r="G24" s="22" t="inlineStr">
        <is>
          <t>https://www.figma.com/design/gH2vQ62cfg4677YKWuOpLc/MoSJE-Portal--Handoff-?node-id=3531-36747</t>
        </is>
      </c>
      <c r="H24" s="22" t="inlineStr">
        <is>
          <t>https://tg-user-dev.mosje.in/track-status</t>
        </is>
      </c>
      <c r="I24" s="21" t="inlineStr">
        <is>
          <t>Open</t>
        </is>
      </c>
      <c r="J24" s="21" t="inlineStr"/>
      <c r="K24" s="21" t="inlineStr"/>
      <c r="L24" s="21" t="inlineStr">
        <is>
          <t>env: dev</t>
        </is>
      </c>
      <c r="M24" s="21" t="inlineStr">
        <is>
          <t>Screen</t>
        </is>
      </c>
    </row>
    <row r="25">
      <c r="A25" s="23" t="inlineStr">
        <is>
          <t>TG-EOD-001</t>
        </is>
      </c>
      <c r="B25" s="23" t="inlineStr">
        <is>
          <t>Examining Officer (Maker) — Dashboard</t>
        </is>
      </c>
      <c r="C25" s="23" t="inlineStr">
        <is>
          <t>Components &amp; States</t>
        </is>
      </c>
      <c r="D25" s="23" t="inlineStr">
        <is>
          <t>Minor</t>
        </is>
      </c>
      <c r="E25" s="23" t="inlineStr">
        <is>
          <t>Figma: The design Maker queue has a Classification column (Clean / Exception badges) flagging exception applications.  →  Live: The build omits the Classification column, so triage exceptions aren't visible in the list.</t>
        </is>
      </c>
      <c r="F25" s="23" t="inlineStr">
        <is>
          <t>Show the Classification column per the design (low priority — the build shows fewer columns than the design).</t>
        </is>
      </c>
      <c r="G25" s="24" t="inlineStr">
        <is>
          <t>https://www.figma.com/design/gH2vQ62cfg4677YKWuOpLc/MoSJE-Portal--Handoff-?node-id=2494-41744</t>
        </is>
      </c>
      <c r="H25" s="24" t="inlineStr">
        <is>
          <t>https://tg-admin-dev.mosje.in/dashboard</t>
        </is>
      </c>
      <c r="I25" s="23" t="inlineStr">
        <is>
          <t>Open</t>
        </is>
      </c>
      <c r="J25" s="23" t="inlineStr"/>
      <c r="K25" s="23" t="inlineStr"/>
      <c r="L25" s="23" t="inlineStr">
        <is>
          <t>env: dev</t>
        </is>
      </c>
      <c r="M25" s="23" t="inlineStr">
        <is>
          <t>Screen</t>
        </is>
      </c>
    </row>
    <row r="26">
      <c r="A26" s="21" t="inlineStr">
        <is>
          <t>TG-EOD-002</t>
        </is>
      </c>
      <c r="B26" s="21" t="inlineStr">
        <is>
          <t>Examining Officer (Maker) — Dashboard</t>
        </is>
      </c>
      <c r="C26" s="21" t="inlineStr">
        <is>
          <t>Components &amp; States</t>
        </is>
      </c>
      <c r="D26" s="21" t="inlineStr">
        <is>
          <t>Minor</t>
        </is>
      </c>
      <c r="E26" s="21" t="inlineStr">
        <is>
          <t>Figma: The design queue header carries All Classifications / All Types / All Status filter dropdowns.  →  Live: The build has only a search box + a State/District toggle.</t>
        </is>
      </c>
      <c r="F26" s="21" t="inlineStr">
        <is>
          <t>Surface the relevant queue filters per the design.</t>
        </is>
      </c>
      <c r="G26" s="22" t="inlineStr">
        <is>
          <t>https://www.figma.com/design/gH2vQ62cfg4677YKWuOpLc/MoSJE-Portal--Handoff-?node-id=2494-41744</t>
        </is>
      </c>
      <c r="H26" s="22" t="inlineStr">
        <is>
          <t>https://tg-admin-dev.mosje.in/dashboard</t>
        </is>
      </c>
      <c r="I26" s="21" t="inlineStr">
        <is>
          <t>Open</t>
        </is>
      </c>
      <c r="J26" s="21" t="inlineStr"/>
      <c r="K26" s="21" t="inlineStr"/>
      <c r="L26" s="21" t="inlineStr">
        <is>
          <t>env: dev</t>
        </is>
      </c>
      <c r="M26" s="21" t="inlineStr">
        <is>
          <t>Screen</t>
        </is>
      </c>
    </row>
    <row r="27">
      <c r="A27" s="23" t="inlineStr">
        <is>
          <t>TG-DMD-001</t>
        </is>
      </c>
      <c r="B27" s="23" t="inlineStr">
        <is>
          <t>District Magistrate — Dashboard</t>
        </is>
      </c>
      <c r="C27" s="23" t="inlineStr">
        <is>
          <t>Components &amp; States</t>
        </is>
      </c>
      <c r="D27" s="23" t="inlineStr">
        <is>
          <t>Nit</t>
        </is>
      </c>
      <c r="E27" s="23" t="inlineStr">
        <is>
          <t>Figma: The design DM queue columns are Applicant ID, Name, District, Due in, Status.  →  Live: The build queue adds a 'Current Stage' column and a View action not in the design table.</t>
        </is>
      </c>
      <c r="F27" s="23" t="inlineStr">
        <is>
          <t>Confirm if intended — the build has an extra column; do not remove without design sign-off.</t>
        </is>
      </c>
      <c r="G27" s="24" t="inlineStr">
        <is>
          <t>https://www.figma.com/design/gH2vQ62cfg4677YKWuOpLc/MoSJE-Portal--Handoff-?node-id=2494-42053</t>
        </is>
      </c>
      <c r="H27" s="24" t="inlineStr">
        <is>
          <t>https://tg-admin-dev.mosje.in/dashboard</t>
        </is>
      </c>
      <c r="I27" s="23" t="inlineStr">
        <is>
          <t>Open</t>
        </is>
      </c>
      <c r="J27" s="23" t="inlineStr"/>
      <c r="K27" s="23" t="inlineStr"/>
      <c r="L27" s="23" t="inlineStr">
        <is>
          <t>env: dev</t>
        </is>
      </c>
      <c r="M27" s="23" t="inlineStr">
        <is>
          <t>Screen</t>
        </is>
      </c>
    </row>
    <row r="28">
      <c r="A28" s="21" t="inlineStr">
        <is>
          <t>TG-DM-MODAL-APPROVE-001</t>
        </is>
      </c>
      <c r="B28" s="21" t="inlineStr">
        <is>
          <t>District Magistrate — Approve modal</t>
        </is>
      </c>
      <c r="C28" s="21" t="inlineStr">
        <is>
          <t>Color &amp; Token</t>
        </is>
      </c>
      <c r="D28" s="21" t="inlineStr">
        <is>
          <t>Minor</t>
        </is>
      </c>
      <c r="E28" s="21" t="inlineStr">
        <is>
          <t>Figma: The applicant confirm box is green-tinted with a green border, reinforcing the approve action.  →  Live: The build renders a neutral grey box, losing the success affordance.</t>
        </is>
      </c>
      <c r="F28" s="21" t="inlineStr">
        <is>
          <t>Apply the design's success tint + border to the applicant confirm box.</t>
        </is>
      </c>
      <c r="G28" s="22" t="inlineStr">
        <is>
          <t>https://www.figma.com/design/gH2vQ62cfg4677YKWuOpLc/MoSJE-Portal--Handoff-?node-id=2494-39988</t>
        </is>
      </c>
      <c r="H28" s="22" t="inlineStr">
        <is>
          <t>https://tg-admin-dev.mosje.in/applications</t>
        </is>
      </c>
      <c r="I28" s="21" t="inlineStr">
        <is>
          <t>Open</t>
        </is>
      </c>
      <c r="J28" s="21" t="inlineStr"/>
      <c r="K28" s="21" t="inlineStr"/>
      <c r="L28" s="21" t="inlineStr">
        <is>
          <t>env: dev</t>
        </is>
      </c>
      <c r="M28" s="21" t="inlineStr">
        <is>
          <t>Screen</t>
        </is>
      </c>
    </row>
    <row r="29">
      <c r="A29" s="23" t="inlineStr">
        <is>
          <t>TG-DM-MODAL-APPROVE-002</t>
        </is>
      </c>
      <c r="B29" s="23" t="inlineStr">
        <is>
          <t>District Magistrate — Approve modal</t>
        </is>
      </c>
      <c r="C29" s="23" t="inlineStr">
        <is>
          <t>Content &amp; Iconography</t>
        </is>
      </c>
      <c r="D29" s="23" t="inlineStr">
        <is>
          <t>Minor</t>
        </is>
      </c>
      <c r="E29" s="23" t="inlineStr">
        <is>
          <t>Figma: The modal shows the applicant's photograph with a success check, so the approver can verify identity before committing.  →  Live: The build renders a generic placeholder avatar instead of the applicant's uploaded photo.</t>
        </is>
      </c>
      <c r="F29" s="23" t="inlineStr">
        <is>
          <t>Render the applicant's photograph in the approve modal; confirm whether the placeholder is only a test-data artefact.</t>
        </is>
      </c>
      <c r="G29" s="24" t="inlineStr">
        <is>
          <t>https://www.figma.com/design/gH2vQ62cfg4677YKWuOpLc/MoSJE-Portal--Handoff-?node-id=2494-39988</t>
        </is>
      </c>
      <c r="H29" s="24" t="inlineStr">
        <is>
          <t>https://tg-admin-dev.mosje.in/applications</t>
        </is>
      </c>
      <c r="I29" s="23" t="inlineStr">
        <is>
          <t>Open</t>
        </is>
      </c>
      <c r="J29" s="23" t="inlineStr"/>
      <c r="K29" s="23" t="inlineStr"/>
      <c r="L29" s="23" t="inlineStr">
        <is>
          <t>env: dev</t>
        </is>
      </c>
      <c r="M29" s="23" t="inlineStr">
        <is>
          <t>Screen</t>
        </is>
      </c>
    </row>
    <row r="30">
      <c r="A30" s="21" t="inlineStr">
        <is>
          <t>TG-DM-MODAL-APPROVE-003</t>
        </is>
      </c>
      <c r="B30" s="21" t="inlineStr">
        <is>
          <t>District Magistrate — Approve modal</t>
        </is>
      </c>
      <c r="C30" s="21" t="inlineStr">
        <is>
          <t>Components &amp; States</t>
        </is>
      </c>
      <c r="D30" s="21" t="inlineStr">
        <is>
          <t>Nit</t>
        </is>
      </c>
      <c r="E30" s="21" t="inlineStr">
        <is>
          <t>Figma: The approve modal has no remarks input.  →  Live: The build adds a 'Remarks (Optional)' textarea before the actions.</t>
        </is>
      </c>
      <c r="F30" s="21" t="inlineStr">
        <is>
          <t>Confirm the remarks field is intended; if so, add it to the design frame.</t>
        </is>
      </c>
      <c r="G30" s="22" t="inlineStr">
        <is>
          <t>https://www.figma.com/design/gH2vQ62cfg4677YKWuOpLc/MoSJE-Portal--Handoff-?node-id=2494-39988</t>
        </is>
      </c>
      <c r="H30" s="22" t="inlineStr">
        <is>
          <t>https://tg-admin-dev.mosje.in/applications</t>
        </is>
      </c>
      <c r="I30" s="21" t="inlineStr">
        <is>
          <t>Open</t>
        </is>
      </c>
      <c r="J30" s="21" t="inlineStr"/>
      <c r="K30" s="21" t="inlineStr"/>
      <c r="L30" s="21" t="inlineStr">
        <is>
          <t>env: dev</t>
        </is>
      </c>
      <c r="M30" s="21" t="inlineStr">
        <is>
          <t>Screen</t>
        </is>
      </c>
    </row>
    <row r="31">
      <c r="A31" s="23" t="inlineStr">
        <is>
          <t>TG-CAD-001</t>
        </is>
      </c>
      <c r="B31" s="23" t="inlineStr">
        <is>
          <t>Central Admin — Dashboard</t>
        </is>
      </c>
      <c r="C31" s="23" t="inlineStr">
        <is>
          <t>Layout &amp; Spacing</t>
        </is>
      </c>
      <c r="D31" s="23" t="inlineStr">
        <is>
          <t>Nit</t>
        </is>
      </c>
      <c r="E31" s="23" t="inlineStr">
        <is>
          <t>Figma: The design keeps the State / District / Date-range filters inside the Application Queue card.  →  Live: The build floats a global filter bar ABOVE the KPI cards; it is a richer analytics dashboard (6 KPIs + State/District charts) vs the design's 4-KPI exception queue.</t>
        </is>
      </c>
      <c r="F31" s="23" t="inlineStr">
        <is>
          <t>Confirm the analytics layout is intended — the extra KPIs/charts are build-only (audit vs the visual language, don't remove).</t>
        </is>
      </c>
      <c r="G31" s="24" t="inlineStr">
        <is>
          <t>https://www.figma.com/design/gH2vQ62cfg4677YKWuOpLc/MoSJE-Portal--Handoff-?node-id=2494-38830</t>
        </is>
      </c>
      <c r="H31" s="24" t="inlineStr">
        <is>
          <t>https://tg-admin-dev.mosje.in/dashboard</t>
        </is>
      </c>
      <c r="I31" s="23" t="inlineStr">
        <is>
          <t>Open</t>
        </is>
      </c>
      <c r="J31" s="23" t="inlineStr"/>
      <c r="K31" s="23" t="inlineStr"/>
      <c r="L31" s="23" t="inlineStr">
        <is>
          <t>env: dev</t>
        </is>
      </c>
      <c r="M31" s="23" t="inlineStr">
        <is>
          <t>Screen</t>
        </is>
      </c>
    </row>
    <row r="32">
      <c r="A32" s="21" t="inlineStr">
        <is>
          <t>TG-CAD-002</t>
        </is>
      </c>
      <c r="B32" s="21" t="inlineStr">
        <is>
          <t>Central Admin — Dashboard</t>
        </is>
      </c>
      <c r="C32" s="21" t="inlineStr">
        <is>
          <t>Color &amp; Token</t>
        </is>
      </c>
      <c r="D32" s="21" t="inlineStr">
        <is>
          <t>Minor</t>
        </is>
      </c>
      <c r="E32" s="21" t="inlineStr">
        <is>
          <t>Figma: Charts should use TG tokens — Primary/Source #003366 for bars, Success/Source #2e7d32 for the approval-rate series.  →  Live: Chart series may use raw greens/blues rather than the TG token palette.</t>
        </is>
      </c>
      <c r="F32" s="21" t="inlineStr">
        <is>
          <t>Verify the chart palette against the TG tokens; the charts are a build-only section audited vs the visual language.</t>
        </is>
      </c>
      <c r="G32" s="22" t="inlineStr">
        <is>
          <t>https://www.figma.com/design/gH2vQ62cfg4677YKWuOpLc/MoSJE-Portal--Handoff-?node-id=2494-38830</t>
        </is>
      </c>
      <c r="H32" s="22" t="inlineStr">
        <is>
          <t>https://tg-admin-dev.mosje.in/dashboard</t>
        </is>
      </c>
      <c r="I32" s="21" t="inlineStr">
        <is>
          <t>Open</t>
        </is>
      </c>
      <c r="J32" s="21" t="inlineStr"/>
      <c r="K32" s="21" t="inlineStr"/>
      <c r="L32" s="21" t="inlineStr">
        <is>
          <t>env: dev</t>
        </is>
      </c>
      <c r="M32" s="21" t="inlineStr">
        <is>
          <t>Screen</t>
        </is>
      </c>
    </row>
    <row r="33">
      <c r="A33" s="23" t="inlineStr">
        <is>
          <t>TG-AD-001</t>
        </is>
      </c>
      <c r="B33" s="23" t="inlineStr">
        <is>
          <t>Admin — Application Detail</t>
        </is>
      </c>
      <c r="C33" s="23" t="inlineStr">
        <is>
          <t>Layout &amp; Spacing</t>
        </is>
      </c>
      <c r="D33" s="23" t="inlineStr">
        <is>
          <t>Minor</t>
        </is>
      </c>
      <c r="E33" s="23" t="inlineStr">
        <is>
          <t>Figma: The design detail page is full-width (sidebar collapsed to a hamburger); the examining-officer / DM detail pages have no sidebar (match the design).  →  Live: The central-admin detail page keeps the admin sidebar expanded, narrowing the content column.</t>
        </is>
      </c>
      <c r="F33" s="23" t="inlineStr">
        <is>
          <t>Confirm the central-admin sidebar on detail views is intended; otherwise collapse it to match the design.</t>
        </is>
      </c>
      <c r="G33" s="24" t="inlineStr">
        <is>
          <t>https://www.figma.com/design/gH2vQ62cfg4677YKWuOpLc/MoSJE-Portal--Handoff-?node-id=2494-38975</t>
        </is>
      </c>
      <c r="H33" s="24" t="inlineStr">
        <is>
          <t>https://tg-admin-dev.mosje.in/applications</t>
        </is>
      </c>
      <c r="I33" s="23" t="inlineStr">
        <is>
          <t>Open</t>
        </is>
      </c>
      <c r="J33" s="23" t="inlineStr"/>
      <c r="K33" s="23" t="inlineStr"/>
      <c r="L33" s="23" t="inlineStr">
        <is>
          <t>env: dev</t>
        </is>
      </c>
      <c r="M33" s="23" t="inlineStr">
        <is>
          <t>Screen</t>
        </is>
      </c>
    </row>
    <row r="34">
      <c r="A34" s="21" t="inlineStr">
        <is>
          <t>TG-AD-002</t>
        </is>
      </c>
      <c r="B34" s="21" t="inlineStr">
        <is>
          <t>Admin — Application Detail</t>
        </is>
      </c>
      <c r="C34" s="21" t="inlineStr">
        <is>
          <t>Components &amp; States</t>
        </is>
      </c>
      <c r="D34" s="21" t="inlineStr">
        <is>
          <t>Nit</t>
        </is>
      </c>
      <c r="E34" s="21" t="inlineStr">
        <is>
          <t>Figma: The design detail has 2 tabs: Applicant Details, Documents.  →  Live: The build has 4 tabs — it adds Revised Certificate and ID Card.</t>
        </is>
      </c>
      <c r="F34" s="21" t="inlineStr">
        <is>
          <t>Build-extra — confirm if intended.</t>
        </is>
      </c>
      <c r="G34" s="22" t="inlineStr">
        <is>
          <t>https://www.figma.com/design/gH2vQ62cfg4677YKWuOpLc/MoSJE-Portal--Handoff-?node-id=2494-38975</t>
        </is>
      </c>
      <c r="H34" s="22" t="inlineStr">
        <is>
          <t>https://tg-admin-dev.mosje.in/applications</t>
        </is>
      </c>
      <c r="I34" s="21" t="inlineStr">
        <is>
          <t>Open</t>
        </is>
      </c>
      <c r="J34" s="21" t="inlineStr"/>
      <c r="K34" s="21" t="inlineStr"/>
      <c r="L34" s="21" t="inlineStr">
        <is>
          <t>env: dev</t>
        </is>
      </c>
      <c r="M34" s="21" t="inlineStr">
        <is>
          <t>Screen</t>
        </is>
      </c>
    </row>
  </sheetData>
  <autoFilter ref="A1:M34"/>
  <dataValidations count="4">
    <dataValidation sqref="D2:D400" showDropDown="0" showInputMessage="0" showErrorMessage="0" allowBlank="0" type="list">
      <formula1>"Blocker,Major,Minor,Nit"</formula1>
    </dataValidation>
    <dataValidation sqref="C2:C400" showDropDown="0" showInputMessage="0" showErrorMessage="0" allowBlank="0" type="list">
      <formula1>"Layout &amp; Spacing,Color &amp; Token,Typography,Components &amp; States,Content &amp; Iconography,Responsive &amp; A11y"</formula1>
    </dataValidation>
    <dataValidation sqref="I2:I400" showDropDown="0" showInputMessage="0" showErrorMessage="0" allowBlank="0" type="list">
      <formula1>"Open,In Progress,Fixed,Won't Fix,Verified"</formula1>
    </dataValidation>
    <dataValidation sqref="M2:M400" showDropDown="0" showInputMessage="0" showErrorMessage="0" allowBlank="0" type="list">
      <formula1>"Global,Screen"</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46" customWidth="1" min="3" max="3"/>
    <col width="12" customWidth="1" min="4" max="4"/>
    <col width="10" customWidth="1" min="5" max="5"/>
    <col width="20" customWidth="1" min="6" max="6"/>
    <col width="11" customWidth="1" min="7" max="7"/>
    <col width="34" customWidth="1" min="8" max="8"/>
  </cols>
  <sheetData>
    <row r="1">
      <c r="A1" s="20" t="inlineStr">
        <is>
          <t>Screen</t>
        </is>
      </c>
      <c r="B1" s="20" t="inlineStr">
        <is>
          <t>Section</t>
        </is>
      </c>
      <c r="C1" s="20" t="inlineStr">
        <is>
          <t>Figma URL</t>
        </is>
      </c>
      <c r="D1" s="20" t="inlineStr">
        <is>
          <t>Has Design?</t>
        </is>
      </c>
      <c r="E1" s="20" t="inlineStr">
        <is>
          <t>Built?</t>
        </is>
      </c>
      <c r="F1" s="20" t="inlineStr">
        <is>
          <t>QC Status</t>
        </is>
      </c>
      <c r="G1" s="20" t="inlineStr">
        <is>
          <t># Findings</t>
        </is>
      </c>
      <c r="H1" s="20" t="inlineStr">
        <is>
          <t>Notes</t>
        </is>
      </c>
    </row>
    <row r="2">
      <c r="A2" s="21" t="inlineStr">
        <is>
          <t>Citizen — Sign In</t>
        </is>
      </c>
      <c r="B2" s="21" t="inlineStr">
        <is>
          <t>Citizen</t>
        </is>
      </c>
      <c r="C2" s="21" t="inlineStr">
        <is>
          <t>https://www.figma.com/design/gH2vQ62cfg4677YKWuOpLc/MoSJE-Portal--Handoff-?node-id=9379-115794</t>
        </is>
      </c>
      <c r="D2" s="21" t="inlineStr">
        <is>
          <t>Yes</t>
        </is>
      </c>
      <c r="E2" s="21" t="inlineStr">
        <is>
          <t>Yes</t>
        </is>
      </c>
      <c r="F2" s="21" t="inlineStr">
        <is>
          <t>Reviewed</t>
        </is>
      </c>
      <c r="G2" s="21">
        <f>COUNTIF('TG'!$B:$B,"Citizen — Sign In")</f>
        <v/>
      </c>
      <c r="H2" s="21" t="inlineStr"/>
    </row>
    <row r="3">
      <c r="A3" s="23" t="inlineStr">
        <is>
          <t>Admin — Log In</t>
        </is>
      </c>
      <c r="B3" s="23" t="inlineStr">
        <is>
          <t>Admin</t>
        </is>
      </c>
      <c r="C3" s="23" t="inlineStr">
        <is>
          <t>https://www.figma.com/design/gH2vQ62cfg4677YKWuOpLc/MoSJE-Portal--Handoff-?node-id=9387-138143</t>
        </is>
      </c>
      <c r="D3" s="23" t="inlineStr">
        <is>
          <t>Yes</t>
        </is>
      </c>
      <c r="E3" s="23" t="inlineStr">
        <is>
          <t>Yes</t>
        </is>
      </c>
      <c r="F3" s="23" t="inlineStr">
        <is>
          <t>Reviewed</t>
        </is>
      </c>
      <c r="G3" s="23">
        <f>COUNTIF('TG'!$B:$B,"Admin — Log In")</f>
        <v/>
      </c>
      <c r="H3" s="23" t="inlineStr"/>
    </row>
    <row r="4">
      <c r="A4" s="21" t="inlineStr">
        <is>
          <t>Citizen — Apply · Pre-application</t>
        </is>
      </c>
      <c r="B4" s="21" t="inlineStr">
        <is>
          <t>Citizen</t>
        </is>
      </c>
      <c r="C4" s="21" t="inlineStr">
        <is>
          <t>https://www.figma.com/design/gH2vQ62cfg4677YKWuOpLc/MoSJE-Portal--Handoff-?node-id=3531-36958</t>
        </is>
      </c>
      <c r="D4" s="21" t="inlineStr">
        <is>
          <t>Yes</t>
        </is>
      </c>
      <c r="E4" s="21" t="inlineStr">
        <is>
          <t>Yes</t>
        </is>
      </c>
      <c r="F4" s="21" t="inlineStr">
        <is>
          <t>Coverage — pending pins</t>
        </is>
      </c>
      <c r="G4" s="21">
        <f>COUNTIF('TG'!$B:$B,"Citizen — Apply · Pre-application")</f>
        <v/>
      </c>
      <c r="H4" s="21" t="inlineStr">
        <is>
          <t>Portal-wide Global findings apply to this screen (masthead co-branding, KPI cards, tables, pagination — see the Global section). Design │ build shown for review; open the Figma frame ↗ for the intended design.</t>
        </is>
      </c>
    </row>
    <row r="5">
      <c r="A5" s="23" t="inlineStr">
        <is>
          <t>Citizen — Apply · Step 1 · Basic Identity Details</t>
        </is>
      </c>
      <c r="B5" s="23" t="inlineStr">
        <is>
          <t>Citizen</t>
        </is>
      </c>
      <c r="C5" s="23" t="inlineStr">
        <is>
          <t>https://www.figma.com/design/gH2vQ62cfg4677YKWuOpLc/MoSJE-Portal--Handoff-?node-id=3531-35553</t>
        </is>
      </c>
      <c r="D5" s="23" t="inlineStr">
        <is>
          <t>Yes</t>
        </is>
      </c>
      <c r="E5" s="23" t="inlineStr">
        <is>
          <t>Yes</t>
        </is>
      </c>
      <c r="F5" s="23" t="inlineStr">
        <is>
          <t>Reviewed</t>
        </is>
      </c>
      <c r="G5" s="23">
        <f>COUNTIF('TG'!$B:$B,"Citizen — Apply · Step 1 · Basic Identity Details")</f>
        <v/>
      </c>
      <c r="H5" s="23" t="inlineStr"/>
    </row>
    <row r="6">
      <c r="A6" s="21" t="inlineStr">
        <is>
          <t>Citizen — Apply · Step 2 · Documents</t>
        </is>
      </c>
      <c r="B6" s="21" t="inlineStr">
        <is>
          <t>Citizen</t>
        </is>
      </c>
      <c r="C6" s="21" t="inlineStr">
        <is>
          <t>https://www.figma.com/design/gH2vQ62cfg4677YKWuOpLc/MoSJE-Portal--Handoff-?node-id=3531-35457</t>
        </is>
      </c>
      <c r="D6" s="21" t="inlineStr">
        <is>
          <t>Yes</t>
        </is>
      </c>
      <c r="E6" s="21" t="inlineStr">
        <is>
          <t>Yes</t>
        </is>
      </c>
      <c r="F6" s="21" t="inlineStr">
        <is>
          <t>Coverage — pending pins</t>
        </is>
      </c>
      <c r="G6" s="21">
        <f>COUNTIF('TG'!$B:$B,"Citizen — Apply · Step 2 · Documents")</f>
        <v/>
      </c>
      <c r="H6" s="21" t="inlineStr">
        <is>
          <t>Portal-wide Global findings apply to this screen (masthead co-branding, KPI cards, tables, pagination — see the Global section). Design │ build shown for review; open the Figma frame ↗ for the intended design.</t>
        </is>
      </c>
    </row>
    <row r="7">
      <c r="A7" s="23" t="inlineStr">
        <is>
          <t>Citizen — Apply · Step 3 · Review</t>
        </is>
      </c>
      <c r="B7" s="23" t="inlineStr">
        <is>
          <t>Citizen</t>
        </is>
      </c>
      <c r="C7" s="23" t="inlineStr">
        <is>
          <t>https://www.figma.com/design/gH2vQ62cfg4677YKWuOpLc/MoSJE-Portal--Handoff-?node-id=3531-35334</t>
        </is>
      </c>
      <c r="D7" s="23" t="inlineStr">
        <is>
          <t>Yes</t>
        </is>
      </c>
      <c r="E7" s="23" t="inlineStr">
        <is>
          <t>Yes</t>
        </is>
      </c>
      <c r="F7" s="23" t="inlineStr">
        <is>
          <t>Coverage — pending pins</t>
        </is>
      </c>
      <c r="G7" s="23">
        <f>COUNTIF('TG'!$B:$B,"Citizen — Apply · Step 3 · Review")</f>
        <v/>
      </c>
      <c r="H7" s="23" t="inlineStr">
        <is>
          <t>Portal-wide Global findings apply to this screen (masthead co-branding, KPI cards, tables, pagination — see the Global section). Design │ build shown for review; open the Figma frame ↗ for the intended design.</t>
        </is>
      </c>
    </row>
    <row r="8">
      <c r="A8" s="21" t="inlineStr">
        <is>
          <t>Citizen — Apply · Confirmation</t>
        </is>
      </c>
      <c r="B8" s="21" t="inlineStr">
        <is>
          <t>Citizen</t>
        </is>
      </c>
      <c r="C8" s="21" t="inlineStr">
        <is>
          <t>https://www.figma.com/design/gH2vQ62cfg4677YKWuOpLc/MoSJE-Portal--Handoff-?node-id=3531-35271</t>
        </is>
      </c>
      <c r="D8" s="21" t="inlineStr">
        <is>
          <t>Yes</t>
        </is>
      </c>
      <c r="E8" s="21" t="inlineStr">
        <is>
          <t>Yes</t>
        </is>
      </c>
      <c r="F8" s="21" t="inlineStr">
        <is>
          <t>Coverage — pending pins</t>
        </is>
      </c>
      <c r="G8" s="21">
        <f>COUNTIF('TG'!$B:$B,"Citizen — Apply · Confirmation")</f>
        <v/>
      </c>
      <c r="H8" s="21" t="inlineStr">
        <is>
          <t>Portal-wide Global findings apply to this screen (masthead co-branding, KPI cards, tables, pagination — see the Global section). Design │ build shown for review; open the Figma frame ↗ for the intended design.</t>
        </is>
      </c>
    </row>
    <row r="9">
      <c r="A9" s="23" t="inlineStr">
        <is>
          <t>Citizen — Dashboard · Certificate Active</t>
        </is>
      </c>
      <c r="B9" s="23" t="inlineStr">
        <is>
          <t>Citizen</t>
        </is>
      </c>
      <c r="C9" s="23" t="inlineStr">
        <is>
          <t>https://www.figma.com/design/gH2vQ62cfg4677YKWuOpLc/MoSJE-Portal--Handoff-?node-id=3531-36919</t>
        </is>
      </c>
      <c r="D9" s="23" t="inlineStr">
        <is>
          <t>Yes</t>
        </is>
      </c>
      <c r="E9" s="23" t="inlineStr">
        <is>
          <t>Yes</t>
        </is>
      </c>
      <c r="F9" s="23" t="inlineStr">
        <is>
          <t>Reviewed</t>
        </is>
      </c>
      <c r="G9" s="23">
        <f>COUNTIF('TG'!$B:$B,"Citizen — Dashboard · Certificate Active")</f>
        <v/>
      </c>
      <c r="H9" s="23" t="inlineStr"/>
    </row>
    <row r="10">
      <c r="A10" s="21" t="inlineStr">
        <is>
          <t>Citizen — Certificate &amp; Identity Card</t>
        </is>
      </c>
      <c r="B10" s="21" t="inlineStr">
        <is>
          <t>Citizen</t>
        </is>
      </c>
      <c r="C10" s="21" t="inlineStr">
        <is>
          <t>https://www.figma.com/design/gH2vQ62cfg4677YKWuOpLc/MoSJE-Portal--Handoff-?node-id=3531-36666</t>
        </is>
      </c>
      <c r="D10" s="21" t="inlineStr">
        <is>
          <t>Yes</t>
        </is>
      </c>
      <c r="E10" s="21" t="inlineStr">
        <is>
          <t>Yes</t>
        </is>
      </c>
      <c r="F10" s="21" t="inlineStr">
        <is>
          <t>Reviewed</t>
        </is>
      </c>
      <c r="G10" s="21">
        <f>COUNTIF('TG'!$B:$B,"Citizen — Certificate &amp; Identity Card")</f>
        <v/>
      </c>
      <c r="H10" s="21" t="inlineStr"/>
    </row>
    <row r="11">
      <c r="A11" s="23" t="inlineStr">
        <is>
          <t>Citizen — Certificate · ID Card</t>
        </is>
      </c>
      <c r="B11" s="23" t="inlineStr">
        <is>
          <t>Citizen</t>
        </is>
      </c>
      <c r="C11" s="23" t="inlineStr">
        <is>
          <t>https://www.figma.com/design/gH2vQ62cfg4677YKWuOpLc/MoSJE-Portal--Handoff-?node-id=3531-36841</t>
        </is>
      </c>
      <c r="D11" s="23" t="inlineStr">
        <is>
          <t>Yes</t>
        </is>
      </c>
      <c r="E11" s="23" t="inlineStr">
        <is>
          <t>Yes</t>
        </is>
      </c>
      <c r="F11" s="23" t="inlineStr">
        <is>
          <t>Coverage — pending pins</t>
        </is>
      </c>
      <c r="G11" s="23">
        <f>COUNTIF('TG'!$B:$B,"Citizen — Certificate · ID Card")</f>
        <v/>
      </c>
      <c r="H11" s="23" t="inlineStr">
        <is>
          <t>Portal-wide Global findings apply to this screen (masthead co-branding, KPI cards, tables, pagination — see the Global section). Design │ build shown for review; open the Figma frame ↗ for the intended design.</t>
        </is>
      </c>
    </row>
    <row r="12">
      <c r="A12" s="21" t="inlineStr">
        <is>
          <t>Citizen — Track Status</t>
        </is>
      </c>
      <c r="B12" s="21" t="inlineStr">
        <is>
          <t>Citizen</t>
        </is>
      </c>
      <c r="C12" s="21" t="inlineStr">
        <is>
          <t>https://www.figma.com/design/gH2vQ62cfg4677YKWuOpLc/MoSJE-Portal--Handoff-?node-id=3531-36747</t>
        </is>
      </c>
      <c r="D12" s="21" t="inlineStr">
        <is>
          <t>Yes</t>
        </is>
      </c>
      <c r="E12" s="21" t="inlineStr">
        <is>
          <t>Yes</t>
        </is>
      </c>
      <c r="F12" s="21" t="inlineStr">
        <is>
          <t>Reviewed</t>
        </is>
      </c>
      <c r="G12" s="21">
        <f>COUNTIF('TG'!$B:$B,"Citizen — Track Status")</f>
        <v/>
      </c>
      <c r="H12" s="21" t="inlineStr"/>
    </row>
    <row r="13">
      <c r="A13" s="23" t="inlineStr">
        <is>
          <t>Citizen — Grievances</t>
        </is>
      </c>
      <c r="B13" s="23" t="inlineStr">
        <is>
          <t>Citizen</t>
        </is>
      </c>
      <c r="C13" s="23" t="inlineStr"/>
      <c r="D13" s="23" t="inlineStr">
        <is>
          <t>No</t>
        </is>
      </c>
      <c r="E13" s="23" t="inlineStr">
        <is>
          <t>Yes</t>
        </is>
      </c>
      <c r="F13" s="23" t="inlineStr">
        <is>
          <t>Build-only</t>
        </is>
      </c>
      <c r="G13" s="23">
        <f>COUNTIF('TG'!$B:$B,"Citizen — Grievances")</f>
        <v/>
      </c>
      <c r="H13" s="23" t="inlineStr">
        <is>
          <t>No design frame in the audited section — audited against the design-system visual language; the portal-wide Global findings apply.</t>
        </is>
      </c>
    </row>
    <row r="14">
      <c r="A14" s="21" t="inlineStr">
        <is>
          <t>Examining Officer (Maker) — Dashboard</t>
        </is>
      </c>
      <c r="B14" s="21" t="inlineStr">
        <is>
          <t>Examining Officer (Maker)</t>
        </is>
      </c>
      <c r="C14" s="21" t="inlineStr">
        <is>
          <t>https://www.figma.com/design/gH2vQ62cfg4677YKWuOpLc/MoSJE-Portal--Handoff-?node-id=2494-41744</t>
        </is>
      </c>
      <c r="D14" s="21" t="inlineStr">
        <is>
          <t>Yes</t>
        </is>
      </c>
      <c r="E14" s="21" t="inlineStr">
        <is>
          <t>Yes</t>
        </is>
      </c>
      <c r="F14" s="21" t="inlineStr">
        <is>
          <t>Reviewed</t>
        </is>
      </c>
      <c r="G14" s="21">
        <f>COUNTIF('TG'!$B:$B,"Examining Officer (Maker) — Dashboard")</f>
        <v/>
      </c>
      <c r="H14" s="21" t="inlineStr"/>
    </row>
    <row r="15">
      <c r="A15" s="23" t="inlineStr">
        <is>
          <t>Examining Officer (Maker) — Application Detail</t>
        </is>
      </c>
      <c r="B15" s="23" t="inlineStr">
        <is>
          <t>Examining Officer (Maker)</t>
        </is>
      </c>
      <c r="C15" s="23" t="inlineStr">
        <is>
          <t>https://www.figma.com/design/gH2vQ62cfg4677YKWuOpLc/MoSJE-Portal--Handoff-?node-id=2494-38975</t>
        </is>
      </c>
      <c r="D15" s="23" t="inlineStr">
        <is>
          <t>Yes</t>
        </is>
      </c>
      <c r="E15" s="23" t="inlineStr">
        <is>
          <t>Yes</t>
        </is>
      </c>
      <c r="F15" s="23" t="inlineStr">
        <is>
          <t>Coverage — pending pins</t>
        </is>
      </c>
      <c r="G15" s="23">
        <f>COUNTIF('TG'!$B:$B,"Examining Officer (Maker) — Application Detail")</f>
        <v/>
      </c>
      <c r="H15" s="23" t="inlineStr">
        <is>
          <t>Portal-wide Global findings apply to this screen (masthead co-branding, KPI cards, tables, pagination — see the Global section). Design │ build shown for review; open the Figma frame ↗ for the intended design.</t>
        </is>
      </c>
    </row>
    <row r="16">
      <c r="A16" s="21" t="inlineStr">
        <is>
          <t>Examining Officer (Maker) — Application Documents</t>
        </is>
      </c>
      <c r="B16" s="21" t="inlineStr">
        <is>
          <t>Examining Officer (Maker)</t>
        </is>
      </c>
      <c r="C16" s="21" t="inlineStr">
        <is>
          <t>https://www.figma.com/design/gH2vQ62cfg4677YKWuOpLc/MoSJE-Portal--Handoff-?node-id=2494-39123</t>
        </is>
      </c>
      <c r="D16" s="21" t="inlineStr">
        <is>
          <t>Yes</t>
        </is>
      </c>
      <c r="E16" s="21" t="inlineStr">
        <is>
          <t>Yes</t>
        </is>
      </c>
      <c r="F16" s="21" t="inlineStr">
        <is>
          <t>Coverage — pending pins</t>
        </is>
      </c>
      <c r="G16" s="21">
        <f>COUNTIF('TG'!$B:$B,"Examining Officer (Maker) — Application Documents")</f>
        <v/>
      </c>
      <c r="H16" s="21" t="inlineStr">
        <is>
          <t>Portal-wide Global findings apply to this screen (masthead co-branding, KPI cards, tables, pagination — see the Global section). Design │ build shown for review; open the Figma frame ↗ for the intended design.</t>
        </is>
      </c>
    </row>
    <row r="17">
      <c r="A17" s="23" t="inlineStr">
        <is>
          <t>District Magistrate — Dashboard</t>
        </is>
      </c>
      <c r="B17" s="23" t="inlineStr">
        <is>
          <t>District Magistrate</t>
        </is>
      </c>
      <c r="C17" s="23" t="inlineStr">
        <is>
          <t>https://www.figma.com/design/gH2vQ62cfg4677YKWuOpLc/MoSJE-Portal--Handoff-?node-id=2494-42053</t>
        </is>
      </c>
      <c r="D17" s="23" t="inlineStr">
        <is>
          <t>Yes</t>
        </is>
      </c>
      <c r="E17" s="23" t="inlineStr">
        <is>
          <t>Yes</t>
        </is>
      </c>
      <c r="F17" s="23" t="inlineStr">
        <is>
          <t>Reviewed</t>
        </is>
      </c>
      <c r="G17" s="23">
        <f>COUNTIF('TG'!$B:$B,"District Magistrate — Dashboard")</f>
        <v/>
      </c>
      <c r="H17" s="23" t="inlineStr"/>
    </row>
    <row r="18">
      <c r="A18" s="21" t="inlineStr">
        <is>
          <t>District Magistrate — Application Detail · Actionable</t>
        </is>
      </c>
      <c r="B18" s="21" t="inlineStr">
        <is>
          <t>District Magistrate</t>
        </is>
      </c>
      <c r="C18" s="21" t="inlineStr">
        <is>
          <t>https://www.figma.com/design/gH2vQ62cfg4677YKWuOpLc/MoSJE-Portal--Handoff-?node-id=2494-38975</t>
        </is>
      </c>
      <c r="D18" s="21" t="inlineStr">
        <is>
          <t>Yes</t>
        </is>
      </c>
      <c r="E18" s="21" t="inlineStr">
        <is>
          <t>Yes</t>
        </is>
      </c>
      <c r="F18" s="21" t="inlineStr">
        <is>
          <t>Coverage — pending pins</t>
        </is>
      </c>
      <c r="G18" s="21">
        <f>COUNTIF('TG'!$B:$B,"District Magistrate — Application Detail · Actionable")</f>
        <v/>
      </c>
      <c r="H18" s="21" t="inlineStr">
        <is>
          <t>Portal-wide Global findings apply to this screen (masthead co-branding, KPI cards, tables, pagination — see the Global section). Design │ build shown for review; open the Figma frame ↗ for the intended design.</t>
        </is>
      </c>
    </row>
    <row r="19">
      <c r="A19" s="23" t="inlineStr">
        <is>
          <t>District Magistrate — Application Documents</t>
        </is>
      </c>
      <c r="B19" s="23" t="inlineStr">
        <is>
          <t>District Magistrate</t>
        </is>
      </c>
      <c r="C19" s="23" t="inlineStr">
        <is>
          <t>https://www.figma.com/design/gH2vQ62cfg4677YKWuOpLc/MoSJE-Portal--Handoff-?node-id=2494-39123</t>
        </is>
      </c>
      <c r="D19" s="23" t="inlineStr">
        <is>
          <t>Yes</t>
        </is>
      </c>
      <c r="E19" s="23" t="inlineStr">
        <is>
          <t>Yes</t>
        </is>
      </c>
      <c r="F19" s="23" t="inlineStr">
        <is>
          <t>Coverage — pending pins</t>
        </is>
      </c>
      <c r="G19" s="23">
        <f>COUNTIF('TG'!$B:$B,"District Magistrate — Application Documents")</f>
        <v/>
      </c>
      <c r="H19" s="23" t="inlineStr">
        <is>
          <t>Portal-wide Global findings apply to this screen (masthead co-branding, KPI cards, tables, pagination — see the Global section). Design │ build shown for review; open the Figma frame ↗ for the intended design.</t>
        </is>
      </c>
    </row>
    <row r="20">
      <c r="A20" s="21" t="inlineStr">
        <is>
          <t>District Magistrate — Request-Correction modal</t>
        </is>
      </c>
      <c r="B20" s="21" t="inlineStr">
        <is>
          <t>District Magistrate</t>
        </is>
      </c>
      <c r="C20" s="21" t="inlineStr">
        <is>
          <t>https://www.figma.com/design/gH2vQ62cfg4677YKWuOpLc/MoSJE-Portal--Handoff-?node-id=2494-39801</t>
        </is>
      </c>
      <c r="D20" s="21" t="inlineStr">
        <is>
          <t>Yes</t>
        </is>
      </c>
      <c r="E20" s="21" t="inlineStr">
        <is>
          <t>Yes</t>
        </is>
      </c>
      <c r="F20" s="21" t="inlineStr">
        <is>
          <t>Coverage — pending pins</t>
        </is>
      </c>
      <c r="G20" s="21">
        <f>COUNTIF('TG'!$B:$B,"District Magistrate — Request-Correction modal")</f>
        <v/>
      </c>
      <c r="H20" s="21" t="inlineStr">
        <is>
          <t>Portal-wide Global findings apply to this screen (masthead co-branding, KPI cards, tables, pagination — see the Global section). Design │ build shown for review; open the Figma frame ↗ for the intended design.</t>
        </is>
      </c>
    </row>
    <row r="21">
      <c r="A21" s="23" t="inlineStr">
        <is>
          <t>District Magistrate — Approve modal</t>
        </is>
      </c>
      <c r="B21" s="23" t="inlineStr">
        <is>
          <t>District Magistrate</t>
        </is>
      </c>
      <c r="C21" s="23" t="inlineStr">
        <is>
          <t>https://www.figma.com/design/gH2vQ62cfg4677YKWuOpLc/MoSJE-Portal--Handoff-?node-id=2494-39988</t>
        </is>
      </c>
      <c r="D21" s="23" t="inlineStr">
        <is>
          <t>Yes</t>
        </is>
      </c>
      <c r="E21" s="23" t="inlineStr">
        <is>
          <t>Yes</t>
        </is>
      </c>
      <c r="F21" s="23" t="inlineStr">
        <is>
          <t>Reviewed</t>
        </is>
      </c>
      <c r="G21" s="23">
        <f>COUNTIF('TG'!$B:$B,"District Magistrate — Approve modal")</f>
        <v/>
      </c>
      <c r="H21" s="23" t="inlineStr"/>
    </row>
    <row r="22">
      <c r="A22" s="21" t="inlineStr">
        <is>
          <t>Central Admin — Dashboard</t>
        </is>
      </c>
      <c r="B22" s="21" t="inlineStr">
        <is>
          <t>Central Admin</t>
        </is>
      </c>
      <c r="C22" s="21" t="inlineStr">
        <is>
          <t>https://www.figma.com/design/gH2vQ62cfg4677YKWuOpLc/MoSJE-Portal--Handoff-?node-id=2494-38830</t>
        </is>
      </c>
      <c r="D22" s="21" t="inlineStr">
        <is>
          <t>Yes</t>
        </is>
      </c>
      <c r="E22" s="21" t="inlineStr">
        <is>
          <t>Yes</t>
        </is>
      </c>
      <c r="F22" s="21" t="inlineStr">
        <is>
          <t>Reviewed</t>
        </is>
      </c>
      <c r="G22" s="21">
        <f>COUNTIF('TG'!$B:$B,"Central Admin — Dashboard")</f>
        <v/>
      </c>
      <c r="H22" s="21" t="inlineStr"/>
    </row>
    <row r="23">
      <c r="A23" s="23" t="inlineStr">
        <is>
          <t>Admin — Application Detail</t>
        </is>
      </c>
      <c r="B23" s="23" t="inlineStr">
        <is>
          <t>Admin</t>
        </is>
      </c>
      <c r="C23" s="23" t="inlineStr">
        <is>
          <t>https://www.figma.com/design/gH2vQ62cfg4677YKWuOpLc/MoSJE-Portal--Handoff-?node-id=2494-38975</t>
        </is>
      </c>
      <c r="D23" s="23" t="inlineStr">
        <is>
          <t>Yes</t>
        </is>
      </c>
      <c r="E23" s="23" t="inlineStr">
        <is>
          <t>Yes</t>
        </is>
      </c>
      <c r="F23" s="23" t="inlineStr">
        <is>
          <t>Reviewed</t>
        </is>
      </c>
      <c r="G23" s="23">
        <f>COUNTIF('TG'!$B:$B,"Admin — Application Detail")</f>
        <v/>
      </c>
      <c r="H23" s="23" t="inlineStr"/>
    </row>
    <row r="24">
      <c r="A24" s="21" t="inlineStr">
        <is>
          <t>Central Admin — Application Documents</t>
        </is>
      </c>
      <c r="B24" s="21" t="inlineStr">
        <is>
          <t>Central Admin</t>
        </is>
      </c>
      <c r="C24" s="21" t="inlineStr">
        <is>
          <t>https://www.figma.com/design/gH2vQ62cfg4677YKWuOpLc/MoSJE-Portal--Handoff-?node-id=2494-39123</t>
        </is>
      </c>
      <c r="D24" s="21" t="inlineStr">
        <is>
          <t>Yes</t>
        </is>
      </c>
      <c r="E24" s="21" t="inlineStr">
        <is>
          <t>Yes</t>
        </is>
      </c>
      <c r="F24" s="21" t="inlineStr">
        <is>
          <t>Coverage — pending pins</t>
        </is>
      </c>
      <c r="G24" s="21">
        <f>COUNTIF('TG'!$B:$B,"Central Admin — Application Documents")</f>
        <v/>
      </c>
      <c r="H24" s="21" t="inlineStr">
        <is>
          <t>Portal-wide Global findings apply to this screen (masthead co-branding, KPI cards, tables, pagination — see the Global section). Design │ build shown for review; open the Figma frame ↗ for the intended design.</t>
        </is>
      </c>
    </row>
    <row r="25">
      <c r="A25" s="23" t="inlineStr">
        <is>
          <t>District Magistrate — Reject modal (build-extra)</t>
        </is>
      </c>
      <c r="B25" s="23" t="inlineStr">
        <is>
          <t>District Magistrate</t>
        </is>
      </c>
      <c r="C25" s="23" t="inlineStr"/>
      <c r="D25" s="23" t="inlineStr">
        <is>
          <t>No</t>
        </is>
      </c>
      <c r="E25" s="23" t="inlineStr">
        <is>
          <t>Yes</t>
        </is>
      </c>
      <c r="F25" s="23" t="inlineStr">
        <is>
          <t>Build-only</t>
        </is>
      </c>
      <c r="G25" s="23">
        <f>COUNTIF('TG'!$B:$B,"District Magistrate — Reject modal (build-extra)")</f>
        <v/>
      </c>
      <c r="H25" s="23" t="inlineStr">
        <is>
          <t>No design frame in the audited section — audited against the design-system visual language; the portal-wide Global findings apply.</t>
        </is>
      </c>
    </row>
    <row r="26">
      <c r="A26" s="21" t="inlineStr">
        <is>
          <t>Central Admin — User Management</t>
        </is>
      </c>
      <c r="B26" s="21" t="inlineStr">
        <is>
          <t>Central Admin</t>
        </is>
      </c>
      <c r="C26" s="21" t="inlineStr"/>
      <c r="D26" s="21" t="inlineStr">
        <is>
          <t>No</t>
        </is>
      </c>
      <c r="E26" s="21" t="inlineStr">
        <is>
          <t>Yes</t>
        </is>
      </c>
      <c r="F26" s="21" t="inlineStr">
        <is>
          <t>Build-only</t>
        </is>
      </c>
      <c r="G26" s="21">
        <f>COUNTIF('TG'!$B:$B,"Central Admin — User Management")</f>
        <v/>
      </c>
      <c r="H26" s="21" t="inlineStr">
        <is>
          <t>No design frame in the audited section — audited against the design-system visual language; the portal-wide Global findings apply.</t>
        </is>
      </c>
    </row>
    <row r="27">
      <c r="A27" s="23" t="inlineStr">
        <is>
          <t>Central Admin — Role Management</t>
        </is>
      </c>
      <c r="B27" s="23" t="inlineStr">
        <is>
          <t>Central Admin</t>
        </is>
      </c>
      <c r="C27" s="23" t="inlineStr"/>
      <c r="D27" s="23" t="inlineStr">
        <is>
          <t>No</t>
        </is>
      </c>
      <c r="E27" s="23" t="inlineStr">
        <is>
          <t>Yes</t>
        </is>
      </c>
      <c r="F27" s="23" t="inlineStr">
        <is>
          <t>Build-only</t>
        </is>
      </c>
      <c r="G27" s="23">
        <f>COUNTIF('TG'!$B:$B,"Central Admin — Role Management")</f>
        <v/>
      </c>
      <c r="H27" s="23" t="inlineStr">
        <is>
          <t>No design frame in the audited section — audited against the design-system visual language; the portal-wide Global findings apply.</t>
        </is>
      </c>
    </row>
    <row r="28">
      <c r="A28" s="21" t="inlineStr">
        <is>
          <t>Central Admin — Tenants</t>
        </is>
      </c>
      <c r="B28" s="21" t="inlineStr">
        <is>
          <t>Central Admin</t>
        </is>
      </c>
      <c r="C28" s="21" t="inlineStr"/>
      <c r="D28" s="21" t="inlineStr">
        <is>
          <t>No</t>
        </is>
      </c>
      <c r="E28" s="21" t="inlineStr">
        <is>
          <t>Yes</t>
        </is>
      </c>
      <c r="F28" s="21" t="inlineStr">
        <is>
          <t>Build-only</t>
        </is>
      </c>
      <c r="G28" s="21">
        <f>COUNTIF('TG'!$B:$B,"Central Admin — Tenants")</f>
        <v/>
      </c>
      <c r="H28" s="21" t="inlineStr">
        <is>
          <t>No design frame in the audited section — audited against the design-system visual language; the portal-wide Global findings apply.</t>
        </is>
      </c>
    </row>
    <row r="29">
      <c r="A29" s="23" t="inlineStr">
        <is>
          <t>Central Admin — Password Policy</t>
        </is>
      </c>
      <c r="B29" s="23" t="inlineStr">
        <is>
          <t>Central Admin</t>
        </is>
      </c>
      <c r="C29" s="23" t="inlineStr"/>
      <c r="D29" s="23" t="inlineStr">
        <is>
          <t>No</t>
        </is>
      </c>
      <c r="E29" s="23" t="inlineStr">
        <is>
          <t>Yes</t>
        </is>
      </c>
      <c r="F29" s="23" t="inlineStr">
        <is>
          <t>Build-only</t>
        </is>
      </c>
      <c r="G29" s="23">
        <f>COUNTIF('TG'!$B:$B,"Central Admin — Password Policy")</f>
        <v/>
      </c>
      <c r="H29" s="23" t="inlineStr">
        <is>
          <t>No design frame in the audited section — audited against the design-system visual language; the portal-wide Global findings apply.</t>
        </is>
      </c>
    </row>
    <row r="30">
      <c r="A30" s="21" t="inlineStr">
        <is>
          <t>All roles — Portal Picker (Change)</t>
        </is>
      </c>
      <c r="B30" s="21" t="inlineStr">
        <is>
          <t>All roles</t>
        </is>
      </c>
      <c r="C30" s="21" t="inlineStr">
        <is>
          <t>https://www.figma.com/design/gH2vQ62cfg4677YKWuOpLc/MoSJE-Portal--Handoff-?node-id=8103-39372</t>
        </is>
      </c>
      <c r="D30" s="21" t="inlineStr">
        <is>
          <t>Yes</t>
        </is>
      </c>
      <c r="E30" s="21" t="inlineStr">
        <is>
          <t>Yes</t>
        </is>
      </c>
      <c r="F30" s="21" t="inlineStr">
        <is>
          <t>Coverage — pending pins</t>
        </is>
      </c>
      <c r="G30" s="21">
        <f>COUNTIF('TG'!$B:$B,"All roles — Portal Picker (Change)")</f>
        <v/>
      </c>
      <c r="H30" s="21" t="inlineStr">
        <is>
          <t>The '⇄ Change' button in the login footer opens this portal chooser. Verified faithful to the design (same 'Choose a portal to login' list + layout).</t>
        </is>
      </c>
    </row>
  </sheetData>
  <autoFilter ref="A1:H3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6"/>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46" customWidth="1" min="3" max="3"/>
    <col width="12" customWidth="1" min="4" max="4"/>
    <col width="10" customWidth="1" min="5" max="5"/>
    <col width="14" customWidth="1" min="6" max="6"/>
    <col width="11" customWidth="1" min="7" max="7"/>
    <col width="34" customWidth="1" min="8" max="8"/>
  </cols>
  <sheetData>
    <row r="1" ht="26" customHeight="1">
      <c r="A1" s="11" t="inlineStr">
        <is>
          <t>Screen</t>
        </is>
      </c>
      <c r="B1" s="11" t="inlineStr">
        <is>
          <t>Section</t>
        </is>
      </c>
      <c r="C1" s="11" t="inlineStr">
        <is>
          <t>Figma URL</t>
        </is>
      </c>
      <c r="D1" s="11" t="inlineStr">
        <is>
          <t>Has Design?</t>
        </is>
      </c>
      <c r="E1" s="11" t="inlineStr">
        <is>
          <t>Built?</t>
        </is>
      </c>
      <c r="F1" s="11" t="inlineStr">
        <is>
          <t>QC Status</t>
        </is>
      </c>
      <c r="G1" s="11" t="inlineStr">
        <is>
          <t># Findings</t>
        </is>
      </c>
      <c r="H1" s="11" t="inlineStr">
        <is>
          <t>Notes</t>
        </is>
      </c>
    </row>
    <row r="2">
      <c r="A2" s="16" t="inlineStr">
        <is>
          <t>Ministry / Dashboard</t>
        </is>
      </c>
      <c r="B2" s="16" t="inlineStr">
        <is>
          <t>Ministry</t>
        </is>
      </c>
      <c r="C2" s="16" t="inlineStr">
        <is>
          <t>https://www.figma.com/design/gH2vQ62cfg4677YKWuOpLc/MoSJE-Portal--Handoff-?node-id=4226-37114</t>
        </is>
      </c>
      <c r="D2" s="16" t="inlineStr">
        <is>
          <t>Yes</t>
        </is>
      </c>
      <c r="E2" s="16" t="inlineStr">
        <is>
          <t>Yes</t>
        </is>
      </c>
      <c r="F2" s="16" t="inlineStr">
        <is>
          <t>Done</t>
        </is>
      </c>
      <c r="G2" s="16">
        <f>COUNTIF('eUtthan Admin'!$B:$B,$A2)</f>
        <v/>
      </c>
      <c r="H2" s="16" t="n"/>
    </row>
    <row r="3">
      <c r="A3" s="16" t="inlineStr">
        <is>
          <t>Ministry / Manage Scheme</t>
        </is>
      </c>
      <c r="B3" s="16" t="inlineStr">
        <is>
          <t>Ministry</t>
        </is>
      </c>
      <c r="C3" s="16" t="inlineStr">
        <is>
          <t>https://www.figma.com/design/gH2vQ62cfg4677YKWuOpLc/MoSJE-Portal--Handoff-?node-id=4226-37360</t>
        </is>
      </c>
      <c r="D3" s="16" t="inlineStr">
        <is>
          <t>Yes</t>
        </is>
      </c>
      <c r="E3" s="16" t="inlineStr">
        <is>
          <t>Yes</t>
        </is>
      </c>
      <c r="F3" s="16" t="inlineStr">
        <is>
          <t>Done</t>
        </is>
      </c>
      <c r="G3" s="16">
        <f>COUNTIF('eUtthan Admin'!$B:$B,$A3)</f>
        <v/>
      </c>
      <c r="H3" s="16" t="n"/>
    </row>
    <row r="4">
      <c r="A4" s="16" t="inlineStr">
        <is>
          <t>Ministry / Manage Scheme (scrolled)</t>
        </is>
      </c>
      <c r="B4" s="16" t="inlineStr">
        <is>
          <t>Ministry</t>
        </is>
      </c>
      <c r="C4" s="16" t="inlineStr">
        <is>
          <t>https://www.figma.com/design/gH2vQ62cfg4677YKWuOpLc/MoSJE-Portal--Handoff-?node-id=4226-37568</t>
        </is>
      </c>
      <c r="D4" s="16" t="inlineStr">
        <is>
          <t>Yes</t>
        </is>
      </c>
      <c r="E4" s="16" t="n"/>
      <c r="F4" s="16" t="inlineStr">
        <is>
          <t>Not Started</t>
        </is>
      </c>
      <c r="G4" s="16">
        <f>COUNTIF('eUtthan Admin'!$B:$B,$A4)</f>
        <v/>
      </c>
      <c r="H4" s="16" t="n"/>
    </row>
    <row r="5">
      <c r="A5" s="16" t="inlineStr">
        <is>
          <t>Ministry / Add</t>
        </is>
      </c>
      <c r="B5" s="16" t="inlineStr">
        <is>
          <t>Ministry</t>
        </is>
      </c>
      <c r="C5" s="16" t="inlineStr">
        <is>
          <t>https://www.figma.com/design/gH2vQ62cfg4677YKWuOpLc/MoSJE-Portal--Handoff-?node-id=4226-38254</t>
        </is>
      </c>
      <c r="D5" s="16" t="inlineStr">
        <is>
          <t>Yes</t>
        </is>
      </c>
      <c r="E5" s="16" t="n"/>
      <c r="F5" s="16" t="inlineStr">
        <is>
          <t>Not Started</t>
        </is>
      </c>
      <c r="G5" s="16">
        <f>COUNTIF('eUtthan Admin'!$B:$B,$A5)</f>
        <v/>
      </c>
      <c r="H5" s="16" t="n"/>
    </row>
    <row r="6">
      <c r="A6" s="16" t="inlineStr">
        <is>
          <t>Ministry / Physical Progress Data</t>
        </is>
      </c>
      <c r="B6" s="16" t="inlineStr">
        <is>
          <t>Ministry</t>
        </is>
      </c>
      <c r="C6" s="16" t="inlineStr">
        <is>
          <t>https://www.figma.com/design/gH2vQ62cfg4677YKWuOpLc/MoSJE-Portal--Handoff-?node-id=4226-38368</t>
        </is>
      </c>
      <c r="D6" s="16" t="inlineStr">
        <is>
          <t>Yes</t>
        </is>
      </c>
      <c r="E6" s="16" t="inlineStr">
        <is>
          <t>Yes</t>
        </is>
      </c>
      <c r="F6" s="16" t="inlineStr">
        <is>
          <t>Done</t>
        </is>
      </c>
      <c r="G6" s="16">
        <f>COUNTIF('eUtthan Admin'!$B:$B,$A6)</f>
        <v/>
      </c>
      <c r="H6" s="16" t="n"/>
    </row>
    <row r="7">
      <c r="A7" s="16" t="inlineStr">
        <is>
          <t>Ministry / Manage Scheme (scrolled)</t>
        </is>
      </c>
      <c r="B7" s="16" t="inlineStr">
        <is>
          <t>Ministry</t>
        </is>
      </c>
      <c r="C7" s="16" t="inlineStr">
        <is>
          <t>https://www.figma.com/design/gH2vQ62cfg4677YKWuOpLc/MoSJE-Portal--Handoff-?node-id=4226-37796</t>
        </is>
      </c>
      <c r="D7" s="16" t="inlineStr">
        <is>
          <t>Yes</t>
        </is>
      </c>
      <c r="E7" s="16" t="n"/>
      <c r="F7" s="16" t="inlineStr">
        <is>
          <t>Not Started</t>
        </is>
      </c>
      <c r="G7" s="16">
        <f>COUNTIF('eUtthan Admin'!$B:$B,$A7)</f>
        <v/>
      </c>
      <c r="H7" s="16" t="n"/>
    </row>
    <row r="8">
      <c r="A8" s="16" t="inlineStr">
        <is>
          <t>Ministry / Manage Scheme (scrolled)</t>
        </is>
      </c>
      <c r="B8" s="16" t="inlineStr">
        <is>
          <t>Ministry</t>
        </is>
      </c>
      <c r="C8" s="16" t="inlineStr">
        <is>
          <t>https://www.figma.com/design/gH2vQ62cfg4677YKWuOpLc/MoSJE-Portal--Handoff-?node-id=4226-38041</t>
        </is>
      </c>
      <c r="D8" s="16" t="inlineStr">
        <is>
          <t>Yes</t>
        </is>
      </c>
      <c r="E8" s="16" t="n"/>
      <c r="F8" s="16" t="inlineStr">
        <is>
          <t>Not Started</t>
        </is>
      </c>
      <c r="G8" s="16">
        <f>COUNTIF('eUtthan Admin'!$B:$B,$A8)</f>
        <v/>
      </c>
      <c r="H8" s="16" t="n"/>
    </row>
    <row r="9">
      <c r="A9" s="16" t="inlineStr">
        <is>
          <t>Ministry / Physical Progress Data / Add</t>
        </is>
      </c>
      <c r="B9" s="16" t="inlineStr">
        <is>
          <t>Ministry</t>
        </is>
      </c>
      <c r="C9" s="16" t="inlineStr">
        <is>
          <t>https://www.figma.com/design/gH2vQ62cfg4677YKWuOpLc/MoSJE-Portal--Handoff-?node-id=4226-39568</t>
        </is>
      </c>
      <c r="D9" s="16" t="inlineStr">
        <is>
          <t>Yes</t>
        </is>
      </c>
      <c r="E9" s="16" t="n"/>
      <c r="F9" s="16" t="inlineStr">
        <is>
          <t>Not Started</t>
        </is>
      </c>
      <c r="G9" s="16">
        <f>COUNTIF('eUtthan Admin'!$B:$B,$A9)</f>
        <v/>
      </c>
      <c r="H9" s="16" t="n"/>
    </row>
    <row r="10">
      <c r="A10" s="16" t="inlineStr">
        <is>
          <t>Ministry / Physical Progress Data / Import Excel</t>
        </is>
      </c>
      <c r="B10" s="16" t="inlineStr">
        <is>
          <t>Ministry</t>
        </is>
      </c>
      <c r="C10" s="16" t="inlineStr">
        <is>
          <t>https://www.figma.com/design/gH2vQ62cfg4677YKWuOpLc/MoSJE-Portal--Handoff-?node-id=4226-39128</t>
        </is>
      </c>
      <c r="D10" s="16" t="inlineStr">
        <is>
          <t>Yes</t>
        </is>
      </c>
      <c r="E10" s="16" t="n"/>
      <c r="F10" s="16" t="inlineStr">
        <is>
          <t>Not Started</t>
        </is>
      </c>
      <c r="G10" s="16">
        <f>COUNTIF('eUtthan Admin'!$B:$B,$A10)</f>
        <v/>
      </c>
      <c r="H10" s="16" t="n"/>
    </row>
    <row r="11">
      <c r="A11" s="16" t="inlineStr">
        <is>
          <t>Ministry / Physical Progress Data / Import Excel (uploaded)</t>
        </is>
      </c>
      <c r="B11" s="16" t="inlineStr">
        <is>
          <t>Ministry</t>
        </is>
      </c>
      <c r="C11" s="16" t="inlineStr">
        <is>
          <t>https://www.figma.com/design/gH2vQ62cfg4677YKWuOpLc/MoSJE-Portal--Handoff-?node-id=4226-39348</t>
        </is>
      </c>
      <c r="D11" s="16" t="inlineStr">
        <is>
          <t>Yes</t>
        </is>
      </c>
      <c r="E11" s="16" t="n"/>
      <c r="F11" s="16" t="inlineStr">
        <is>
          <t>Not Started</t>
        </is>
      </c>
      <c r="G11" s="16">
        <f>COUNTIF('eUtthan Admin'!$B:$B,$A11)</f>
        <v/>
      </c>
      <c r="H11" s="16" t="n"/>
    </row>
    <row r="12">
      <c r="A12" s="16" t="inlineStr">
        <is>
          <t>Ministry / Manage Outcome</t>
        </is>
      </c>
      <c r="B12" s="16" t="inlineStr">
        <is>
          <t>Ministry</t>
        </is>
      </c>
      <c r="C12" s="16" t="inlineStr">
        <is>
          <t>https://www.figma.com/design/gH2vQ62cfg4677YKWuOpLc/MoSJE-Portal--Handoff-?node-id=4226-38577</t>
        </is>
      </c>
      <c r="D12" s="16" t="inlineStr">
        <is>
          <t>Yes</t>
        </is>
      </c>
      <c r="E12" s="16" t="inlineStr">
        <is>
          <t>Yes</t>
        </is>
      </c>
      <c r="F12" s="16" t="inlineStr">
        <is>
          <t>Done</t>
        </is>
      </c>
      <c r="G12" s="16">
        <f>COUNTIF('eUtthan Admin'!$B:$B,$A12)</f>
        <v/>
      </c>
      <c r="H12" s="16" t="n"/>
    </row>
    <row r="13">
      <c r="A13" s="16" t="inlineStr">
        <is>
          <t>Ministry / Manage Outcome</t>
        </is>
      </c>
      <c r="B13" s="16" t="inlineStr">
        <is>
          <t>Ministry</t>
        </is>
      </c>
      <c r="C13" s="16" t="inlineStr">
        <is>
          <t>https://www.figma.com/design/gH2vQ62cfg4677YKWuOpLc/MoSJE-Portal--Handoff-?node-id=4226-38785</t>
        </is>
      </c>
      <c r="D13" s="16" t="inlineStr">
        <is>
          <t>Yes</t>
        </is>
      </c>
      <c r="E13" s="16" t="inlineStr">
        <is>
          <t>Yes</t>
        </is>
      </c>
      <c r="F13" s="16" t="inlineStr">
        <is>
          <t>Done</t>
        </is>
      </c>
      <c r="G13" s="16">
        <f>COUNTIF('eUtthan Admin'!$B:$B,$A13)</f>
        <v/>
      </c>
      <c r="H13" s="16" t="n"/>
    </row>
    <row r="14">
      <c r="A14" s="16" t="inlineStr">
        <is>
          <t>Ministry / Manage Outcome / Add</t>
        </is>
      </c>
      <c r="B14" s="16" t="inlineStr">
        <is>
          <t>Ministry</t>
        </is>
      </c>
      <c r="C14" s="16" t="inlineStr">
        <is>
          <t>https://www.figma.com/design/gH2vQ62cfg4677YKWuOpLc/MoSJE-Portal--Handoff-?node-id=4226-39013</t>
        </is>
      </c>
      <c r="D14" s="16" t="inlineStr">
        <is>
          <t>Yes</t>
        </is>
      </c>
      <c r="E14" s="16" t="n"/>
      <c r="F14" s="16" t="inlineStr">
        <is>
          <t>Not Started</t>
        </is>
      </c>
      <c r="G14" s="16">
        <f>COUNTIF('eUtthan Admin'!$B:$B,$A14)</f>
        <v/>
      </c>
      <c r="H14" s="16" t="n"/>
    </row>
    <row r="15">
      <c r="A15" s="16" t="inlineStr">
        <is>
          <t>Admin / Dashboard</t>
        </is>
      </c>
      <c r="B15" s="16" t="inlineStr">
        <is>
          <t>Admin</t>
        </is>
      </c>
      <c r="C15" s="16" t="inlineStr">
        <is>
          <t>https://www.figma.com/design/gH2vQ62cfg4677YKWuOpLc/MoSJE-Portal--Handoff-?node-id=4226-39685</t>
        </is>
      </c>
      <c r="D15" s="16" t="inlineStr">
        <is>
          <t>Yes</t>
        </is>
      </c>
      <c r="E15" s="16" t="inlineStr">
        <is>
          <t>Yes</t>
        </is>
      </c>
      <c r="F15" s="16" t="inlineStr">
        <is>
          <t>Done</t>
        </is>
      </c>
      <c r="G15" s="16">
        <f>COUNTIF('eUtthan Admin'!$B:$B,$A15)</f>
        <v/>
      </c>
      <c r="H15" s="16" t="n"/>
    </row>
    <row r="16">
      <c r="A16" s="16" t="inlineStr">
        <is>
          <t>Admin / Financial Year</t>
        </is>
      </c>
      <c r="B16" s="16" t="inlineStr">
        <is>
          <t>Admin</t>
        </is>
      </c>
      <c r="C16" s="16" t="inlineStr">
        <is>
          <t>https://www.figma.com/design/gH2vQ62cfg4677YKWuOpLc/MoSJE-Portal--Handoff-?node-id=4226-40009</t>
        </is>
      </c>
      <c r="D16" s="16" t="inlineStr">
        <is>
          <t>Yes</t>
        </is>
      </c>
      <c r="E16" s="16" t="inlineStr">
        <is>
          <t>Yes</t>
        </is>
      </c>
      <c r="F16" s="16" t="inlineStr">
        <is>
          <t>Done</t>
        </is>
      </c>
      <c r="G16" s="16">
        <f>COUNTIF('eUtthan Admin'!$B:$B,$A16)</f>
        <v/>
      </c>
      <c r="H16" s="16" t="n"/>
    </row>
    <row r="17">
      <c r="A17" s="16" t="inlineStr">
        <is>
          <t>Admin / Financial Year / Add</t>
        </is>
      </c>
      <c r="B17" s="16" t="inlineStr">
        <is>
          <t>Admin</t>
        </is>
      </c>
      <c r="C17" s="16" t="inlineStr">
        <is>
          <t>https://www.figma.com/design/gH2vQ62cfg4677YKWuOpLc/MoSJE-Portal--Handoff-?node-id=4226-43777</t>
        </is>
      </c>
      <c r="D17" s="16" t="inlineStr">
        <is>
          <t>Yes</t>
        </is>
      </c>
      <c r="E17" s="16" t="n"/>
      <c r="F17" s="16" t="inlineStr">
        <is>
          <t>Not Started</t>
        </is>
      </c>
      <c r="G17" s="16">
        <f>COUNTIF('eUtthan Admin'!$B:$B,$A17)</f>
        <v/>
      </c>
      <c r="H17" s="16" t="n"/>
    </row>
    <row r="18">
      <c r="A18" s="16" t="inlineStr">
        <is>
          <t>Admin / Financial Year</t>
        </is>
      </c>
      <c r="B18" s="16" t="inlineStr">
        <is>
          <t>Admin</t>
        </is>
      </c>
      <c r="C18" s="16" t="inlineStr">
        <is>
          <t>https://www.figma.com/design/gH2vQ62cfg4677YKWuOpLc/MoSJE-Portal--Handoff-?node-id=4226-40148</t>
        </is>
      </c>
      <c r="D18" s="16" t="inlineStr">
        <is>
          <t>Yes</t>
        </is>
      </c>
      <c r="E18" s="16" t="inlineStr">
        <is>
          <t>Yes</t>
        </is>
      </c>
      <c r="F18" s="16" t="inlineStr">
        <is>
          <t>Done</t>
        </is>
      </c>
      <c r="G18" s="16">
        <f>COUNTIF('eUtthan Admin'!$B:$B,$A18)</f>
        <v/>
      </c>
      <c r="H18" s="16" t="n"/>
    </row>
    <row r="19">
      <c r="A19" s="16" t="inlineStr">
        <is>
          <t>Admin / Financial Year / Edit</t>
        </is>
      </c>
      <c r="B19" s="16" t="inlineStr">
        <is>
          <t>Admin</t>
        </is>
      </c>
      <c r="C19" s="16" t="inlineStr">
        <is>
          <t>https://www.figma.com/design/gH2vQ62cfg4677YKWuOpLc/MoSJE-Portal--Handoff-?node-id=4226-44550</t>
        </is>
      </c>
      <c r="D19" s="16" t="inlineStr">
        <is>
          <t>Yes</t>
        </is>
      </c>
      <c r="E19" s="16" t="n"/>
      <c r="F19" s="16" t="inlineStr">
        <is>
          <t>Not Started</t>
        </is>
      </c>
      <c r="G19" s="16">
        <f>COUNTIF('eUtthan Admin'!$B:$B,$A19)</f>
        <v/>
      </c>
      <c r="H19" s="16" t="n"/>
    </row>
    <row r="20">
      <c r="A20" s="16" t="inlineStr">
        <is>
          <t>Admin / Manage Ministry</t>
        </is>
      </c>
      <c r="B20" s="16" t="inlineStr">
        <is>
          <t>Admin</t>
        </is>
      </c>
      <c r="C20" s="16" t="inlineStr">
        <is>
          <t>https://www.figma.com/design/gH2vQ62cfg4677YKWuOpLc/MoSJE-Portal--Handoff-?node-id=4226-40288</t>
        </is>
      </c>
      <c r="D20" s="16" t="inlineStr">
        <is>
          <t>Yes</t>
        </is>
      </c>
      <c r="E20" s="16" t="inlineStr">
        <is>
          <t>Yes</t>
        </is>
      </c>
      <c r="F20" s="16" t="inlineStr">
        <is>
          <t>Done</t>
        </is>
      </c>
      <c r="G20" s="16">
        <f>COUNTIF('eUtthan Admin'!$B:$B,$A20)</f>
        <v/>
      </c>
      <c r="H20" s="16" t="n"/>
    </row>
    <row r="21">
      <c r="A21" s="16" t="inlineStr">
        <is>
          <t>Admin / Manage Ministry / Add</t>
        </is>
      </c>
      <c r="B21" s="16" t="inlineStr">
        <is>
          <t>Admin</t>
        </is>
      </c>
      <c r="C21" s="16" t="inlineStr">
        <is>
          <t>https://www.figma.com/design/gH2vQ62cfg4677YKWuOpLc/MoSJE-Portal--Handoff-?node-id=4226-43881</t>
        </is>
      </c>
      <c r="D21" s="16" t="inlineStr">
        <is>
          <t>Yes</t>
        </is>
      </c>
      <c r="E21" s="16" t="n"/>
      <c r="F21" s="16" t="inlineStr">
        <is>
          <t>Not Started</t>
        </is>
      </c>
      <c r="G21" s="16">
        <f>COUNTIF('eUtthan Admin'!$B:$B,$A21)</f>
        <v/>
      </c>
      <c r="H21" s="16" t="n"/>
    </row>
    <row r="22">
      <c r="A22" s="16" t="inlineStr">
        <is>
          <t>Admin / Manage Scheme</t>
        </is>
      </c>
      <c r="B22" s="16" t="inlineStr">
        <is>
          <t>Admin</t>
        </is>
      </c>
      <c r="C22" s="16" t="inlineStr">
        <is>
          <t>https://www.figma.com/design/gH2vQ62cfg4677YKWuOpLc/MoSJE-Portal--Handoff-?node-id=4226-40449</t>
        </is>
      </c>
      <c r="D22" s="16" t="inlineStr">
        <is>
          <t>Yes</t>
        </is>
      </c>
      <c r="E22" s="16" t="inlineStr">
        <is>
          <t>Yes</t>
        </is>
      </c>
      <c r="F22" s="16" t="inlineStr">
        <is>
          <t>Done</t>
        </is>
      </c>
      <c r="G22" s="16">
        <f>COUNTIF('eUtthan Admin'!$B:$B,$A22)</f>
        <v/>
      </c>
      <c r="H22" s="16" t="n"/>
    </row>
    <row r="23">
      <c r="A23" s="16" t="inlineStr">
        <is>
          <t>Admin / Manage Scheme (scrolled)</t>
        </is>
      </c>
      <c r="B23" s="16" t="inlineStr">
        <is>
          <t>Admin</t>
        </is>
      </c>
      <c r="C23" s="16" t="inlineStr">
        <is>
          <t>https://www.figma.com/design/gH2vQ62cfg4677YKWuOpLc/MoSJE-Portal--Handoff-?node-id=4226-43077</t>
        </is>
      </c>
      <c r="D23" s="16" t="inlineStr">
        <is>
          <t>Yes</t>
        </is>
      </c>
      <c r="E23" s="16" t="n"/>
      <c r="F23" s="16" t="inlineStr">
        <is>
          <t>Not Started</t>
        </is>
      </c>
      <c r="G23" s="16">
        <f>COUNTIF('eUtthan Admin'!$B:$B,$A23)</f>
        <v/>
      </c>
      <c r="H23" s="16" t="n"/>
    </row>
    <row r="24">
      <c r="A24" s="16" t="inlineStr">
        <is>
          <t>Admin / Manage Scheme / Add</t>
        </is>
      </c>
      <c r="B24" s="16" t="inlineStr">
        <is>
          <t>Admin</t>
        </is>
      </c>
      <c r="C24" s="16" t="inlineStr">
        <is>
          <t>https://www.figma.com/design/gH2vQ62cfg4677YKWuOpLc/MoSJE-Portal--Handoff-?node-id=4226-43990</t>
        </is>
      </c>
      <c r="D24" s="16" t="inlineStr">
        <is>
          <t>Yes</t>
        </is>
      </c>
      <c r="E24" s="16" t="n"/>
      <c r="F24" s="16" t="inlineStr">
        <is>
          <t>Not Started</t>
        </is>
      </c>
      <c r="G24" s="16">
        <f>COUNTIF('eUtthan Admin'!$B:$B,$A24)</f>
        <v/>
      </c>
      <c r="H24" s="16" t="n"/>
    </row>
    <row r="25">
      <c r="A25" s="16" t="inlineStr">
        <is>
          <t>Admin / Manage Outcome</t>
        </is>
      </c>
      <c r="B25" s="16" t="inlineStr">
        <is>
          <t>Admin</t>
        </is>
      </c>
      <c r="C25" s="16" t="inlineStr">
        <is>
          <t>https://www.figma.com/design/gH2vQ62cfg4677YKWuOpLc/MoSJE-Portal--Handoff-?node-id=4226-40657</t>
        </is>
      </c>
      <c r="D25" s="16" t="inlineStr">
        <is>
          <t>Yes</t>
        </is>
      </c>
      <c r="E25" s="16" t="inlineStr">
        <is>
          <t>Yes</t>
        </is>
      </c>
      <c r="F25" s="16" t="inlineStr">
        <is>
          <t>Done</t>
        </is>
      </c>
      <c r="G25" s="16">
        <f>COUNTIF('eUtthan Admin'!$B:$B,$A25)</f>
        <v/>
      </c>
      <c r="H25" s="16" t="n"/>
    </row>
    <row r="26">
      <c r="A26" s="16" t="inlineStr">
        <is>
          <t>Admin / Manage Outcome (scrolled)</t>
        </is>
      </c>
      <c r="B26" s="16" t="inlineStr">
        <is>
          <t>Admin</t>
        </is>
      </c>
      <c r="C26" s="16" t="inlineStr">
        <is>
          <t>https://www.figma.com/design/gH2vQ62cfg4677YKWuOpLc/MoSJE-Portal--Handoff-?node-id=4226-43305</t>
        </is>
      </c>
      <c r="D26" s="16" t="inlineStr">
        <is>
          <t>Yes</t>
        </is>
      </c>
      <c r="E26" s="16" t="n"/>
      <c r="F26" s="16" t="inlineStr">
        <is>
          <t>Not Started</t>
        </is>
      </c>
      <c r="G26" s="16">
        <f>COUNTIF('eUtthan Admin'!$B:$B,$A26)</f>
        <v/>
      </c>
      <c r="H26" s="16" t="n"/>
    </row>
    <row r="27">
      <c r="A27" s="16" t="inlineStr">
        <is>
          <t>Admin / Manage Outcome / Add</t>
        </is>
      </c>
      <c r="B27" s="16" t="inlineStr">
        <is>
          <t>Admin</t>
        </is>
      </c>
      <c r="C27" s="16" t="inlineStr">
        <is>
          <t>https://www.figma.com/design/gH2vQ62cfg4677YKWuOpLc/MoSJE-Portal--Handoff-?node-id=4226-44105</t>
        </is>
      </c>
      <c r="D27" s="16" t="inlineStr">
        <is>
          <t>Yes</t>
        </is>
      </c>
      <c r="E27" s="16" t="n"/>
      <c r="F27" s="16" t="inlineStr">
        <is>
          <t>Not Started</t>
        </is>
      </c>
      <c r="G27" s="16">
        <f>COUNTIF('eUtthan Admin'!$B:$B,$A27)</f>
        <v/>
      </c>
      <c r="H27" s="16" t="n"/>
    </row>
    <row r="28">
      <c r="A28" s="16" t="inlineStr">
        <is>
          <t>Admin / Documents</t>
        </is>
      </c>
      <c r="B28" s="16" t="inlineStr">
        <is>
          <t>Admin</t>
        </is>
      </c>
      <c r="C28" s="16" t="inlineStr">
        <is>
          <t>https://www.figma.com/design/gH2vQ62cfg4677YKWuOpLc/MoSJE-Portal--Handoff-?node-id=4226-42902</t>
        </is>
      </c>
      <c r="D28" s="16" t="inlineStr">
        <is>
          <t>Yes</t>
        </is>
      </c>
      <c r="E28" s="16" t="inlineStr">
        <is>
          <t>Yes</t>
        </is>
      </c>
      <c r="F28" s="16" t="inlineStr">
        <is>
          <t>Done</t>
        </is>
      </c>
      <c r="G28" s="16">
        <f>COUNTIF('eUtthan Admin'!$B:$B,$A28)</f>
        <v/>
      </c>
      <c r="H28" s="16" t="n"/>
    </row>
    <row r="29">
      <c r="A29" s="16" t="inlineStr">
        <is>
          <t>Admin / Documents / Add</t>
        </is>
      </c>
      <c r="B29" s="16" t="inlineStr">
        <is>
          <t>Admin</t>
        </is>
      </c>
      <c r="C29" s="16" t="inlineStr">
        <is>
          <t>https://www.figma.com/design/gH2vQ62cfg4677YKWuOpLc/MoSJE-Portal--Handoff-?node-id=4226-44221</t>
        </is>
      </c>
      <c r="D29" s="16" t="inlineStr">
        <is>
          <t>Yes</t>
        </is>
      </c>
      <c r="E29" s="16" t="n"/>
      <c r="F29" s="16" t="inlineStr">
        <is>
          <t>Not Started</t>
        </is>
      </c>
      <c r="G29" s="16">
        <f>COUNTIF('eUtthan Admin'!$B:$B,$A29)</f>
        <v/>
      </c>
      <c r="H29" s="16" t="n"/>
    </row>
    <row r="30">
      <c r="A30" s="16" t="inlineStr">
        <is>
          <t>Admin / Documents / Add</t>
        </is>
      </c>
      <c r="B30" s="16" t="inlineStr">
        <is>
          <t>Admin</t>
        </is>
      </c>
      <c r="C30" s="16" t="inlineStr">
        <is>
          <t>https://www.figma.com/design/gH2vQ62cfg4677YKWuOpLc/MoSJE-Portal--Handoff-?node-id=4226-44329</t>
        </is>
      </c>
      <c r="D30" s="16" t="inlineStr">
        <is>
          <t>Yes</t>
        </is>
      </c>
      <c r="E30" s="16" t="n"/>
      <c r="F30" s="16" t="inlineStr">
        <is>
          <t>Not Started</t>
        </is>
      </c>
      <c r="G30" s="16">
        <f>COUNTIF('eUtthan Admin'!$B:$B,$A30)</f>
        <v/>
      </c>
      <c r="H30" s="16" t="n"/>
    </row>
    <row r="31">
      <c r="A31" s="16" t="inlineStr">
        <is>
          <t>Admin / Map Ministry / Mapped</t>
        </is>
      </c>
      <c r="B31" s="16" t="inlineStr">
        <is>
          <t>Admin</t>
        </is>
      </c>
      <c r="C31" s="16" t="inlineStr">
        <is>
          <t>https://www.figma.com/design/gH2vQ62cfg4677YKWuOpLc/MoSJE-Portal--Handoff-?node-id=4226-41073</t>
        </is>
      </c>
      <c r="D31" s="16" t="inlineStr">
        <is>
          <t>Yes</t>
        </is>
      </c>
      <c r="E31" s="16" t="inlineStr">
        <is>
          <t>Yes</t>
        </is>
      </c>
      <c r="F31" s="16" t="inlineStr">
        <is>
          <t>Done</t>
        </is>
      </c>
      <c r="G31" s="16">
        <f>COUNTIF('eUtthan Admin'!$B:$B,$A31)</f>
        <v/>
      </c>
      <c r="H31" s="16" t="n"/>
    </row>
    <row r="32">
      <c r="A32" s="16" t="inlineStr">
        <is>
          <t>Admin / Map Ministry / Unmapped</t>
        </is>
      </c>
      <c r="B32" s="16" t="inlineStr">
        <is>
          <t>Admin</t>
        </is>
      </c>
      <c r="C32" s="16" t="inlineStr">
        <is>
          <t>https://www.figma.com/design/gH2vQ62cfg4677YKWuOpLc/MoSJE-Portal--Handoff-?node-id=4226-41283</t>
        </is>
      </c>
      <c r="D32" s="16" t="inlineStr">
        <is>
          <t>Yes</t>
        </is>
      </c>
      <c r="E32" s="16" t="n"/>
      <c r="F32" s="16" t="inlineStr">
        <is>
          <t>Not Started</t>
        </is>
      </c>
      <c r="G32" s="16">
        <f>COUNTIF('eUtthan Admin'!$B:$B,$A32)</f>
        <v/>
      </c>
      <c r="H32" s="16" t="n"/>
    </row>
    <row r="33">
      <c r="A33" s="16" t="inlineStr">
        <is>
          <t>Admin / Map Schemes / Map</t>
        </is>
      </c>
      <c r="B33" s="16" t="inlineStr">
        <is>
          <t>Admin</t>
        </is>
      </c>
      <c r="C33" s="16" t="inlineStr">
        <is>
          <t>https://www.figma.com/design/gH2vQ62cfg4677YKWuOpLc/MoSJE-Portal--Handoff-?node-id=4226-42430</t>
        </is>
      </c>
      <c r="D33" s="16" t="inlineStr">
        <is>
          <t>Yes</t>
        </is>
      </c>
      <c r="E33" s="16" t="n"/>
      <c r="F33" s="16" t="inlineStr">
        <is>
          <t>Not Started</t>
        </is>
      </c>
      <c r="G33" s="16">
        <f>COUNTIF('eUtthan Admin'!$B:$B,$A33)</f>
        <v/>
      </c>
      <c r="H33" s="16" t="n"/>
    </row>
    <row r="34">
      <c r="A34" s="16" t="inlineStr">
        <is>
          <t>Admin / Map Schemes / Mapped</t>
        </is>
      </c>
      <c r="B34" s="16" t="inlineStr">
        <is>
          <t>Admin</t>
        </is>
      </c>
      <c r="C34" s="16" t="inlineStr">
        <is>
          <t>https://www.figma.com/design/gH2vQ62cfg4677YKWuOpLc/MoSJE-Portal--Handoff-?node-id=4226-41490</t>
        </is>
      </c>
      <c r="D34" s="16" t="inlineStr">
        <is>
          <t>Yes</t>
        </is>
      </c>
      <c r="E34" s="16" t="n"/>
      <c r="F34" s="16" t="inlineStr">
        <is>
          <t>Not Started</t>
        </is>
      </c>
      <c r="G34" s="16">
        <f>COUNTIF('eUtthan Admin'!$B:$B,$A34)</f>
        <v/>
      </c>
      <c r="H34" s="16" t="n"/>
    </row>
    <row r="35">
      <c r="A35" s="16" t="inlineStr">
        <is>
          <t>Admin / Map Schemes / Mapped</t>
        </is>
      </c>
      <c r="B35" s="16" t="inlineStr">
        <is>
          <t>Admin</t>
        </is>
      </c>
      <c r="C35" s="16" t="inlineStr">
        <is>
          <t>https://www.figma.com/design/gH2vQ62cfg4677YKWuOpLc/MoSJE-Portal--Handoff-?node-id=4226-41730</t>
        </is>
      </c>
      <c r="D35" s="16" t="inlineStr">
        <is>
          <t>Yes</t>
        </is>
      </c>
      <c r="E35" s="16" t="n"/>
      <c r="F35" s="16" t="inlineStr">
        <is>
          <t>Not Started</t>
        </is>
      </c>
      <c r="G35" s="16">
        <f>COUNTIF('eUtthan Admin'!$B:$B,$A35)</f>
        <v/>
      </c>
      <c r="H35" s="16" t="n"/>
    </row>
    <row r="36">
      <c r="A36" s="16" t="inlineStr">
        <is>
          <t>Admin / Map Schemes / Map</t>
        </is>
      </c>
      <c r="B36" s="16" t="inlineStr">
        <is>
          <t>Admin</t>
        </is>
      </c>
      <c r="C36" s="16" t="inlineStr">
        <is>
          <t>https://www.figma.com/design/gH2vQ62cfg4677YKWuOpLc/MoSJE-Portal--Handoff-?node-id=4226-42650</t>
        </is>
      </c>
      <c r="D36" s="16" t="inlineStr">
        <is>
          <t>Yes</t>
        </is>
      </c>
      <c r="E36" s="16" t="n"/>
      <c r="F36" s="16" t="inlineStr">
        <is>
          <t>Not Started</t>
        </is>
      </c>
      <c r="G36" s="16">
        <f>COUNTIF('eUtthan Admin'!$B:$B,$A36)</f>
        <v/>
      </c>
      <c r="H36" s="16" t="n"/>
    </row>
    <row r="37">
      <c r="A37" s="16" t="inlineStr">
        <is>
          <t>Admin / Map Schemes / Mapped</t>
        </is>
      </c>
      <c r="B37" s="16" t="inlineStr">
        <is>
          <t>Admin</t>
        </is>
      </c>
      <c r="C37" s="16" t="inlineStr">
        <is>
          <t>https://www.figma.com/design/gH2vQ62cfg4677YKWuOpLc/MoSJE-Portal--Handoff-?node-id=4226-41970</t>
        </is>
      </c>
      <c r="D37" s="16" t="inlineStr">
        <is>
          <t>Yes</t>
        </is>
      </c>
      <c r="E37" s="16" t="n"/>
      <c r="F37" s="16" t="inlineStr">
        <is>
          <t>Not Started</t>
        </is>
      </c>
      <c r="G37" s="16">
        <f>COUNTIF('eUtthan Admin'!$B:$B,$A37)</f>
        <v/>
      </c>
      <c r="H37" s="16" t="n"/>
    </row>
    <row r="38">
      <c r="A38" s="16" t="inlineStr">
        <is>
          <t>Admin / Map Schemes / Unmap</t>
        </is>
      </c>
      <c r="B38" s="16" t="inlineStr">
        <is>
          <t>Admin</t>
        </is>
      </c>
      <c r="C38" s="16" t="inlineStr">
        <is>
          <t>https://www.figma.com/design/gH2vQ62cfg4677YKWuOpLc/MoSJE-Portal--Handoff-?node-id=4226-42210</t>
        </is>
      </c>
      <c r="D38" s="16" t="inlineStr">
        <is>
          <t>Yes</t>
        </is>
      </c>
      <c r="E38" s="16" t="n"/>
      <c r="F38" s="16" t="inlineStr">
        <is>
          <t>Not Started</t>
        </is>
      </c>
      <c r="G38" s="16">
        <f>COUNTIF('eUtthan Admin'!$B:$B,$A38)</f>
        <v/>
      </c>
      <c r="H38" s="16" t="n"/>
    </row>
    <row r="39">
      <c r="A39" s="16" t="inlineStr">
        <is>
          <t>Admin / Manage User</t>
        </is>
      </c>
      <c r="B39" s="16" t="inlineStr">
        <is>
          <t>Admin</t>
        </is>
      </c>
      <c r="C39" s="16" t="inlineStr">
        <is>
          <t>https://www.figma.com/design/gH2vQ62cfg4677YKWuOpLc/MoSJE-Portal--Handoff-?node-id=4226-40865</t>
        </is>
      </c>
      <c r="D39" s="16" t="inlineStr">
        <is>
          <t>Yes</t>
        </is>
      </c>
      <c r="E39" s="16" t="inlineStr">
        <is>
          <t>Yes</t>
        </is>
      </c>
      <c r="F39" s="16" t="inlineStr">
        <is>
          <t>Done</t>
        </is>
      </c>
      <c r="G39" s="16">
        <f>COUNTIF('eUtthan Admin'!$B:$B,$A39)</f>
        <v/>
      </c>
      <c r="H39" s="16" t="n"/>
    </row>
    <row r="40">
      <c r="A40" s="16" t="inlineStr">
        <is>
          <t>Admin / Manage User</t>
        </is>
      </c>
      <c r="B40" s="16" t="inlineStr">
        <is>
          <t>Admin</t>
        </is>
      </c>
      <c r="C40" s="16" t="inlineStr">
        <is>
          <t>https://www.figma.com/design/gH2vQ62cfg4677YKWuOpLc/MoSJE-Portal--Handoff-?node-id=4226-43533</t>
        </is>
      </c>
      <c r="D40" s="16" t="inlineStr">
        <is>
          <t>Yes</t>
        </is>
      </c>
      <c r="E40" s="16" t="inlineStr">
        <is>
          <t>Yes</t>
        </is>
      </c>
      <c r="F40" s="16" t="inlineStr">
        <is>
          <t>Done</t>
        </is>
      </c>
      <c r="G40" s="16">
        <f>COUNTIF('eUtthan Admin'!$B:$B,$A40)</f>
        <v/>
      </c>
      <c r="H40" s="16" t="n"/>
    </row>
    <row r="41">
      <c r="A41" s="16" t="inlineStr">
        <is>
          <t>Admin / Manage User / Add User</t>
        </is>
      </c>
      <c r="B41" s="16" t="inlineStr">
        <is>
          <t>Admin</t>
        </is>
      </c>
      <c r="C41" s="16" t="inlineStr">
        <is>
          <t>https://www.figma.com/design/gH2vQ62cfg4677YKWuOpLc/MoSJE-Portal--Handoff-?node-id=4226-44437</t>
        </is>
      </c>
      <c r="D41" s="16" t="inlineStr">
        <is>
          <t>Yes</t>
        </is>
      </c>
      <c r="E41" s="16" t="n"/>
      <c r="F41" s="16" t="inlineStr">
        <is>
          <t>Not Started</t>
        </is>
      </c>
      <c r="G41" s="16">
        <f>COUNTIF('eUtthan Admin'!$B:$B,$A41)</f>
        <v/>
      </c>
      <c r="H41" s="16" t="n"/>
    </row>
    <row r="42">
      <c r="A42" s="16" t="inlineStr">
        <is>
          <t>Login</t>
        </is>
      </c>
      <c r="B42" s="16" t="inlineStr">
        <is>
          <t>Admin</t>
        </is>
      </c>
      <c r="C42" s="16" t="inlineStr">
        <is>
          <t>— (no design)</t>
        </is>
      </c>
      <c r="D42" s="16" t="inlineStr">
        <is>
          <t>No</t>
        </is>
      </c>
      <c r="E42" s="16" t="inlineStr">
        <is>
          <t>Yes</t>
        </is>
      </c>
      <c r="F42" s="16" t="inlineStr">
        <is>
          <t>Done</t>
        </is>
      </c>
      <c r="G42" s="16">
        <f>COUNTIF('eUtthan Admin'!$B:$B,$A42)</f>
        <v/>
      </c>
      <c r="H42" s="16" t="n"/>
    </row>
    <row r="43">
      <c r="A43" s="16" t="inlineStr">
        <is>
          <t>Role Management</t>
        </is>
      </c>
      <c r="B43" s="16" t="inlineStr">
        <is>
          <t>Admin</t>
        </is>
      </c>
      <c r="C43" s="16" t="inlineStr">
        <is>
          <t>— (no design)</t>
        </is>
      </c>
      <c r="D43" s="16" t="inlineStr">
        <is>
          <t>No</t>
        </is>
      </c>
      <c r="E43" s="16" t="n"/>
      <c r="F43" s="16" t="inlineStr">
        <is>
          <t>Not Started</t>
        </is>
      </c>
      <c r="G43" s="16">
        <f>COUNTIF('eUtthan Admin'!$B:$B,$A43)</f>
        <v/>
      </c>
      <c r="H43" s="16" t="n"/>
    </row>
    <row r="44">
      <c r="A44" s="16" t="inlineStr">
        <is>
          <t>PFMS Logs</t>
        </is>
      </c>
      <c r="B44" s="16" t="inlineStr">
        <is>
          <t>Admin</t>
        </is>
      </c>
      <c r="C44" s="16" t="inlineStr">
        <is>
          <t>— (no design)</t>
        </is>
      </c>
      <c r="D44" s="16" t="inlineStr">
        <is>
          <t>No</t>
        </is>
      </c>
      <c r="E44" s="16" t="n"/>
      <c r="F44" s="16" t="inlineStr">
        <is>
          <t>Not Started</t>
        </is>
      </c>
      <c r="G44" s="16">
        <f>COUNTIF('eUtthan Admin'!$B:$B,$A44)</f>
        <v/>
      </c>
      <c r="H44" s="16" t="n"/>
    </row>
    <row r="45">
      <c r="A45" s="16" t="inlineStr">
        <is>
          <t>Reports / Financial Summary</t>
        </is>
      </c>
      <c r="B45" s="16" t="inlineStr">
        <is>
          <t>Admin</t>
        </is>
      </c>
      <c r="C45" s="16" t="inlineStr">
        <is>
          <t>— (no design)</t>
        </is>
      </c>
      <c r="D45" s="16" t="inlineStr">
        <is>
          <t>No</t>
        </is>
      </c>
      <c r="E45" s="16" t="n"/>
      <c r="F45" s="16" t="inlineStr">
        <is>
          <t>Not Started</t>
        </is>
      </c>
      <c r="G45" s="16">
        <f>COUNTIF('eUtthan Admin'!$B:$B,$A45)</f>
        <v/>
      </c>
      <c r="H45" s="16" t="n"/>
    </row>
    <row r="46">
      <c r="A46" s="16" t="inlineStr">
        <is>
          <t>Reports / Statement 10A</t>
        </is>
      </c>
      <c r="B46" s="16" t="inlineStr">
        <is>
          <t>Admin</t>
        </is>
      </c>
      <c r="C46" s="16" t="inlineStr">
        <is>
          <t>— (no design)</t>
        </is>
      </c>
      <c r="D46" s="16" t="inlineStr">
        <is>
          <t>No</t>
        </is>
      </c>
      <c r="E46" s="16" t="n"/>
      <c r="F46" s="16" t="inlineStr">
        <is>
          <t>Not Started</t>
        </is>
      </c>
      <c r="G46" s="16">
        <f>COUNTIF('eUtthan Admin'!$B:$B,$A46)</f>
        <v/>
      </c>
      <c r="H46" s="16" t="n"/>
    </row>
  </sheetData>
  <autoFilter ref="A1:H1"/>
  <dataValidations count="2">
    <dataValidation sqref="D2:E46" showDropDown="0" showInputMessage="0" showErrorMessage="0" allowBlank="1" type="list">
      <formula1>"Yes,No,Partial"</formula1>
    </dataValidation>
    <dataValidation sqref="F2:F46" showDropDown="0" showInputMessage="0" showErrorMessage="0" allowBlank="1" type="list">
      <formula1>"Not Started,In Progress,Done,Blocked"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2026-06-08T11:38:43Z</dcterms:created>
  <dcterms:modified xmlns:dcterms="http://purl.org/dc/terms/" xmlns:xsi="http://www.w3.org/2001/XMLSchema-instance" xsi:type="dcterms:W3CDTF">2026-09-21T07:26:05Z</dcterms:modified>
</cp:coreProperties>
</file>