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MoSJE Website" sheetId="8" state="visible" r:id="rId8"/>
    <sheet xmlns:r="http://schemas.openxmlformats.org/officeDocument/2006/relationships" name="NHAPOA" sheetId="9" state="visible" r:id="rId9"/>
    <sheet xmlns:r="http://schemas.openxmlformats.org/officeDocument/2006/relationships" name="Coverage – NHAPOA" sheetId="10" state="visible" r:id="rId10"/>
    <sheet xmlns:r="http://schemas.openxmlformats.org/officeDocument/2006/relationships" name="TG" sheetId="11" state="visible" r:id="rId11"/>
    <sheet xmlns:r="http://schemas.openxmlformats.org/officeDocument/2006/relationships" name="Coverage – TG" sheetId="12" state="visible" r:id="rId12"/>
    <sheet xmlns:r="http://schemas.openxmlformats.org/officeDocument/2006/relationships" name="Coverage – eUtthan" sheetId="13" state="visible" r:id="rId13"/>
    <sheet xmlns:r="http://schemas.openxmlformats.org/officeDocument/2006/relationships" name="Coverage – MoSJE Website" sheetId="14" state="visible" r:id="rId14"/>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'NMBA'!$A$1:$M$53</definedName>
    <definedName name="_xlnm._FilterDatabase" localSheetId="6" hidden="1">'Coverage – NMBA'!$A$1:$H$68</definedName>
    <definedName name="_xlnm._FilterDatabase" localSheetId="7" hidden="1">'MoSJE Website'!$A$1:$M$271</definedName>
    <definedName name="_xlnm._FilterDatabase" localSheetId="8" hidden="1">'NHAPOA'!$A$1:$M$152</definedName>
    <definedName name="_xlnm._FilterDatabase" localSheetId="9" hidden="1">'Coverage – NHAPOA'!$A$1:$H$81</definedName>
    <definedName name="_xlnm._FilterDatabase" localSheetId="10" hidden="1">'TG'!$A$1:$M$34</definedName>
    <definedName name="_xlnm._FilterDatabase" localSheetId="11" hidden="1">'Coverage – TG'!$A$1:$H$30</definedName>
    <definedName name="_xlnm._FilterDatabase" localSheetId="12" hidden="1">'Coverage – eUtthan'!$A$1:$H$1</definedName>
    <definedName name="_xlnm._FilterDatabase" localSheetId="13" hidden="1">'Coverage – MoSJE Website'!$A$1:$H$121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xf numFmtId="0" fontId="12" fillId="9" borderId="0" pivotButton="0" quotePrefix="0" xfId="0"/>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1.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row r="10">
      <c r="A10" t="inlineStr">
        <is>
          <t>MoSJE Website</t>
        </is>
      </c>
      <c r="B10">
        <f>COUNTA('MoSJE Website'!$A$2:$A$999)</f>
        <v/>
      </c>
      <c r="C10">
        <f>COUNTIF('MoSJE Website'!$D:$D,"Blocker")</f>
        <v/>
      </c>
      <c r="D10">
        <f>COUNTIF('MoSJE Website'!$D:$D,"Major")</f>
        <v/>
      </c>
      <c r="E10">
        <f>COUNTIF('MoSJE Website'!$D:$D,"Minor")</f>
        <v/>
      </c>
      <c r="F10">
        <f>COUNTIF('MoSJE Website'!$D:$D,"Nit")</f>
        <v/>
      </c>
      <c r="G10">
        <f>COUNTIF('MoSJE Website'!$I:$I,"Open")</f>
        <v/>
      </c>
      <c r="H10">
        <f>COUNTIF('MoSJE Website'!$I:$I,"Fixed")</f>
        <v/>
      </c>
      <c r="I10">
        <f>COUNTIF('MoSJE Website'!$I:$I,"Verified")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3"/>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the panel's #F9FAFB ground - 14.05:1 - and the selected item is #003366 on an #E5EFF9 pill, 10.84:1. Sampled off the design frame beside five nav rows.  →  Live: Every unselected navigation label is #9CA3AF. That is 2.43:1, where WCAG 2.2 AA requires 4.5:1 for text this size. It reads as a disabled control, and it is the same in the citizen shell and in all three admin roles. (Re-measured in the DOM on the live build, 2026-09-11. An earlier wording put this at 2.54:1 by assuming a white ground; the sidebar has no background of its own - the &lt;aside&gt; computes to transparent and the body behind it is #F9FAFB, which the rendered pixel behind a label confirms. The real ratio is slightly WORSE than published, not better.)</t>
        </is>
      </c>
      <c r="F2" s="28" t="inlineStr">
        <is>
          <t>Set the unselected label to the design's #1F2937. If a quieter resting state is wanted, #4B5563 clears comfortably at 7.23:1 on this ground and #6B7280 is the lightest neutral that still passes, at 4.63:1; #9CA3AF cannot be used for text on #F9FAFB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  Live: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  Live: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  Live: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the library's own Icon Button (Size=Small, Type=Outlined, Color=Neutral): 32x32, a 1px #E5E7EB outline at radius 8, the edit glyph #003366 and the delete glyph #EC5042. Read off the component's own nodes in the design file, not sampled - an earlier wording said radius 6.  →  Live: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library's Icon Button - 32x32, 1px #E5E7EB, radius 8 - and set the edit glyph to #003366. One icon treatment has to hold across every screen - the same glyph set, the same button, the same two colours - rather than icon-buttons on some screens, amber glyphs on others and text buttons on three of the NAPDDR screens.</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  Live: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Every data cell in the design is 56px tall - all 50 of them, exactly, on this frame - and every header cell is 52px. Counted off the frame's own nodes, not estimated; an earlier wording said 'a steady 45-55px', which understated how uniform the design actually is.  →  Live: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NMB-GLOBAL-039</t>
        </is>
      </c>
      <c r="B9" s="28" t="inlineStr">
        <is>
          <t>Global · The sidebar panel and every row in it are built to different metrics</t>
        </is>
      </c>
      <c r="C9" s="28" t="inlineStr">
        <is>
          <t>Layout &amp; Spacing</t>
        </is>
      </c>
      <c r="D9" s="28" t="inlineStr">
        <is>
          <t>Major</t>
        </is>
      </c>
      <c r="E9" s="28" t="inlineStr">
        <is>
          <t>Figma: The panel is 300px wide with 16px of padding all round and a 1px #E5E7EB edge, and it holds rows that are 268x48 at radius 16, each padded 12px top and bottom and 16px left and right, with an 8px gap between a row's icon and its label.  →  Live: The panel is 288px with no padding of its own and a 1px #D1D5DB edge, and its rows are 245x36 at radius 10, padded 8px and 12px. Every row is affected, not only the selected one: a row is a quarter shorter than designed, 23px narrower, on a smaller radius, and indented to x30 instead of the design's x16. Read from the DOM on the live build and from the design frame's own nodes, 2026-09-11.</t>
        </is>
      </c>
      <c r="F9" s="28" t="inlineStr">
        <is>
          <t>Build the sidebar to the design's metrics: a 300px panel padded 16, rows 268x48 at radius 16 padded 12/16. This is the fifth finding on this one component and the one that makes the others land - NMB-GLOBAL-001 (label colour), NMB-GLOBAL-003 (missing icons and the connector line the design does not draw), NMB-GLOBAL-015 (the selected row's weight and shape) and NMB-GLOBAL-038 (the 60px item rhythm). Treat them as one piece of work against one component rather than five separate tickets; the sidebar does not match the design until all five land.</t>
        </is>
      </c>
      <c r="G9" s="28" t="inlineStr">
        <is>
          <t>https://www.figma.com/design/evmNmlK8g4VYwJVu2FwSGV/MoSJE-Portal--Handoff-?node-id=52061-126900</t>
        </is>
      </c>
      <c r="H9" s="28" t="inlineStr">
        <is>
          <t>https://nmba-admin-dev.mosje.in/user-management</t>
        </is>
      </c>
      <c r="I9" s="28" t="inlineStr">
        <is>
          <t>Open</t>
        </is>
      </c>
      <c r="J9" s="28" t="n"/>
      <c r="K9" s="28" t="n"/>
      <c r="L9" s="28" t="inlineStr">
        <is>
          <t>env: dev  ·  Scope: Global — fix once, lands everywhere</t>
        </is>
      </c>
      <c r="M9" s="28" t="inlineStr">
        <is>
          <t>Global</t>
        </is>
      </c>
    </row>
    <row r="10">
      <c r="A10" s="27" t="inlineStr">
        <is>
          <t>NMB-GLOBAL-040</t>
        </is>
      </c>
      <c r="B10" s="28" t="inlineStr">
        <is>
          <t>Global · The table's header band, cell padding and dividers are all different from the design</t>
        </is>
      </c>
      <c r="C10" s="28" t="inlineStr">
        <is>
          <t>Layout &amp; Spacing</t>
        </is>
      </c>
      <c r="D10" s="28" t="inlineStr">
        <is>
          <t>Major</t>
        </is>
      </c>
      <c r="E10" s="28" t="inlineStr">
        <is>
          <t>Figma: The table sits in a #FFFFFF container with a 1px #E5E7EB edge at radius 12. Its header is a band: 52px tall, filled #F9FAFB, each cell padded 16px top and bottom and 24px left and right. Data cells are 56px tall, padded 12/24, and separated by a 1px #F3F4F6 rule.  →  Live: The header has no fill at all - it is transparent, so there is no band, just text above rows - and it is 38px instead of 52. Every cell, header and data alike, is padded 8/16 where the design says 16/24 and 12/24, which is what makes the rows 41px instead of 56. The row rule is #E5E7EB rather than #F3F4F6, a heavier line than the design draws, and the container is radius 6 against the design's 12. Read from the DOM on the live build, 2026-09-11.</t>
        </is>
      </c>
      <c r="F10" s="28" t="inlineStr">
        <is>
          <t>Build the table to the design's own component: a radius-12 container, a 52px #F9FAFB header band padded 16/24, 56px data cells padded 12/24, and a #F3F4F6 row rule. This is the finding the other table findings hang off - NMB-GLOBAL-009 (row heights), NMB-GLOBAL-010 (cell colour), NMB-GLOBAL-005 (row actions), NMB-GLOBAL-035 (the extra wrapper), NMB-GLOBAL-036 (a column too narrow for its date) and NMB-SCREEN-030 (action order). The cell padding alone accounts for most of the height difference, so fixing it fixes -009 across the portal.</t>
        </is>
      </c>
      <c r="G10" s="28" t="inlineStr">
        <is>
          <t>https://www.figma.com/design/evmNmlK8g4VYwJVu2FwSGV/MoSJE-Portal--Handoff-?node-id=52061-126900</t>
        </is>
      </c>
      <c r="H10" s="28" t="inlineStr">
        <is>
          <t>https://nmba-admin-dev.mosje.in/user-management</t>
        </is>
      </c>
      <c r="I10" s="28" t="inlineStr">
        <is>
          <t>Open</t>
        </is>
      </c>
      <c r="J10" s="28" t="n"/>
      <c r="K10" s="28" t="n"/>
      <c r="L10" s="28" t="inlineStr">
        <is>
          <t>env: dev  ·  Scope: Global — fix once, lands everywhere</t>
        </is>
      </c>
      <c r="M10" s="28" t="inlineStr">
        <is>
          <t>Global</t>
        </is>
      </c>
    </row>
    <row r="11">
      <c r="A11" s="27" t="inlineStr">
        <is>
          <t>NMB-GLOBAL-041</t>
        </is>
      </c>
      <c r="B11" s="28" t="inlineStr">
        <is>
          <t>Global · The masthead's marks are the wrong size, and the co-branding is one flattened image</t>
        </is>
      </c>
      <c r="C11" s="28" t="inlineStr">
        <is>
          <t>Layout &amp; Spacing</t>
        </is>
      </c>
      <c r="D11" s="28" t="inlineStr">
        <is>
          <t>Major</t>
        </is>
      </c>
      <c r="E11" s="28" t="inlineStr">
        <is>
          <t>Figma: The National Emblem is 32x52, sitting 30px below the band's top edge. The co-branding is two separate marks, each 40px tall - Digital India at x917, 102 wide, and the SAMAVESH lockup at x1043, 188 wide - together spanning 314px and ending at x1231. The band's lower edge is 1px #F3F4F6.  →  Live: In the ADMIN shell the National Emblem is 49x80 - about 53% larger on both axes - and sits 24px higher, at y46. The co-branding is not two marks but ONE raster image, 440x56 at x792: 40% wider, 16px taller and starting 125px further left than the design places it, with Digital India and SAMAVESH baked into a single file whose alt text is one 83-character string. The band's lower edge is 1px #D1D5DB against the design's #F3F4F6 - the same substitution the sidebar makes. The CITIZEN shell is worse on the same band: the emblem is 39x64 against the same designed 32x52, the band is 106px tall against 94, and the MINISTRY NAME ITSELF is a 496x56 raster image where the design sets it as three lines of live text. A portal that carries a language control cannot translate a picture of its own name. Read from the DOM on the live build, 2026-09-11.</t>
        </is>
      </c>
      <c r="F11" s="28" t="inlineStr">
        <is>
          <t>Draw the National Emblem at the design's 32x52 in its designed position, and compose the co-branding from the two marks the design uses rather than one flattened picture - a single image cannot be scaled per breakpoint, cannot be themed, and gives a screen reader one long string where the design has two named marks. On the citizen shell the ministry name has to come back as text for the same reason, and more urgently: it is the department's own name, on a bilingual portal. Set the band's lower edge to #F3F4F6. Note that the emblem is the National Emblem of India: its proportions are not ours to adjust, and the estate's own rule is that it ships at 3x the largest surface that renders it rather than being scaled up from a smaller file.</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NMB-GLOBAL-044</t>
        </is>
      </c>
      <c r="B12" s="28" t="inlineStr">
        <is>
          <t>Global · The search field is the only thing in the portal not set in Noto Sans</t>
        </is>
      </c>
      <c r="C12" s="28" t="inlineStr">
        <is>
          <t>Typography</t>
        </is>
      </c>
      <c r="D12" s="28" t="inlineStr">
        <is>
          <t>Major</t>
        </is>
      </c>
      <c r="E12" s="28" t="inlineStr">
        <is>
          <t>Figma: The field is 938x40 at radius 8 with a 1px #E5E7EB edge, and its placeholder is 14px Noto Sans Regular #374151 - the same face, size and grey as every other field in the design.  →  Live: The field renders in POPPINS at 16px #000000, in a box 768x43 at radius 6. Counted in the DOM on 2026-09-11: of 147 rendered elements on User Management exactly ONE is not Noto Sans, and it is this input; the same is true on Important Documents. So a single control in the portal is set in a different typeface, a size larger than the design, and in pure black rather than the #374151 the design uses for placeholder text.</t>
        </is>
      </c>
      <c r="F12" s="28" t="inlineStr">
        <is>
          <t>Remove the Poppins declaration - it is one rule and it is the only thing importing that family - and let the field inherit Noto Sans at 14px #374151. The estate's standing instruction is Noto Sans across all government properties and no other family introduced. While the rule is being changed, the box wants the design's 40px height and radius 8 rather than 43 and 6.</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NMB-GLOBAL-045</t>
        </is>
      </c>
      <c r="B13" s="28" t="inlineStr">
        <is>
          <t>Global · Primary and secondary buttons are built to different metrics</t>
        </is>
      </c>
      <c r="C13" s="28" t="inlineStr">
        <is>
          <t>Components &amp; States</t>
        </is>
      </c>
      <c r="D13" s="28" t="inlineStr">
        <is>
          <t>Major</t>
        </is>
      </c>
      <c r="E13" s="28" t="inlineStr">
        <is>
          <t>Figma: Buttons are 40px tall at radius 8, padded 8-10px vertically and 16/24 horizontally, with the label at 14px Medium: the primary filled #003366 with a #FFFFFF label, the secondary a 1px #003366 outline with a #003366 label.  →  Live: The primary 'Add User' is 36px tall at radius 4 - half the design's radius - padded 0/18 with its label at weight 600 rather than Medium. The secondary export buttons are 38px at radius 8. So no button in the toolbar is the height the design draws, and the primary and secondary disagree with each other on radius as well as with the design.</t>
        </is>
      </c>
      <c r="F13" s="28" t="inlineStr">
        <is>
          <t>Use one button component at the design's 40px height and radius 8, with the label at Medium. The primary's radius 4 is the outlier - every other rounded thing on the screen is 6, 8, 10 or 16, so this is a fifth radius nobody chose.</t>
        </is>
      </c>
      <c r="G13" s="28" t="inlineStr">
        <is>
          <t>https://www.figma.com/design/evmNmlK8g4VYwJVu2FwSGV/MoSJE-Portal--Handoff-?node-id=52061-126900</t>
        </is>
      </c>
      <c r="H13" s="28" t="inlineStr">
        <is>
          <t>https://nmba-admin-dev.mosje.in/user-management</t>
        </is>
      </c>
      <c r="I13" s="28" t="inlineStr">
        <is>
          <t>Open</t>
        </is>
      </c>
      <c r="J13" s="28" t="n"/>
      <c r="K13" s="28" t="n"/>
      <c r="L13" s="28" t="inlineStr">
        <is>
          <t>env: dev  ·  Scope: Global — fix once, lands everywhere</t>
        </is>
      </c>
      <c r="M13" s="28" t="inlineStr">
        <is>
          <t>Global</t>
        </is>
      </c>
    </row>
    <row r="14">
      <c r="A14" s="27" t="inlineStr">
        <is>
          <t>NMB-GLOBAL-051</t>
        </is>
      </c>
      <c r="B14" s="28" t="inlineStr">
        <is>
          <t>Global · Colours are typed as literals rather than bound to tokens, so the build has its own palette</t>
        </is>
      </c>
      <c r="C14" s="28" t="inlineStr">
        <is>
          <t>Color &amp; Token</t>
        </is>
      </c>
      <c r="D14" s="28" t="inlineStr">
        <is>
          <t>Major</t>
        </is>
      </c>
      <c r="E14" s="28" t="inlineStr">
        <is>
          <t>Figma: The design works from a published token contract of 33 colours - #003366, #1F2937, #E5E7EB, #D1D5DB and the rest - and a form field's edge is the contract's #D1D5DB.  →  Live: The build paints 110 distinct colours across the 51 captured screens. Twenty-seven of them are design values; THIRTY-FIVE more sit within 24 points of one, which is close enough to look right in review and far enough to be a different literal in the code. The field anchored here is edged #CED4DA against the contract's #D1D5DB - three points apart, on 16 fields across four screens. The largest is #9CA3AF where the design frames use #94A3B8, on 1,471 elements across all 51 screens; then #0A2C53 for #002244 on 201, #D64539 for #EC5042 on 124 across seven screens, #DBEAFE for #D2E3FC on 100, and #217A39 for #2E7D32 on 88. Read from the DOM on the live build, 2026-09-12; the full table is docs/audit/nmba-colour-drift.md.</t>
        </is>
      </c>
      <c r="F14" s="28" t="inlineStr">
        <is>
          <t>This is one fix, not thirty-five: bind every colour to its token instead of typing the value. Six findings in this report each name a single instance - the KPI tint (NMB-GLOBAL-012), the activity card edge (NMB-SCREEN-046), the facility card button (NMB-SCREEN-019), the facility chip (NMB-SCREEN-021), the sheet border (NMB-SCREEN-042) and the status labels (NMB-SCREEN-050) - and each of those is this same defect seen once. Correcting them one at a time leaves the next thirty-five to be found by eye. A three-point difference cannot be reviewed reliably by anyone, which is exactly why the values have to come from the tokens.</t>
        </is>
      </c>
      <c r="G14" s="28" t="inlineStr">
        <is>
          <t>https://www.figma.com/design/evmNmlK8g4VYwJVu2FwSGV/MoSJE-Portal--Handoff-?node-id=52066-127999</t>
        </is>
      </c>
      <c r="H14" s="28" t="inlineStr"/>
      <c r="I14" s="28" t="inlineStr">
        <is>
          <t>Open</t>
        </is>
      </c>
      <c r="J14" s="28" t="n"/>
      <c r="K14" s="28" t="n"/>
      <c r="L14" s="28" t="inlineStr">
        <is>
          <t>env: dev  ·  Scope: Global — fix once, lands everywhere</t>
        </is>
      </c>
      <c r="M14" s="28" t="inlineStr">
        <is>
          <t>Global</t>
        </is>
      </c>
    </row>
    <row r="15">
      <c r="A15" s="27" t="inlineStr">
        <is>
          <t>NMB-GLOBAL-007</t>
        </is>
      </c>
      <c r="B15" s="28" t="inlineStr">
        <is>
          <t>Global · Dropdowns are the browser's own select, not the design system's</t>
        </is>
      </c>
      <c r="C15" s="28" t="inlineStr">
        <is>
          <t>Components &amp; States</t>
        </is>
      </c>
      <c r="D15" s="28" t="inlineStr">
        <is>
          <t>Minor</t>
        </is>
      </c>
      <c r="E15" s="28" t="inlineStr">
        <is>
          <t>Figma: Every dropdown is the design-system select: a rounded bordered field with its own chevron and the label at 14px #1F2937.  →  Live: The rows-per-page control, the facility filter and the three activity filters render as an unstyled native &lt;select&gt; with the operating system's chevron and its own border radius, so they look different on every browser and different from every other control on the page.</t>
        </is>
      </c>
      <c r="F15" s="28" t="inlineStr">
        <is>
          <t>Skin these with the design-system select so their border, radius, type and chevron match the rest of the interface.</t>
        </is>
      </c>
      <c r="G15" s="28" t="inlineStr">
        <is>
          <t>https://www.figma.com/design/evmNmlK8g4VYwJVu2FwSGV/MoSJE-Portal--Handoff-?node-id=52092-136433</t>
        </is>
      </c>
      <c r="H15" s="28" t="inlineStr">
        <is>
          <t>https://nmba-admin-dev.mosje.in/napddr/state-committee</t>
        </is>
      </c>
      <c r="I15" s="28" t="inlineStr">
        <is>
          <t>Open</t>
        </is>
      </c>
      <c r="J15" s="28" t="n"/>
      <c r="K15" s="28" t="n"/>
      <c r="L15" s="28" t="inlineStr">
        <is>
          <t>env: dev  ·  Scope: Global — fix once, lands everywhere</t>
        </is>
      </c>
      <c r="M15" s="28" t="inlineStr">
        <is>
          <t>Global</t>
        </is>
      </c>
    </row>
    <row r="16">
      <c r="A16" s="27" t="inlineStr">
        <is>
          <t>NMB-GLOBAL-008</t>
        </is>
      </c>
      <c r="B16" s="28" t="inlineStr">
        <is>
          <t>Global · The search magnifier is missing, or sits on the wrong side</t>
        </is>
      </c>
      <c r="C16" s="28" t="inlineStr">
        <is>
          <t>Content &amp; Iconography</t>
        </is>
      </c>
      <c r="D16" s="28" t="inlineStr">
        <is>
          <t>Minor</t>
        </is>
      </c>
      <c r="E16" s="28" t="inlineStr">
        <is>
          <t>Figma: Every search field carries a magnifier inside its left edge, ahead of the placeholder.  →  Live: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6" s="28" t="inlineStr">
        <is>
          <t>Put the magnifier inside the left edge of every search field, as the design does.</t>
        </is>
      </c>
      <c r="G16" s="28" t="inlineStr">
        <is>
          <t>https://www.figma.com/design/evmNmlK8g4VYwJVu2FwSGV/MoSJE-Portal--Handoff-?node-id=52070-443098</t>
        </is>
      </c>
      <c r="H16" s="28" t="inlineStr">
        <is>
          <t>https://nmba-admin-dev.mosje.in/important-documents</t>
        </is>
      </c>
      <c r="I16" s="28" t="inlineStr">
        <is>
          <t>Open</t>
        </is>
      </c>
      <c r="J16" s="28" t="n"/>
      <c r="K16" s="28" t="n"/>
      <c r="L16" s="28" t="inlineStr">
        <is>
          <t>env: dev  ·  Scope: Global — fix once, lands everywhere</t>
        </is>
      </c>
      <c r="M16" s="28" t="inlineStr">
        <is>
          <t>Global</t>
        </is>
      </c>
    </row>
    <row r="17">
      <c r="A17" s="27" t="inlineStr">
        <is>
          <t>NMB-GLOBAL-010</t>
        </is>
      </c>
      <c r="B17" s="28" t="inlineStr">
        <is>
          <t>Global · Table cell text is lighter than the design</t>
        </is>
      </c>
      <c r="C17" s="28" t="inlineStr">
        <is>
          <t>Color &amp; Token</t>
        </is>
      </c>
      <c r="D17" s="28" t="inlineStr">
        <is>
          <t>Minor</t>
        </is>
      </c>
      <c r="E17" s="28" t="inlineStr">
        <is>
          <t>Figma: Cell values are #1F2937, the same near-black the rest of the body copy uses.  →  Live: Cell values are #4B5563. It still clears AA, but it makes the data quieter than its own column headers, which the design does not do.</t>
        </is>
      </c>
      <c r="F17" s="28" t="inlineStr">
        <is>
          <t>Set cell values to #1F2937 and leave #4B5563 for secondary lines inside a cell.</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NMB-GLOBAL-011</t>
        </is>
      </c>
      <c r="B18" s="28" t="inlineStr">
        <is>
          <t>Global · The page title is a lighter grey than the design</t>
        </is>
      </c>
      <c r="C18" s="28" t="inlineStr">
        <is>
          <t>Color &amp; Token</t>
        </is>
      </c>
      <c r="D18" s="28" t="inlineStr">
        <is>
          <t>Minor</t>
        </is>
      </c>
      <c r="E18" s="28" t="inlineStr">
        <is>
          <t>Figma: The page title is 24px SemiBold #1F2937.  →  Live: The page title is 24px 600 #374151 - the right size and weight, a lighter colour.</t>
        </is>
      </c>
      <c r="F18" s="28" t="inlineStr">
        <is>
          <t>Set the page title to #1F2937.</t>
        </is>
      </c>
      <c r="G18" s="28" t="inlineStr">
        <is>
          <t>https://www.figma.com/design/evmNmlK8g4VYwJVu2FwSGV/MoSJE-Portal--Handoff-?node-id=52061-126900</t>
        </is>
      </c>
      <c r="H18" s="28" t="inlineStr">
        <is>
          <t>https://nmba-admin-dev.mosje.in/user-management</t>
        </is>
      </c>
      <c r="I18" s="28" t="inlineStr">
        <is>
          <t>Open</t>
        </is>
      </c>
      <c r="J18" s="28" t="n"/>
      <c r="K18" s="28" t="n"/>
      <c r="L18" s="28" t="inlineStr">
        <is>
          <t>env: dev  ·  Scope: Global — fix once, lands everywhere</t>
        </is>
      </c>
      <c r="M18" s="28" t="inlineStr">
        <is>
          <t>Global</t>
        </is>
      </c>
    </row>
    <row r="19">
      <c r="A19" s="27" t="inlineStr">
        <is>
          <t>NMB-GLOBAL-012</t>
        </is>
      </c>
      <c r="B19" s="28" t="inlineStr">
        <is>
          <t>Global · KPI icon tiles use a pink tint that is not a token</t>
        </is>
      </c>
      <c r="C19" s="28" t="inlineStr">
        <is>
          <t>Color &amp; Token</t>
        </is>
      </c>
      <c r="D19" s="28" t="inlineStr">
        <is>
          <t>Minor</t>
        </is>
      </c>
      <c r="E19" s="28" t="inlineStr">
        <is>
          <t>Figma: Every KPI icon sits on a 32x32 tile filled #E5EFF9 - Primary/50 - at radius 10, so the row of cards reads as one set. The card around it is 353x138, #FFFFFF, 1px #E5E7EB, radius 16, padded 24 - which the build matches almost exactly, at 355x134. It is only the tile that differs.  →  Live: The tile is 44x44 at radius 12 - a third larger than the design's 32x32 at radius 10 - and it is tinted per card. Read from the DOM on the live officer dashboard, 2026-09-11, the four tiles in one row are #FDE8EF (pink, on 'Important Documents'), #E6F7FB (cyan), #FFF6E5 (cream) and #EEF1F4 (grey). NONE of the four is in the NMBA token set, against the design's single #E5EFF9, which is. So a row of metrics that carry no status meaning is colour-coded as though they did, in four colours the design never published - on a tile that is also the wrong size. The card itself is right, which is worth saying: this is the tile, not the component.</t>
        </is>
      </c>
      <c r="F19" s="28" t="inlineStr">
        <is>
          <t>Draw the tile at 32x32, radius 10, filled #E5EFF9. Reserve a coloured tint for a metric that genuinely signals a state, and take the tint from the token set when you do.</t>
        </is>
      </c>
      <c r="G19" s="28" t="inlineStr">
        <is>
          <t>https://www.figma.com/design/evmNmlK8g4VYwJVu2FwSGV/MoSJE-Portal--Handoff-?node-id=2309-14405</t>
        </is>
      </c>
      <c r="H19" s="28" t="inlineStr">
        <is>
          <t>https://nmba-admin-dev.mosje.in/dashboard</t>
        </is>
      </c>
      <c r="I19" s="28" t="inlineStr">
        <is>
          <t>Open</t>
        </is>
      </c>
      <c r="J19" s="28" t="n"/>
      <c r="K19" s="28" t="n"/>
      <c r="L19" s="28" t="inlineStr">
        <is>
          <t>env: dev  ·  Scope: Global — fix once, lands everywhere</t>
        </is>
      </c>
      <c r="M19" s="28" t="inlineStr">
        <is>
          <t>Global</t>
        </is>
      </c>
    </row>
    <row r="20">
      <c r="A20" s="27" t="inlineStr">
        <is>
          <t>NMB-GLOBAL-013</t>
        </is>
      </c>
      <c r="B20" s="28" t="inlineStr">
        <is>
          <t>Global · The KPI value is 30px, which is not on the type scale</t>
        </is>
      </c>
      <c r="C20" s="28" t="inlineStr">
        <is>
          <t>Typography</t>
        </is>
      </c>
      <c r="D20" s="28" t="inlineStr">
        <is>
          <t>Minor</t>
        </is>
      </c>
      <c r="E20" s="28" t="inlineStr">
        <is>
          <t>Figma: The KPI value is 32px SemiBold #003366 - the top step of the published scale.  →  Live: The KPI value is 30px. The scale runs 24, 28, 32; 30 is not a step on it, so this number is the only type size in the portal that no token can express.</t>
        </is>
      </c>
      <c r="F20" s="28" t="inlineStr">
        <is>
          <t>Set the KPI value to 32px.</t>
        </is>
      </c>
      <c r="G20" s="28" t="inlineStr">
        <is>
          <t>https://www.figma.com/design/evmNmlK8g4VYwJVu2FwSGV/MoSJE-Portal--Handoff-?node-id=2309-14405</t>
        </is>
      </c>
      <c r="H20" s="28" t="inlineStr">
        <is>
          <t>https://nmba-admin-dev.mosje.in/dashboard</t>
        </is>
      </c>
      <c r="I20" s="28" t="inlineStr">
        <is>
          <t>Open</t>
        </is>
      </c>
      <c r="J20" s="28" t="n"/>
      <c r="K20" s="28" t="n"/>
      <c r="L20" s="28" t="inlineStr">
        <is>
          <t>env: dev  ·  Scope: Global — fix once, lands everywhere</t>
        </is>
      </c>
      <c r="M20" s="28" t="inlineStr">
        <is>
          <t>Global</t>
        </is>
      </c>
    </row>
    <row r="21">
      <c r="A21" s="27" t="inlineStr">
        <is>
          <t>NMB-GLOBAL-033</t>
        </is>
      </c>
      <c r="B21" s="28" t="inlineStr">
        <is>
          <t>Global · Export is two buttons where the design has one</t>
        </is>
      </c>
      <c r="C21" s="28" t="inlineStr">
        <is>
          <t>Components &amp; States</t>
        </is>
      </c>
      <c r="D21" s="28" t="inlineStr">
        <is>
          <t>Minor</t>
        </is>
      </c>
      <c r="E21" s="28" t="inlineStr">
        <is>
          <t>Figma: One 'Export' button with a chevron, 110x38 at the right of the page header. Where a choice of format is offered the design opens it as a menu beneath - the NAPDDR Committee Reports frame draws that menu, with 'Export as XLS' and 'Export as PDF' as its two items.  →  Live: Two permanent side-by-side buttons, 'Export Excel' (115x38) and 'Export PDF' (108x38), on 29 of the 42 captured screens. Both formats occupy the header on every screen whether or not either is wanted, and the pair is 231px wide against the design's 110px.</t>
        </is>
      </c>
      <c r="F21" s="28" t="inlineStr">
        <is>
          <t>Collapse the two into the design's single 'Export' button and put the formats in the menu the design already draws for them.</t>
        </is>
      </c>
      <c r="G21" s="28" t="inlineStr">
        <is>
          <t>https://www.figma.com/design/evmNmlK8g4VYwJVu2FwSGV/MoSJE-Portal--Handoff-?node-id=52061-126900</t>
        </is>
      </c>
      <c r="H21" s="28" t="inlineStr">
        <is>
          <t>https://nmba-admin-dev.mosje.in/user-management</t>
        </is>
      </c>
      <c r="I21" s="28" t="inlineStr">
        <is>
          <t>Open</t>
        </is>
      </c>
      <c r="J21" s="28" t="n"/>
      <c r="K21" s="28" t="n"/>
      <c r="L21" s="28" t="inlineStr">
        <is>
          <t>env: dev  ·  Scope: Global — fix once, lands everywhere</t>
        </is>
      </c>
      <c r="M21" s="28" t="inlineStr">
        <is>
          <t>Global</t>
        </is>
      </c>
    </row>
    <row r="22">
      <c r="A22" s="27" t="inlineStr">
        <is>
          <t>NMB-GLOBAL-034</t>
        </is>
      </c>
      <c r="B22" s="28" t="inlineStr">
        <is>
          <t>Global · Every page number is boxed, so the current page has no mark</t>
        </is>
      </c>
      <c r="C22" s="28" t="inlineStr">
        <is>
          <t>Components &amp; States</t>
        </is>
      </c>
      <c r="D22" s="28" t="inlineStr">
        <is>
          <t>Minor</t>
        </is>
      </c>
      <c r="E22" s="28" t="inlineStr">
        <is>
          <t>Figma: Only the current page is boxed - a single outlined square around '1' - and the rest are bare numerals. Six pages are offered before the ellipsis, then the last page: 1 2 3 4 5 6 ... 125.  →  Live: Every page number carries its own outlined box, so the box no longer says which page you are on and the strip reads as seven identical buttons. Three pages are offered before the ellipsis instead of six. The strip is also packed tighter and quieter than designed: 4px between cells against the design's 16, and the numerals #374151 against #1F2937.</t>
        </is>
      </c>
      <c r="F22"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NMB-GLOBAL-035</t>
        </is>
      </c>
      <c r="B23" s="28" t="inlineStr">
        <is>
          <t>Global · The table sits inside an extra white container</t>
        </is>
      </c>
      <c r="C23" s="28" t="inlineStr">
        <is>
          <t>Layout &amp; Spacing</t>
        </is>
      </c>
      <c r="D23" s="28" t="inlineStr">
        <is>
          <t>Minor</t>
        </is>
      </c>
      <c r="E23" s="28" t="inlineStr">
        <is>
          <t>Figma: The search row and the table are two separate white cards sitting directly on the page's #F9FAFB ground - sampled at x312, y250, between the sidebar and the table's left edge.  →  Live: A third white panel wraps both of them - measured in the DOM on the live build 2026-09-11 as a 1112px div at x308, #FFFFFF, radius 6, with its own border - so the same pixel measures #FFFFFF and the table's own card is drawn inside a second border. The page ground disappears from the whole content column.</t>
        </is>
      </c>
      <c r="F23" s="28" t="inlineStr">
        <is>
          <t>Drop the outer panel and let the search row and the table sit on the page ground as the design does. Nothing else needs to move: both inner cards already carry their own border and radius.</t>
        </is>
      </c>
      <c r="G23" s="28" t="inlineStr">
        <is>
          <t>https://www.figma.com/design/evmNmlK8g4VYwJVu2FwSGV/MoSJE-Portal--Handoff-?node-id=52061-126900</t>
        </is>
      </c>
      <c r="H23" s="28" t="inlineStr">
        <is>
          <t>https://nmba-admin-dev.mosje.in/user-management</t>
        </is>
      </c>
      <c r="I23" s="28" t="inlineStr">
        <is>
          <t>Open</t>
        </is>
      </c>
      <c r="J23" s="28" t="n"/>
      <c r="K23" s="28" t="n"/>
      <c r="L23" s="28" t="inlineStr">
        <is>
          <t>env: dev  ·  Scope: Global — fix once, lands everywhere</t>
        </is>
      </c>
      <c r="M23" s="28" t="inlineStr">
        <is>
          <t>Global</t>
        </is>
      </c>
    </row>
    <row r="24">
      <c r="A24" s="27" t="inlineStr">
        <is>
          <t>NMB-GLOBAL-036</t>
        </is>
      </c>
      <c r="B24" s="28" t="inlineStr">
        <is>
          <t>Global · A date breaks across two lines in a narrow table column</t>
        </is>
      </c>
      <c r="C24" s="28" t="inlineStr">
        <is>
          <t>Layout &amp; Spacing</t>
        </is>
      </c>
      <c r="D24" s="28" t="inlineStr">
        <is>
          <t>Minor</t>
        </is>
      </c>
      <c r="E24" s="28" t="inlineStr">
        <is>
          <t>Figma: Every column in the design is wide enough for what it holds: the widest header, 'Chariperson/Chief Secretary', is given 209px and its values sit on one line.  →  Live: The 'Formed on' column is 94px wide, so the ten-character date 2012-12-12 breaks after the second hyphen and renders as '2012-12-' above '12'. A date split across two lines cannot be read or compared down the column, and the break is what pushes these rows to 65px.</t>
        </is>
      </c>
      <c r="F24" s="28" t="inlineStr">
        <is>
          <t>Give the date column enough width for its longest value - 10 characters at 14px needs about 105px inside its padding - or stop the value wrapping. The same applies to the header above it, which breaks as 'Formed' / 'on'.</t>
        </is>
      </c>
      <c r="G24" s="28" t="inlineStr">
        <is>
          <t>https://www.figma.com/design/evmNmlK8g4VYwJVu2FwSGV/MoSJE-Portal--Handoff-?node-id=52095-142880</t>
        </is>
      </c>
      <c r="H24" s="28" t="inlineStr">
        <is>
          <t>https://nmba-admin-dev.mosje.in/napddr/committee-reports</t>
        </is>
      </c>
      <c r="I24" s="28" t="inlineStr">
        <is>
          <t>Open</t>
        </is>
      </c>
      <c r="J24" s="28" t="n"/>
      <c r="K24" s="28" t="n"/>
      <c r="L24" s="28" t="inlineStr">
        <is>
          <t>env: dev  ·  Scope: Global — fix once, lands everywhere</t>
        </is>
      </c>
      <c r="M24" s="28" t="inlineStr">
        <is>
          <t>Global</t>
        </is>
      </c>
    </row>
    <row r="25">
      <c r="A25" s="27" t="inlineStr">
        <is>
          <t>NMB-GLOBAL-037</t>
        </is>
      </c>
      <c r="B25" s="28" t="inlineStr">
        <is>
          <t>Global · The account identity reverses its layout</t>
        </is>
      </c>
      <c r="C25" s="28" t="inlineStr">
        <is>
          <t>Layout &amp; Spacing</t>
        </is>
      </c>
      <c r="D25" s="28" t="inlineStr">
        <is>
          <t>Minor</t>
        </is>
      </c>
      <c r="E25" s="28" t="inlineStr">
        <is>
          <t>Figma: The name leads at 16px, the role sits under it right-aligned and quieter, and the square initials tile closes the group on the right - text first, tile last, the group ending flush with the page's right margin.  →  Live: The initials tile leads on the left and the text follows it, the role is wrapped in brackets under the name as '(Admin)' rather than set as a quieter second line, and the block is left-aligned against the tile instead of ranged right.</t>
        </is>
      </c>
      <c r="F25" s="28" t="inlineStr">
        <is>
          <t>Put the tile back on the right of the name and role, range the two text lines right, and set the role as the design does - no brackets, the quieter of the two weights.</t>
        </is>
      </c>
      <c r="G25" s="28" t="inlineStr">
        <is>
          <t>https://www.figma.com/design/evmNmlK8g4VYwJVu2FwSGV/MoSJE-Portal--Handoff-?node-id=52061-126900</t>
        </is>
      </c>
      <c r="H25" s="28" t="inlineStr">
        <is>
          <t>https://nmba-admin-dev.mosje.in/user-management</t>
        </is>
      </c>
      <c r="I25" s="28" t="inlineStr">
        <is>
          <t>Open</t>
        </is>
      </c>
      <c r="J25" s="28" t="n"/>
      <c r="K25" s="28" t="n"/>
      <c r="L25" s="28" t="inlineStr">
        <is>
          <t>env: dev  ·  Scope: Global — fix once, lands everywhere</t>
        </is>
      </c>
      <c r="M25" s="28" t="inlineStr">
        <is>
          <t>Global</t>
        </is>
      </c>
    </row>
    <row r="26">
      <c r="A26" s="27" t="inlineStr">
        <is>
          <t>NMB-GLOBAL-038</t>
        </is>
      </c>
      <c r="B26" s="28" t="inlineStr">
        <is>
          <t>Global · The admin sidebar sits on a 40px rhythm where the design uses 60px</t>
        </is>
      </c>
      <c r="C26" s="28" t="inlineStr">
        <is>
          <t>Layout &amp; Spacing</t>
        </is>
      </c>
      <c r="D26" s="28" t="inlineStr">
        <is>
          <t>Minor</t>
        </is>
      </c>
      <c r="E26" s="28" t="inlineStr">
        <is>
          <t>Figma: Sidebar items repeat every 60px - measured across thirteen items, the gaps run 57 to 61px - which is what gives each item its own space beside a 24px icon.  →  Live: Items repeat every 40px, a third tighter, and the labels are 20px tall inside that, so the list reads as one dense block rather than as separate destinations.</t>
        </is>
      </c>
      <c r="F26" s="28" t="inlineStr">
        <is>
          <t>Restore the design's 60px item rhythm. This is the third thing the admin sidebar changes from the design - see also NMB-GLOBAL-001 for the label colour and NMB-GLOBAL-003 for the missing icons; all three need to land together for the sidebar to match.</t>
        </is>
      </c>
      <c r="G26" s="28" t="inlineStr">
        <is>
          <t>https://www.figma.com/design/evmNmlK8g4VYwJVu2FwSGV/MoSJE-Portal--Handoff-?node-id=52061-126900</t>
        </is>
      </c>
      <c r="H26" s="28" t="inlineStr">
        <is>
          <t>https://nmba-admin-dev.mosje.in/user-management</t>
        </is>
      </c>
      <c r="I26" s="28" t="inlineStr">
        <is>
          <t>Open</t>
        </is>
      </c>
      <c r="J26" s="28" t="n"/>
      <c r="K26" s="28" t="n"/>
      <c r="L26" s="28" t="inlineStr">
        <is>
          <t>env: dev  ·  Scope: Global — fix once, lands everywhere</t>
        </is>
      </c>
      <c r="M26" s="28" t="inlineStr">
        <is>
          <t>Global</t>
        </is>
      </c>
    </row>
    <row r="27">
      <c r="A27" s="27" t="inlineStr">
        <is>
          <t>NMB-GLOBAL-014</t>
        </is>
      </c>
      <c r="B27" s="28" t="inlineStr">
        <is>
          <t>Global · The KPI label is a lighter grey than the design</t>
        </is>
      </c>
      <c r="C27" s="28" t="inlineStr">
        <is>
          <t>Color &amp; Token</t>
        </is>
      </c>
      <c r="D27" s="28" t="inlineStr">
        <is>
          <t>Nit</t>
        </is>
      </c>
      <c r="E27" s="28" t="inlineStr">
        <is>
          <t>Figma: The KPI label is 14px SemiBold #374151.  →  Live: The KPI label is 14px 600 #6B7280.</t>
        </is>
      </c>
      <c r="F27" s="28" t="inlineStr">
        <is>
          <t>Set the KPI label to #374151.</t>
        </is>
      </c>
      <c r="G27" s="28" t="inlineStr">
        <is>
          <t>https://www.figma.com/design/evmNmlK8g4VYwJVu2FwSGV/MoSJE-Portal--Handoff-?node-id=2309-14405</t>
        </is>
      </c>
      <c r="H27" s="28" t="inlineStr">
        <is>
          <t>https://nmba-admin-dev.mosje.in/dashboard</t>
        </is>
      </c>
      <c r="I27" s="28" t="inlineStr">
        <is>
          <t>Open</t>
        </is>
      </c>
      <c r="J27" s="28" t="n"/>
      <c r="K27" s="28" t="n"/>
      <c r="L27" s="28" t="inlineStr">
        <is>
          <t>env: dev  ·  Scope: Global — fix once, lands everywhere</t>
        </is>
      </c>
      <c r="M27" s="28" t="inlineStr">
        <is>
          <t>Global</t>
        </is>
      </c>
    </row>
    <row r="28">
      <c r="A28" s="27" t="inlineStr">
        <is>
          <t>NMB-GLOBAL-015</t>
        </is>
      </c>
      <c r="B28" s="28" t="inlineStr">
        <is>
          <t>Global · The selected navigation item is a tighter pill in a heavier weight</t>
        </is>
      </c>
      <c r="C28" s="28" t="inlineStr">
        <is>
          <t>Components &amp; States</t>
        </is>
      </c>
      <c r="D28" s="28" t="inlineStr">
        <is>
          <t>Nit</t>
        </is>
      </c>
      <c r="E28" s="28" t="inlineStr">
        <is>
          <t>Figma: The selected item is a 48px-tall pill at radius 16 filled #E5EFF9, its label at 14px Regular #003366 - the same weight as every other item, distinguished by the fill alone.  →  Live: The selected item's label is set Bold, where the design changes only the fill. Its 36px height and radius 10 are not particular to the selected row - EVERY row in the panel is built that way, which is NMB-GLOBAL-039. What belongs to this finding is the WEIGHT: the design marks the current page with a fill alone and the build marks it twice.</t>
        </is>
      </c>
      <c r="F28" s="28" t="inlineStr">
        <is>
          <t>Keep the selected label at the same weight as the rest and let the fill do the work. The pill's height and radius come right with NMB-GLOBAL-039, which fixes them for every row at once.</t>
        </is>
      </c>
      <c r="G28" s="28" t="inlineStr">
        <is>
          <t>https://www.figma.com/design/evmNmlK8g4VYwJVu2FwSGV/MoSJE-Portal--Handoff-?node-id=52061-126900</t>
        </is>
      </c>
      <c r="H28" s="28" t="inlineStr">
        <is>
          <t>https://nmba-admin-dev.mosje.in/user-management</t>
        </is>
      </c>
      <c r="I28" s="28" t="inlineStr">
        <is>
          <t>Open</t>
        </is>
      </c>
      <c r="J28" s="28" t="n"/>
      <c r="K28" s="28" t="n"/>
      <c r="L28" s="28" t="inlineStr">
        <is>
          <t>env: dev  ·  Scope: Global — fix once, lands everywhere</t>
        </is>
      </c>
      <c r="M28" s="28" t="inlineStr">
        <is>
          <t>Global</t>
        </is>
      </c>
    </row>
    <row r="29">
      <c r="A29" s="27" t="inlineStr">
        <is>
          <t>NMB-GLOBAL-031</t>
        </is>
      </c>
      <c r="B29" s="28" t="inlineStr">
        <is>
          <t>Global · Use the relevant filter options and follow the design</t>
        </is>
      </c>
      <c r="C29" s="28" t="inlineStr">
        <is>
          <t>Components &amp; States</t>
        </is>
      </c>
      <c r="D29" s="28" t="inlineStr">
        <is>
          <t>Nit</t>
        </is>
      </c>
      <c r="E29" s="28" t="inlineStr">
        <is>
          <t>Figma: Several screens draw more filters than the build offers - the citizen dashboard's State and District selects, the admin list screens' 'All States/UTs', the officer dashboard's four-filter row.  →  Live: Raised once, as a note: show the filters each screen actually needs and style them as the design does. It is deliberately not repeated as a finding on each screen.</t>
        </is>
      </c>
      <c r="F29" s="28" t="inlineStr">
        <is>
          <t>Show the filters each screen actually needs and style them as the design does.</t>
        </is>
      </c>
      <c r="G29" s="28" t="n"/>
      <c r="H29" s="28" t="n"/>
      <c r="I29" s="28" t="inlineStr">
        <is>
          <t>Open</t>
        </is>
      </c>
      <c r="J29" s="28" t="n"/>
      <c r="K29" s="28" t="n"/>
      <c r="L29" s="28" t="inlineStr">
        <is>
          <t>env: dev  ·  Scope: Global — fix once, lands everywhere</t>
        </is>
      </c>
      <c r="M29" s="28" t="inlineStr">
        <is>
          <t>Global</t>
        </is>
      </c>
    </row>
    <row r="30">
      <c r="A30" s="27" t="inlineStr">
        <is>
          <t>NMB-SCREEN-032</t>
        </is>
      </c>
      <c r="B30" s="28" t="inlineStr">
        <is>
          <t>Citizen - About Us</t>
        </is>
      </c>
      <c r="C30" s="28" t="inlineStr">
        <is>
          <t>Components &amp; States</t>
        </is>
      </c>
      <c r="D30" s="28" t="inlineStr">
        <is>
          <t>Major</t>
        </is>
      </c>
      <c r="E30" s="28" t="inlineStr">
        <is>
          <t>Figma: The citizen design draws no About Us link and no About Us page, and it has no not-found state at all - every link it draws resolves to a screen it also draws.  →  Live: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30"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30" s="28" t="n"/>
      <c r="H30" s="28" t="inlineStr">
        <is>
          <t>https://nmba-user-dev.mosje.in/about-us</t>
        </is>
      </c>
      <c r="I30" s="28" t="inlineStr">
        <is>
          <t>Open</t>
        </is>
      </c>
      <c r="J30" s="28" t="n"/>
      <c r="K30" s="28" t="n"/>
      <c r="L30" s="28" t="inlineStr">
        <is>
          <t>env: dev</t>
        </is>
      </c>
      <c r="M30" s="28" t="inlineStr">
        <is>
          <t>Screen</t>
        </is>
      </c>
    </row>
    <row r="31">
      <c r="A31" s="27" t="inlineStr">
        <is>
          <t>NMB-SCREEN-018</t>
        </is>
      </c>
      <c r="B31" s="28" t="inlineStr">
        <is>
          <t>Citizen - Activity Snapshots</t>
        </is>
      </c>
      <c r="C31" s="28" t="inlineStr">
        <is>
          <t>Components &amp; States</t>
        </is>
      </c>
      <c r="D31" s="28" t="inlineStr">
        <is>
          <t>Major</t>
        </is>
      </c>
      <c r="E31" s="28" t="inlineStr">
        <is>
          <t>Figma: Each card carries five things: the type chip at 11px, the activity title at 16px Medium #1F2937, a two-to-three line description at 12px, then the location and the date.  →  Live: Each card carries three: the type as a chip, the location and the date. The activity's own title and its description are not rendered, so the card's only heading is the category it belongs to.</t>
        </is>
      </c>
      <c r="F31" s="28" t="inlineStr">
        <is>
          <t>Render the activity title and its description between the chip and the location line, at the sizes the design specifies.</t>
        </is>
      </c>
      <c r="G31" s="28" t="inlineStr">
        <is>
          <t>https://www.figma.com/design/evmNmlK8g4VYwJVu2FwSGV/MoSJE-Portal--Handoff-?node-id=9081-58966</t>
        </is>
      </c>
      <c r="H31" s="28" t="inlineStr">
        <is>
          <t>https://nmba-user-dev.mosje.in/activities</t>
        </is>
      </c>
      <c r="I31" s="28" t="inlineStr">
        <is>
          <t>Open</t>
        </is>
      </c>
      <c r="J31" s="28" t="n"/>
      <c r="K31" s="28" t="n"/>
      <c r="L31" s="28" t="inlineStr">
        <is>
          <t>env: dev</t>
        </is>
      </c>
      <c r="M31" s="28" t="inlineStr">
        <is>
          <t>Screen</t>
        </is>
      </c>
    </row>
    <row r="32">
      <c r="A32" s="27" t="inlineStr">
        <is>
          <t>NMB-SCREEN-046</t>
        </is>
      </c>
      <c r="B32" s="28" t="inlineStr">
        <is>
          <t>Citizen - Activity Snapshots</t>
        </is>
      </c>
      <c r="C32" s="28" t="inlineStr">
        <is>
          <t>Layout &amp; Spacing</t>
        </is>
      </c>
      <c r="D32" s="28" t="inlineStr">
        <is>
          <t>Major</t>
        </is>
      </c>
      <c r="E32" s="28" t="inlineStr">
        <is>
          <t>Figma: The card is 348x409 at radius 12 with a 1px #E5E7EB edge. Its type chip is 11px Medium #1558B0 - a blue that says 'category' - and the location and date under it are 11px Medium #374151.  →  Live: The card is 329x351 at radius 8 with a 1px #E5EAF2 edge - a sixth near-miss grey. The type chip is 14px/500 #374151: three points larger than designed and drained of its blue, so the one element that tells a reader what KIND of activity this is now looks like ordinary body text. The location drops to 12px #6B7280 and the date to 11px #6B7280, both lighter than the design's #374151.</t>
        </is>
      </c>
      <c r="F32" s="28" t="inlineStr">
        <is>
          <t>Build the card at 348x409, radius 12, edge #E5E7EB, and put the chip back to 11px Medium #1558B0. The chip is the card's only classification; at 14px in the same grey as everything else it stops doing that job. Note this is the same card that has lost its title and its description (NMB-SCREEN-018) - with those two restored and the chip recoloured, the card reads as the design intends.</t>
        </is>
      </c>
      <c r="G32" s="28" t="inlineStr">
        <is>
          <t>https://www.figma.com/design/evmNmlK8g4VYwJVu2FwSGV/MoSJE-Portal--Handoff-?node-id=9081-58966</t>
        </is>
      </c>
      <c r="H32" s="28" t="inlineStr">
        <is>
          <t>https://nmba-user-dev.mosje.in/activities</t>
        </is>
      </c>
      <c r="I32" s="28" t="inlineStr">
        <is>
          <t>Open</t>
        </is>
      </c>
      <c r="J32" s="28" t="n"/>
      <c r="K32" s="28" t="n"/>
      <c r="L32" s="28" t="inlineStr">
        <is>
          <t>env: dev</t>
        </is>
      </c>
      <c r="M32" s="28" t="inlineStr">
        <is>
          <t>Screen</t>
        </is>
      </c>
    </row>
    <row r="33">
      <c r="A33" s="27" t="inlineStr">
        <is>
          <t>NMB-SCREEN-019</t>
        </is>
      </c>
      <c r="B33" s="28" t="inlineStr">
        <is>
          <t>Citizen - Help Centres &amp; Facilities</t>
        </is>
      </c>
      <c r="C33" s="28" t="inlineStr">
        <is>
          <t>Components &amp; States</t>
        </is>
      </c>
      <c r="D33" s="28" t="inlineStr">
        <is>
          <t>Major</t>
        </is>
      </c>
      <c r="E33" s="28" t="inlineStr">
        <is>
          <t>Figma: Each facility card ends with two buttons side by side - 'Get Directions' filled #003366 and 'Call Now' white with a #003366 outline - above which sit the service tags as small pills (Inpatient Treatment, Outpatient Counseling, Detoxification, Rehabilitation).  →  Live: The card itself is a list row, not a card: 534x304 padded 20 with a rule along its TOP edge only, where the design draws a 500x334 card padded 24 inside a 1px #E5E7EB border on all four sides. Inside it, there is one button, not two: 'Get Directions' stretches 494px across the full width, where the design gives it 218x32 beside an equal 'Call Now'. It is also filled #0A2C53, not the design's #003366 - a seventh near-miss colour, this one on the primary action of the citizen's most-used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33" s="28" t="inlineStr">
        <is>
          <t>Give the phone number back its button beside 'Get Directions', outlined #003366 as the design draws it, and restore the service tag pills above the pair.</t>
        </is>
      </c>
      <c r="G33" s="28" t="inlineStr">
        <is>
          <t>https://www.figma.com/design/evmNmlK8g4VYwJVu2FwSGV/MoSJE-Portal--Handoff-?node-id=9081-58585</t>
        </is>
      </c>
      <c r="H33" s="28" t="inlineStr">
        <is>
          <t>https://nmba-user-dev.mosje.in/facilities</t>
        </is>
      </c>
      <c r="I33" s="28" t="inlineStr">
        <is>
          <t>Open</t>
        </is>
      </c>
      <c r="J33" s="28" t="n"/>
      <c r="K33" s="28" t="n"/>
      <c r="L33" s="28" t="inlineStr">
        <is>
          <t>env: dev</t>
        </is>
      </c>
      <c r="M33" s="28" t="inlineStr">
        <is>
          <t>Screen</t>
        </is>
      </c>
    </row>
    <row r="34">
      <c r="A34" s="27" t="inlineStr">
        <is>
          <t>NMB-SCREEN-048</t>
        </is>
      </c>
      <c r="B34" s="28" t="inlineStr">
        <is>
          <t>Citizen - Help Centres &amp; Facilities</t>
        </is>
      </c>
      <c r="C34" s="28" t="inlineStr">
        <is>
          <t>Layout &amp; Spacing</t>
        </is>
      </c>
      <c r="D34" s="28" t="inlineStr">
        <is>
          <t>Major</t>
        </is>
      </c>
      <c r="E34" s="28" t="inlineStr">
        <is>
          <t>Figma: The map takes 640x768 on the left and the facility list 500 on the right - a 56/44 split that gives the map the larger share, because finding a centre near you is what the screen is for.  →  Live: The map is 534x500 and the list is 534: a 50/50 split, with the map 106px narrower and 268px shorter than the design draws it. Measured in the DOM on the live build, 2026-09-11. A third less map area, on the screen whose job is to show a citizen where the nearest help is - and it is the same map that opens zoomed out to the whole subcontinent (NMB-SCREEN-028), so the two compound: less canvas AND a wider view.</t>
        </is>
      </c>
      <c r="F34" s="28" t="inlineStr">
        <is>
          <t>Give the map the design's 640px column and its 768px height. With NMB-SCREEN-028's zoom fixed as well, a reader lands on their own district at a usable size instead of on south Asia in a small panel.</t>
        </is>
      </c>
      <c r="G34" s="28" t="inlineStr">
        <is>
          <t>https://www.figma.com/design/evmNmlK8g4VYwJVu2FwSGV/MoSJE-Portal--Handoff-?node-id=9081-58585</t>
        </is>
      </c>
      <c r="H34" s="28" t="inlineStr">
        <is>
          <t>https://nmba-user-dev.mosje.in/facilities</t>
        </is>
      </c>
      <c r="I34" s="28" t="inlineStr">
        <is>
          <t>Open</t>
        </is>
      </c>
      <c r="J34" s="28" t="n"/>
      <c r="K34" s="28" t="n"/>
      <c r="L34" s="28" t="inlineStr">
        <is>
          <t>env: dev</t>
        </is>
      </c>
      <c r="M34" s="28" t="inlineStr">
        <is>
          <t>Screen</t>
        </is>
      </c>
    </row>
    <row r="35">
      <c r="A35" s="27" t="inlineStr">
        <is>
          <t>NMB-SCREEN-020</t>
        </is>
      </c>
      <c r="B35" s="28" t="inlineStr">
        <is>
          <t>Citizen - Help Centres &amp; Facilities</t>
        </is>
      </c>
      <c r="C35" s="28" t="inlineStr">
        <is>
          <t>Typography</t>
        </is>
      </c>
      <c r="D35" s="28" t="inlineStr">
        <is>
          <t>Minor</t>
        </is>
      </c>
      <c r="E35" s="28" t="inlineStr">
        <is>
          <t>Figma: The facility name is Title Case at 16px SemiBold #1F2937.  →  Live: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35"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35" s="28" t="inlineStr">
        <is>
          <t>https://www.figma.com/design/evmNmlK8g4VYwJVu2FwSGV/MoSJE-Portal--Handoff-?node-id=9081-58585</t>
        </is>
      </c>
      <c r="H35" s="28" t="inlineStr">
        <is>
          <t>https://nmba-user-dev.mosje.in/facilities</t>
        </is>
      </c>
      <c r="I35" s="28" t="inlineStr">
        <is>
          <t>Open</t>
        </is>
      </c>
      <c r="J35" s="28" t="n"/>
      <c r="K35" s="28" t="n"/>
      <c r="L35" s="28" t="inlineStr">
        <is>
          <t>env: dev</t>
        </is>
      </c>
      <c r="M35" s="28" t="inlineStr">
        <is>
          <t>Screen</t>
        </is>
      </c>
    </row>
    <row r="36">
      <c r="A36" s="27" t="inlineStr">
        <is>
          <t>NMB-SCREEN-021</t>
        </is>
      </c>
      <c r="B36" s="28" t="inlineStr">
        <is>
          <t>Citizen - Help Centres &amp; Facilities</t>
        </is>
      </c>
      <c r="C36" s="28" t="inlineStr">
        <is>
          <t>Color &amp; Token</t>
        </is>
      </c>
      <c r="D36" s="28" t="inlineStr">
        <is>
          <t>Minor</t>
        </is>
      </c>
      <c r="E36" s="28" t="inlineStr">
        <is>
          <t>Figma: The chip encodes the facility type by colour, and both colours are published tokens: a de-addiction centre is #C8E6C9 with an #81C784 border and its label #27682A, a hospital is #D2E3FC. Sampled off the design frame at the two chips it draws.  →  Live: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36"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36" s="28" t="inlineStr">
        <is>
          <t>https://www.figma.com/design/evmNmlK8g4VYwJVu2FwSGV/MoSJE-Portal--Handoff-?node-id=9081-58585</t>
        </is>
      </c>
      <c r="H36" s="28" t="inlineStr">
        <is>
          <t>https://nmba-user-dev.mosje.in/facilities</t>
        </is>
      </c>
      <c r="I36" s="28" t="inlineStr">
        <is>
          <t>Open</t>
        </is>
      </c>
      <c r="J36" s="28" t="n"/>
      <c r="K36" s="28" t="n"/>
      <c r="L36" s="28" t="inlineStr">
        <is>
          <t>env: dev</t>
        </is>
      </c>
      <c r="M36" s="28" t="inlineStr">
        <is>
          <t>Screen</t>
        </is>
      </c>
    </row>
    <row r="37">
      <c r="A37" s="27" t="inlineStr">
        <is>
          <t>NMB-SCREEN-028</t>
        </is>
      </c>
      <c r="B37" s="28" t="inlineStr">
        <is>
          <t>Citizen - Help Centres &amp; Facilities</t>
        </is>
      </c>
      <c r="C37" s="28" t="inlineStr">
        <is>
          <t>Layout &amp; Spacing</t>
        </is>
      </c>
      <c r="D37" s="28" t="inlineStr">
        <is>
          <t>Nit</t>
        </is>
      </c>
      <c r="E37" s="28" t="inlineStr">
        <is>
          <t>Figma: The map opens framed on the area the facilities are in, close enough to read street names, with the three results pinned in view.  →  Live: The map opens zoomed out far enough to show Kabul, Colombo and Chengdu, with 722 pins clustered over India, so a reader has to zoom before the map tells them anything about their own district.</t>
        </is>
      </c>
      <c r="F37" s="28" t="inlineStr">
        <is>
          <t>Frame the map on the results being listed - the reader's district, or the search area - rather than on the whole set. Raised as a confirm-if-intended: if a national overview is the deliberate default, say so and the design should show it that way.</t>
        </is>
      </c>
      <c r="G37" s="28" t="inlineStr">
        <is>
          <t>https://www.figma.com/design/evmNmlK8g4VYwJVu2FwSGV/MoSJE-Portal--Handoff-?node-id=9081-58585</t>
        </is>
      </c>
      <c r="H37" s="28" t="inlineStr">
        <is>
          <t>https://nmba-user-dev.mosje.in/facilities</t>
        </is>
      </c>
      <c r="I37" s="28" t="inlineStr">
        <is>
          <t>Open</t>
        </is>
      </c>
      <c r="J37" s="28" t="n"/>
      <c r="K37" s="28" t="n"/>
      <c r="L37" s="28" t="inlineStr">
        <is>
          <t>env: dev</t>
        </is>
      </c>
      <c r="M37" s="28" t="inlineStr">
        <is>
          <t>Screen</t>
        </is>
      </c>
    </row>
    <row r="38">
      <c r="A38" s="27" t="inlineStr">
        <is>
          <t>NMB-SCREEN-017</t>
        </is>
      </c>
      <c r="B38" s="28" t="inlineStr">
        <is>
          <t>Citizen - Home</t>
        </is>
      </c>
      <c r="C38" s="28" t="inlineStr">
        <is>
          <t>Layout &amp; Spacing</t>
        </is>
      </c>
      <c r="D38" s="28" t="inlineStr">
        <is>
          <t>Major</t>
        </is>
      </c>
      <c r="E38"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  Live: The section is absent. The page goes from the metric cards straight to a state-wise bar chart that the design does not carry.</t>
        </is>
      </c>
      <c r="F38" s="28" t="inlineStr">
        <is>
          <t>Build the four programme-group cards as designed. If the bar chart is meant to replace them, that is a decision to take back to the design rather than a substitution to leave in place.</t>
        </is>
      </c>
      <c r="G38" s="28" t="inlineStr">
        <is>
          <t>https://www.figma.com/design/evmNmlK8g4VYwJVu2FwSGV/MoSJE-Portal--Handoff-?node-id=9081-59117</t>
        </is>
      </c>
      <c r="H38" s="28" t="inlineStr">
        <is>
          <t>https://nmba-user-dev.mosje.in/</t>
        </is>
      </c>
      <c r="I38" s="28" t="inlineStr">
        <is>
          <t>Open</t>
        </is>
      </c>
      <c r="J38" s="28" t="n"/>
      <c r="K38" s="28" t="n"/>
      <c r="L38" s="28" t="inlineStr">
        <is>
          <t>env: dev</t>
        </is>
      </c>
      <c r="M38" s="28" t="inlineStr">
        <is>
          <t>Screen</t>
        </is>
      </c>
    </row>
    <row r="39">
      <c r="A39" s="27" t="inlineStr">
        <is>
          <t>NMB-SCREEN-027</t>
        </is>
      </c>
      <c r="B39" s="28" t="inlineStr">
        <is>
          <t>Citizen - Home</t>
        </is>
      </c>
      <c r="C39" s="28" t="inlineStr">
        <is>
          <t>Components &amp; States</t>
        </is>
      </c>
      <c r="D39" s="28" t="inlineStr">
        <is>
          <t>Minor</t>
        </is>
      </c>
      <c r="E39" s="28" t="inlineStr">
        <is>
          <t>Figma: The right of the citizen masthead holds a signed-in user block: the name at 16px SemiBold #1F2937, the email beneath it at 13px #374151, and a 48px initials avatar filled #C8DBF0.  →  Live: The build shows a green National Deaddiction Helpline badge carrying the 14446 number, and a 'Nasha Mukti Mitr Login' button. There is no user block, because the citizen site has no signed-in state. So the design assumes a citizen session the build does not have.</t>
        </is>
      </c>
      <c r="F39"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9" s="28" t="inlineStr">
        <is>
          <t>https://www.figma.com/design/evmNmlK8g4VYwJVu2FwSGV/MoSJE-Portal--Handoff-?node-id=9081-59117</t>
        </is>
      </c>
      <c r="H39" s="28" t="inlineStr">
        <is>
          <t>https://nmba-user-dev.mosje.in/</t>
        </is>
      </c>
      <c r="I39" s="28" t="inlineStr">
        <is>
          <t>Open</t>
        </is>
      </c>
      <c r="J39" s="28" t="n"/>
      <c r="K39" s="28" t="n"/>
      <c r="L39" s="28" t="inlineStr">
        <is>
          <t>env: dev</t>
        </is>
      </c>
      <c r="M39" s="28" t="inlineStr">
        <is>
          <t>Screen</t>
        </is>
      </c>
    </row>
    <row r="40">
      <c r="A40" s="27" t="inlineStr">
        <is>
          <t>NMB-SCREEN-047</t>
        </is>
      </c>
      <c r="B40" s="28" t="inlineStr">
        <is>
          <t>Citizen - Home</t>
        </is>
      </c>
      <c r="C40" s="28" t="inlineStr">
        <is>
          <t>Layout &amp; Spacing</t>
        </is>
      </c>
      <c r="D40" s="28" t="inlineStr">
        <is>
          <t>Minor</t>
        </is>
      </c>
      <c r="E40" s="28" t="inlineStr">
        <is>
          <t>Figma: The banner is 1092x136 at radius 20, a linear gradient inside a 1px #E5E7EB edge, padded 32/56/32/32, and it spans the full content column from x324 to x1416. Its call to action is a 170x40 white button at radius 8, its label 14px Medium #003366.  →  Live: The banner is 1020x136 at radius 20 with the gradient but NO edge, starting at x360 - so it is 72px narrower than the content column it sits in and does not line up with the cards below it. The button is 176x36 at radius 6 with its label at weight 400: 4px shorter than designed, on a radius the design does not use here, in the regular weight rather than Medium.</t>
        </is>
      </c>
      <c r="F40" s="28" t="inlineStr">
        <is>
          <t>Span the banner across the content column as the design does, restore the 1px #E5E7EB edge, and build the button at 170x40 radius 8 with a Medium label. The button metrics are the same ones NMB-GLOBAL-045 raises on the admin toolbar, so one button component fixes both.</t>
        </is>
      </c>
      <c r="G40" s="28" t="inlineStr">
        <is>
          <t>https://www.figma.com/design/evmNmlK8g4VYwJVu2FwSGV/MoSJE-Portal--Handoff-?node-id=9081-59117</t>
        </is>
      </c>
      <c r="H40" s="28" t="inlineStr">
        <is>
          <t>https://nmba-user-dev.mosje.in/</t>
        </is>
      </c>
      <c r="I40" s="28" t="inlineStr">
        <is>
          <t>Open</t>
        </is>
      </c>
      <c r="J40" s="28" t="n"/>
      <c r="K40" s="28" t="n"/>
      <c r="L40" s="28" t="inlineStr">
        <is>
          <t>env: dev</t>
        </is>
      </c>
      <c r="M40" s="28" t="inlineStr">
        <is>
          <t>Screen</t>
        </is>
      </c>
    </row>
    <row r="41">
      <c r="A41" s="27" t="inlineStr">
        <is>
          <t>NMB-SCREEN-049</t>
        </is>
      </c>
      <c r="B41" s="28" t="inlineStr">
        <is>
          <t>Citizen - Home</t>
        </is>
      </c>
      <c r="C41" s="28" t="inlineStr">
        <is>
          <t>Layout &amp; Spacing</t>
        </is>
      </c>
      <c r="D41" s="28" t="inlineStr">
        <is>
          <t>Minor</t>
        </is>
      </c>
      <c r="E41" s="28" t="inlineStr">
        <is>
          <t>Figma: The footer is a 52px #002244 strip at the END of the document, after the content - the reader reaches it by scrolling to the bottom, which is what a footer is for.  →  Live: The footer is `position: fixed; bottom: 0` and 38px tall, so it sits across the bottom of the WINDOW at all times, above whatever the reader is looking at. It costs 38px of every screen permanently, it never signals the end of the content, and on a 1000px-tall window that is nearly 4% of the viewport given to a copyright line. It is also 14px shorter than the design's strip. Checked in the DOM on the live build, 2026-09-11.</t>
        </is>
      </c>
      <c r="F41" s="28" t="inlineStr">
        <is>
          <t>Let the footer end the document as the design does, at 52px. If a persistent bar is genuinely wanted, that is a different component and a different decision - but the design does not draw one, and a fixed footer on a page that already carries a fixed masthead leaves the citizen a narrow band of actual content.</t>
        </is>
      </c>
      <c r="G41" s="28" t="inlineStr">
        <is>
          <t>https://www.figma.com/design/evmNmlK8g4VYwJVu2FwSGV/MoSJE-Portal--Handoff-?node-id=9081-59117</t>
        </is>
      </c>
      <c r="H41" s="28" t="inlineStr">
        <is>
          <t>https://nmba-user-dev.mosje.in/</t>
        </is>
      </c>
      <c r="I41" s="28" t="inlineStr">
        <is>
          <t>Open</t>
        </is>
      </c>
      <c r="J41" s="28" t="n"/>
      <c r="K41" s="28" t="n"/>
      <c r="L41" s="28" t="inlineStr">
        <is>
          <t>env: dev</t>
        </is>
      </c>
      <c r="M41" s="28" t="inlineStr">
        <is>
          <t>Screen</t>
        </is>
      </c>
    </row>
    <row r="42">
      <c r="A42" s="27" t="inlineStr">
        <is>
          <t>NMB-SCREEN-024</t>
        </is>
      </c>
      <c r="B42" s="28" t="inlineStr">
        <is>
          <t>Sign in</t>
        </is>
      </c>
      <c r="C42" s="28" t="inlineStr">
        <is>
          <t>Color &amp; Token</t>
        </is>
      </c>
      <c r="D42" s="28" t="inlineStr">
        <is>
          <t>Major</t>
        </is>
      </c>
      <c r="E42" s="28" t="inlineStr">
        <is>
          <t>Figma: The left panel's photograph carries a navy tint, and the SAMAVESH lockup, the 'Justice. Equality. Dignity.' line and the paragraph beneath it read as white on that tint.  →  Live: The photograph is drawn at full contrast with no tint, and the same white text sits directly on it. Over the lighter areas of the crowd the paragraph is close to unreadable, and the contrast a reader gets depends on which part of the picture a line happens to fall over.</t>
        </is>
      </c>
      <c r="F42" s="28" t="inlineStr">
        <is>
          <t>Restore the navy tint over the photograph so the white text has a predictable ground, as the design specifies.</t>
        </is>
      </c>
      <c r="G42" s="28" t="inlineStr">
        <is>
          <t>https://www.figma.com/design/evmNmlK8g4VYwJVu2FwSGV/MoSJE-Portal--Handoff-?node-id=9884-112146</t>
        </is>
      </c>
      <c r="H42" s="28" t="inlineStr">
        <is>
          <t>https://nmba-admin-dev.mosje.in/login</t>
        </is>
      </c>
      <c r="I42" s="28" t="inlineStr">
        <is>
          <t>Open</t>
        </is>
      </c>
      <c r="J42" s="28" t="n"/>
      <c r="K42" s="28" t="n"/>
      <c r="L42" s="28" t="inlineStr">
        <is>
          <t>env: dev</t>
        </is>
      </c>
      <c r="M42" s="28" t="inlineStr">
        <is>
          <t>Screen</t>
        </is>
      </c>
    </row>
    <row r="43">
      <c r="A43" s="27" t="inlineStr">
        <is>
          <t>NMB-SCREEN-025</t>
        </is>
      </c>
      <c r="B43" s="28" t="inlineStr">
        <is>
          <t>Sign in</t>
        </is>
      </c>
      <c r="C43" s="28" t="inlineStr">
        <is>
          <t>Components &amp; States</t>
        </is>
      </c>
      <c r="D43" s="28" t="inlineStr">
        <is>
          <t>Major</t>
        </is>
      </c>
      <c r="E43" s="28" t="inlineStr">
        <is>
          <t>Figma: Every field in the design's sign-in panel carries a visible label above it - 'Project Id', 'Enter OTP' - with the placeholder used only for an example value.  →  Live: The username and password fields carry no label at all; the only naming is the placeholder, which disappears the moment a reader types. The design has no frame for this tab, so it is audited against the pattern the design uses on every other field.</t>
        </is>
      </c>
      <c r="F43" s="28" t="inlineStr">
        <is>
          <t>Add a visible label above each field and keep the placeholder for the example.</t>
        </is>
      </c>
      <c r="G43" s="28" t="inlineStr">
        <is>
          <t>https://www.figma.com/design/evmNmlK8g4VYwJVu2FwSGV/MoSJE-Portal--Handoff-?node-id=9884-112146</t>
        </is>
      </c>
      <c r="H43" s="28" t="inlineStr">
        <is>
          <t>https://nmba-admin-dev.mosje.in/login</t>
        </is>
      </c>
      <c r="I43" s="28" t="inlineStr">
        <is>
          <t>Open</t>
        </is>
      </c>
      <c r="J43" s="28" t="n"/>
      <c r="K43" s="28" t="n"/>
      <c r="L43" s="28" t="inlineStr">
        <is>
          <t>env: dev</t>
        </is>
      </c>
      <c r="M43" s="28" t="inlineStr">
        <is>
          <t>Screen</t>
        </is>
      </c>
    </row>
    <row r="44">
      <c r="A44" s="27" t="inlineStr">
        <is>
          <t>NMB-SCREEN-022</t>
        </is>
      </c>
      <c r="B44" s="28" t="inlineStr">
        <is>
          <t>NAPDDR committee screens (all four)</t>
        </is>
      </c>
      <c r="C44" s="28" t="inlineStr">
        <is>
          <t>Layout &amp; Spacing</t>
        </is>
      </c>
      <c r="D44" s="28" t="inlineStr">
        <is>
          <t>Major</t>
        </is>
      </c>
      <c r="E44" s="28" t="inlineStr">
        <is>
          <t>Figma: Above the page title sits a breadcrumb - 'NAPDDR Three-Tier Committee &gt; State-Level Committee' - at 12px, the trail a reader uses to get back up out of a nested section.  →  Live: There is no breadcrumb on any of the four committee screens. The page title is the first thing under the masthead, so a reader three levels into the section has nothing to climb back with.</t>
        </is>
      </c>
      <c r="F44" s="28" t="inlineStr">
        <is>
          <t>Render the breadcrumb above the title on all four committee screens.</t>
        </is>
      </c>
      <c r="G44" s="28" t="inlineStr">
        <is>
          <t>https://www.figma.com/design/evmNmlK8g4VYwJVu2FwSGV/MoSJE-Portal--Handoff-?node-id=52092-136433</t>
        </is>
      </c>
      <c r="H44" s="28" t="inlineStr">
        <is>
          <t>https://nmba-admin-dev.mosje.in/napddr/state-committee</t>
        </is>
      </c>
      <c r="I44" s="28" t="inlineStr">
        <is>
          <t>Open</t>
        </is>
      </c>
      <c r="J44" s="28" t="n"/>
      <c r="K44" s="28" t="n"/>
      <c r="L44" s="28" t="inlineStr">
        <is>
          <t>env: dev</t>
        </is>
      </c>
      <c r="M44" s="28" t="inlineStr">
        <is>
          <t>Screen</t>
        </is>
      </c>
    </row>
    <row r="45">
      <c r="A45" s="27" t="inlineStr">
        <is>
          <t>NMB-SCREEN-026</t>
        </is>
      </c>
      <c r="B45" s="28" t="inlineStr">
        <is>
          <t>Admin, State and District shells</t>
        </is>
      </c>
      <c r="C45" s="28" t="inlineStr">
        <is>
          <t>Components &amp; States</t>
        </is>
      </c>
      <c r="D45" s="28" t="inlineStr">
        <is>
          <t>Major</t>
        </is>
      </c>
      <c r="E45" s="28" t="inlineStr">
        <is>
          <t>Figma: The design has no 'About Us' or 'Contact Us' page inside the authenticated shell; these are citizen-site destinations.  →  Live: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45" s="28" t="inlineStr">
        <is>
          <t>Point these links at the citizen site's pages, or give the shell a not-found state. A route with no page should say so rather than substituting the landing screen.</t>
        </is>
      </c>
      <c r="G45" s="28" t="inlineStr">
        <is>
          <t>https://www.figma.com/design/evmNmlK8g4VYwJVu2FwSGV/MoSJE-Portal--Handoff-?node-id=52061-126900</t>
        </is>
      </c>
      <c r="H45" s="28" t="inlineStr">
        <is>
          <t>https://nmba-admin-dev.mosje.in/user-management</t>
        </is>
      </c>
      <c r="I45" s="28" t="inlineStr">
        <is>
          <t>Open</t>
        </is>
      </c>
      <c r="J45" s="28" t="n"/>
      <c r="K45" s="28" t="n"/>
      <c r="L45" s="28" t="inlineStr">
        <is>
          <t>env: dev</t>
        </is>
      </c>
      <c r="M45" s="28" t="inlineStr">
        <is>
          <t>Screen</t>
        </is>
      </c>
    </row>
    <row r="46">
      <c r="A46" s="27" t="inlineStr">
        <is>
          <t>NMB-SCREEN-042</t>
        </is>
      </c>
      <c r="B46" s="28" t="inlineStr">
        <is>
          <t>Admin - Add User side sheet</t>
        </is>
      </c>
      <c r="C46" s="28" t="inlineStr">
        <is>
          <t>Layout &amp; Spacing</t>
        </is>
      </c>
      <c r="D46" s="28" t="inlineStr">
        <is>
          <t>Major</t>
        </is>
      </c>
      <c r="E46" s="28" t="inlineStr">
        <is>
          <t>Figma: The sheet is a 520x978 panel inset 16px from the top, right and bottom of the window, at radius 16, with a 1px #E5EFF9 edge and two drop shadows - so it reads as a card lifted above the page. Behind it the scrim is #0A0D13 at 50%. The title is 'Add User' at 20px SemiBold #1F2937, and each field label is 14px Medium #1F2937 over a 488x44 input at radius 8 with a 1px #D1D5DB edge.  →  Live: The sheet is 620x1000 flush to the top, right and bottom edges, with no radius, no border and no shadow - a full-height slab rather than a floating panel, 100px wider than designed. The scrim is #000000 at 60%, darker than the design's. The title is 22px/600 #003366, blue where the design is near-black and two points larger. Inputs are 588x36 - 8px shorter than designed - with a 1px #CED4DA edge, which is a fourth near-miss grey against the design's #D1D5DB. Labels are 16px/400 #000000 where the design says 14px Medium #1F2937, and they are not even consistent with each other: 'Mobile Number' renders 14px/600 #374151 while 'First Name', 'Last Name', 'Email ID' and 'Select Role' render 16px/400 #000000, in the same form.</t>
        </is>
      </c>
      <c r="F46" s="28" t="inlineStr">
        <is>
          <t>Build the sheet as the design draws it: 520 wide, inset 16 from the window edges, radius 16, the #E5EFF9 edge and the two shadows, over a 50% #0A0D13 scrim. Set the title to 20px SemiBold #1F2937 and every label to 14px Medium #1F2937 - one label style for the whole form - over 44px inputs bound to #D1D5DB. The same sheet is used by Add Document, Add Best Practice, Add Event and Add Feedback, so this lands on eight designed flows at once.</t>
        </is>
      </c>
      <c r="G46" s="28" t="inlineStr">
        <is>
          <t>https://www.figma.com/design/evmNmlK8g4VYwJVu2FwSGV/MoSJE-Portal--Handoff-?node-id=52066-127999</t>
        </is>
      </c>
      <c r="H46" s="28" t="inlineStr"/>
      <c r="I46" s="28" t="inlineStr">
        <is>
          <t>Open</t>
        </is>
      </c>
      <c r="J46" s="28" t="n"/>
      <c r="K46" s="28" t="n"/>
      <c r="L46" s="28" t="inlineStr">
        <is>
          <t>env: dev</t>
        </is>
      </c>
      <c r="M46" s="28" t="inlineStr">
        <is>
          <t>Screen</t>
        </is>
      </c>
    </row>
    <row r="47">
      <c r="A47" s="27" t="inlineStr">
        <is>
          <t>NMB-SCREEN-043</t>
        </is>
      </c>
      <c r="B47" s="28" t="inlineStr">
        <is>
          <t>Admin - Add User side sheet</t>
        </is>
      </c>
      <c r="C47" s="28" t="inlineStr">
        <is>
          <t>Components &amp; States</t>
        </is>
      </c>
      <c r="D47" s="28" t="inlineStr">
        <is>
          <t>Major</t>
        </is>
      </c>
      <c r="E47" s="28" t="inlineStr">
        <is>
          <t>Figma: Seven of the sheet's fields are marked required with a red asterisk after the label, #EC5042, so a user can see what must be filled before they start: First Name, Last Name, Email ID, Mobile Number, Select Role, Select State and Select District.  →  Live: There is not one asterisk in the built sheet - counted in the DOM on 2026-09-11, the design frame carries 7 and the build carries 0. Nothing on the form distinguishes a required field from an optional one, so the first time a user learns which fields are mandatory is when submitting fails.</t>
        </is>
      </c>
      <c r="F47" s="28" t="inlineStr">
        <is>
          <t>Restore the required marker the design draws - the red asterisk after the label - on all seven fields. Pair it with `required` on the input so the marker is not the only signal: a mark that exists only in colour and only in a glyph is not announced to a screen reader, and WCAG 2.2 asks that an instruction not depend on a sensory characteristic alone.</t>
        </is>
      </c>
      <c r="G47" s="28" t="inlineStr">
        <is>
          <t>https://www.figma.com/design/evmNmlK8g4VYwJVu2FwSGV/MoSJE-Portal--Handoff-?node-id=52066-127999</t>
        </is>
      </c>
      <c r="H47" s="28" t="inlineStr"/>
      <c r="I47" s="28" t="inlineStr">
        <is>
          <t>Open</t>
        </is>
      </c>
      <c r="J47" s="28" t="n"/>
      <c r="K47" s="28" t="n"/>
      <c r="L47" s="28" t="inlineStr">
        <is>
          <t>env: dev</t>
        </is>
      </c>
      <c r="M47" s="28" t="inlineStr">
        <is>
          <t>Screen</t>
        </is>
      </c>
    </row>
    <row r="48">
      <c r="A48" s="27" t="inlineStr">
        <is>
          <t>NMB-SCREEN-050</t>
        </is>
      </c>
      <c r="B48" s="28" t="inlineStr">
        <is>
          <t>Important Documents (all roles)</t>
        </is>
      </c>
      <c r="C48" s="28" t="inlineStr">
        <is>
          <t>Color &amp; Token</t>
        </is>
      </c>
      <c r="D48" s="28" t="inlineStr">
        <is>
          <t>Minor</t>
        </is>
      </c>
      <c r="E48" s="28" t="inlineStr">
        <is>
          <t>Figma: The status chip carries its meaning in the label colour: DRAFT is #8C571F, an amber that reads as 'in progress', and PUBLISHED is #27682A, the token green.  →  Live: 'Draft' is rendered #DC2626 on a #FEF9C3 ground - the red this portal uses for delete and for error - so a document that is merely unfinished is flagged as if something were wrong with it. 'Published' is #16A34A on #DCFCE7, a near-miss of the design's #27682A. Read from the DOM on the live build, 2026-09-11.</t>
        </is>
      </c>
      <c r="F48" s="28" t="inlineStr">
        <is>
          <t>Set the draft label to the design's #8C571F and the published label to #27682A. Red is the portal's error and destructive colour; spending it on a normal editorial state teaches readers to ignore it where it matters.</t>
        </is>
      </c>
      <c r="G48" s="28" t="inlineStr">
        <is>
          <t>https://www.figma.com/design/evmNmlK8g4VYwJVu2FwSGV/MoSJE-Portal--Handoff-?node-id=52070-443098</t>
        </is>
      </c>
      <c r="H48" s="28" t="inlineStr">
        <is>
          <t>https://nmba-admin-dev.mosje.in/important-documents</t>
        </is>
      </c>
      <c r="I48" s="28" t="inlineStr">
        <is>
          <t>Open</t>
        </is>
      </c>
      <c r="J48" s="28" t="n"/>
      <c r="K48" s="28" t="n"/>
      <c r="L48" s="28" t="inlineStr">
        <is>
          <t>env: dev</t>
        </is>
      </c>
      <c r="M48" s="28" t="inlineStr">
        <is>
          <t>Screen</t>
        </is>
      </c>
    </row>
    <row r="49">
      <c r="A49" s="27" t="inlineStr">
        <is>
          <t>NMB-SCREEN-030</t>
        </is>
      </c>
      <c r="B49" s="28" t="inlineStr">
        <is>
          <t>Important Documents (all roles)</t>
        </is>
      </c>
      <c r="C49" s="28" t="inlineStr">
        <is>
          <t>Layout &amp; Spacing</t>
        </is>
      </c>
      <c r="D49" s="28" t="inlineStr">
        <is>
          <t>Nit</t>
        </is>
      </c>
      <c r="E49" s="28" t="inlineStr">
        <is>
          <t>Figma: The row actions run download, then edit, then delete, each as a bordered icon-button - a light 1px outline at radius 6, the glyphs at #003366 and #EC5042.  →  Live: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49"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49" s="28" t="inlineStr">
        <is>
          <t>https://www.figma.com/design/evmNmlK8g4VYwJVu2FwSGV/MoSJE-Portal--Handoff-?node-id=52070-443098</t>
        </is>
      </c>
      <c r="H49" s="28" t="inlineStr">
        <is>
          <t>https://nmba-admin-dev.mosje.in/important-documents</t>
        </is>
      </c>
      <c r="I49" s="28" t="inlineStr">
        <is>
          <t>Open</t>
        </is>
      </c>
      <c r="J49" s="28" t="n"/>
      <c r="K49" s="28" t="n"/>
      <c r="L49" s="28" t="inlineStr">
        <is>
          <t>env: dev</t>
        </is>
      </c>
      <c r="M49" s="28" t="inlineStr">
        <is>
          <t>Screen</t>
        </is>
      </c>
    </row>
    <row r="50">
      <c r="A50" s="27" t="inlineStr">
        <is>
          <t>NMB-SCREEN-023</t>
        </is>
      </c>
      <c r="B50" s="28" t="inlineStr">
        <is>
          <t>Officer dashboards (State and District)</t>
        </is>
      </c>
      <c r="C50" s="28" t="inlineStr">
        <is>
          <t>Layout &amp; Spacing</t>
        </is>
      </c>
      <c r="D50" s="28" t="inlineStr">
        <is>
          <t>Blocker</t>
        </is>
      </c>
      <c r="E50"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  Live: The page ends after the metric cards. None of the section is present, on either the State Nodal Officer or the District Nodal Officer dashboard, so neither officer can see or add a submission from the screen the design makes their home.</t>
        </is>
      </c>
      <c r="F50" s="28" t="inlineStr">
        <is>
          <t>Build the section as designed on both dashboards.</t>
        </is>
      </c>
      <c r="G50" s="28" t="inlineStr">
        <is>
          <t>https://www.figma.com/design/evmNmlK8g4VYwJVu2FwSGV/MoSJE-Portal--Handoff-?node-id=2309-14405</t>
        </is>
      </c>
      <c r="H50" s="28" t="inlineStr">
        <is>
          <t>https://nmba-admin-dev.mosje.in/dashboard</t>
        </is>
      </c>
      <c r="I50" s="28" t="inlineStr">
        <is>
          <t>Open</t>
        </is>
      </c>
      <c r="J50" s="28" t="n"/>
      <c r="K50" s="28" t="n"/>
      <c r="L50" s="28" t="inlineStr">
        <is>
          <t>env: dev</t>
        </is>
      </c>
      <c r="M50" s="28" t="inlineStr">
        <is>
          <t>Screen</t>
        </is>
      </c>
    </row>
    <row r="51">
      <c r="A51" s="27" t="inlineStr">
        <is>
          <t>NMB-SCREEN-029</t>
        </is>
      </c>
      <c r="B51" s="28" t="inlineStr">
        <is>
          <t>—</t>
        </is>
      </c>
      <c r="C51" s="28" t="inlineStr">
        <is>
          <t>—</t>
        </is>
      </c>
      <c r="D51" s="28" t="inlineStr">
        <is>
          <t>—</t>
        </is>
      </c>
      <c r="E51" s="28" t="inlineStr">
        <is>
          <t>Status chips are not set in capitals</t>
        </is>
      </c>
      <c r="F51" s="28" t="inlineStr">
        <is>
          <t>No fix required — this finding was withdrawn.</t>
        </is>
      </c>
      <c r="G51" s="28" t="n"/>
      <c r="H51" s="28" t="n"/>
      <c r="I51" s="28" t="inlineStr">
        <is>
          <t>Withdrawn</t>
        </is>
      </c>
      <c r="J51" s="28" t="n"/>
      <c r="K51" s="28" t="n"/>
      <c r="L51"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51" s="28" t="inlineStr">
        <is>
          <t>—</t>
        </is>
      </c>
    </row>
    <row r="52">
      <c r="A52" s="27" t="inlineStr">
        <is>
          <t>NMB-SCREEN-016</t>
        </is>
      </c>
      <c r="B52" s="28" t="inlineStr">
        <is>
          <t>—</t>
        </is>
      </c>
      <c r="C52" s="28" t="inlineStr">
        <is>
          <t>—</t>
        </is>
      </c>
      <c r="D52" s="28" t="inlineStr">
        <is>
          <t>—</t>
        </is>
      </c>
      <c r="E52" s="28" t="inlineStr">
        <is>
          <t>The pledge banner has lost its call to action</t>
        </is>
      </c>
      <c r="F52" s="28" t="inlineStr">
        <is>
          <t>No fix required — this finding was withdrawn.</t>
        </is>
      </c>
      <c r="G52" s="28" t="n"/>
      <c r="H52" s="28" t="n"/>
      <c r="I52" s="28" t="inlineStr">
        <is>
          <t>Withdrawn</t>
        </is>
      </c>
      <c r="J52" s="28" t="n"/>
      <c r="K52" s="28" t="n"/>
      <c r="L52"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52" s="28" t="inlineStr">
        <is>
          <t>—</t>
        </is>
      </c>
    </row>
    <row r="53">
      <c r="A53" s="27" t="inlineStr">
        <is>
          <t>NMB-SNODASH-004</t>
        </is>
      </c>
      <c r="B53" s="28" t="inlineStr">
        <is>
          <t>—</t>
        </is>
      </c>
      <c r="C53" s="28" t="inlineStr">
        <is>
          <t>—</t>
        </is>
      </c>
      <c r="D53" s="28" t="inlineStr">
        <is>
          <t>—</t>
        </is>
      </c>
      <c r="E53" s="28" t="inlineStr">
        <is>
          <t>KPI grid reflows to unequal card widths</t>
        </is>
      </c>
      <c r="F53" s="28" t="inlineStr">
        <is>
          <t>No fix required — this finding was withdrawn.</t>
        </is>
      </c>
      <c r="G53" s="28" t="n"/>
      <c r="H53" s="28" t="n"/>
      <c r="I53" s="28" t="inlineStr">
        <is>
          <t>Withdrawn</t>
        </is>
      </c>
      <c r="J53" s="28" t="n"/>
      <c r="K53" s="28" t="n"/>
      <c r="L53" s="28" t="inlineStr">
        <is>
          <t>WITHDRAWN: Measured on the capture: the three cards on the officer dashboard span 308-662, 688-1040 and 1066-1418 - 354, 352 and 352px with even 26px gaps, and the second row starts at the same two x positions. The grid is even. Withdrawn.</t>
        </is>
      </c>
      <c r="M53" s="28" t="inlineStr">
        <is>
          <t>—</t>
        </is>
      </c>
    </row>
  </sheetData>
  <autoFilter ref="A1:M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8"/>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4</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2</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5</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Add User side sheet</t>
        </is>
      </c>
      <c r="B10" s="28" t="inlineStr">
        <is>
          <t>Admin</t>
        </is>
      </c>
      <c r="C10" s="28" t="n"/>
      <c r="D10" s="28" t="inlineStr">
        <is>
          <t>Yes</t>
        </is>
      </c>
      <c r="E10" s="28" t="inlineStr">
        <is>
          <t>Yes</t>
        </is>
      </c>
      <c r="F10" s="28" t="inlineStr">
        <is>
          <t>Compared</t>
        </is>
      </c>
      <c r="G10" s="28" t="n">
        <v>2</v>
      </c>
      <c r="H10" s="28" t="n"/>
    </row>
    <row r="11">
      <c r="A11" s="28" t="inlineStr">
        <is>
          <t>Admin - About Us</t>
        </is>
      </c>
      <c r="B11" s="28" t="inlineStr">
        <is>
          <t>Admin</t>
        </is>
      </c>
      <c r="C11" s="28" t="n"/>
      <c r="D11" s="28" t="inlineStr">
        <is>
          <t>No</t>
        </is>
      </c>
      <c r="E11" s="28" t="inlineStr">
        <is>
          <t>Yes</t>
        </is>
      </c>
      <c r="F11" s="28" t="inlineStr">
        <is>
          <t>Vs. visual language</t>
        </is>
      </c>
      <c r="G11" s="28" t="n">
        <v>0</v>
      </c>
      <c r="H11" s="28" t="inlineStr">
        <is>
          <t>No Figma frame for this route; audited against the visual language.</t>
        </is>
      </c>
    </row>
    <row r="12">
      <c r="A12" s="28" t="inlineStr">
        <is>
          <t>Admin - Best Practices</t>
        </is>
      </c>
      <c r="B12" s="28" t="inlineStr">
        <is>
          <t>Admin</t>
        </is>
      </c>
      <c r="C12" s="28" t="inlineStr">
        <is>
          <t>https://www.figma.com/design/evmNmlK8g4VYwJVu2FwSGV/MoSJE-Portal--Handoff-?node-id=52092-133388</t>
        </is>
      </c>
      <c r="D12" s="28" t="inlineStr">
        <is>
          <t>Yes</t>
        </is>
      </c>
      <c r="E12" s="28" t="inlineStr">
        <is>
          <t>Yes</t>
        </is>
      </c>
      <c r="F12" s="28" t="inlineStr">
        <is>
          <t>Compared</t>
        </is>
      </c>
      <c r="G12" s="28" t="n">
        <v>0</v>
      </c>
      <c r="H12" s="28" t="n"/>
    </row>
    <row r="13">
      <c r="A13" s="28" t="inlineStr">
        <is>
          <t>Admin - Contact Us</t>
        </is>
      </c>
      <c r="B13" s="28" t="inlineStr">
        <is>
          <t>Admin</t>
        </is>
      </c>
      <c r="C13" s="28" t="n"/>
      <c r="D13" s="28" t="inlineStr">
        <is>
          <t>No</t>
        </is>
      </c>
      <c r="E13" s="28" t="inlineStr">
        <is>
          <t>Yes</t>
        </is>
      </c>
      <c r="F13" s="28" t="inlineStr">
        <is>
          <t>Vs. visual language</t>
        </is>
      </c>
      <c r="G13" s="28" t="n">
        <v>0</v>
      </c>
      <c r="H13" s="28" t="inlineStr">
        <is>
          <t>No Figma frame for this route; audited against the visual language.</t>
        </is>
      </c>
    </row>
    <row r="14">
      <c r="A14" s="28" t="inlineStr">
        <is>
          <t>Admin - Dashboard</t>
        </is>
      </c>
      <c r="B14" s="28" t="inlineStr">
        <is>
          <t>Admin</t>
        </is>
      </c>
      <c r="C14" s="28" t="n"/>
      <c r="D14" s="28" t="inlineStr">
        <is>
          <t>No</t>
        </is>
      </c>
      <c r="E14" s="28" t="inlineStr">
        <is>
          <t>Yes</t>
        </is>
      </c>
      <c r="F14" s="28" t="inlineStr">
        <is>
          <t>Vs. visual language</t>
        </is>
      </c>
      <c r="G14" s="28" t="n">
        <v>0</v>
      </c>
      <c r="H14" s="28" t="inlineStr">
        <is>
          <t>No Figma frame for this route; audited against the visual language.</t>
        </is>
      </c>
    </row>
    <row r="15">
      <c r="A15" s="28" t="inlineStr">
        <is>
          <t>Admin - Dashboard Statistics</t>
        </is>
      </c>
      <c r="B15" s="28" t="inlineStr">
        <is>
          <t>Admin</t>
        </is>
      </c>
      <c r="C15" s="28" t="inlineStr">
        <is>
          <t>https://www.figma.com/design/evmNmlK8g4VYwJVu2FwSGV/MoSJE-Portal--Handoff-?node-id=52102-139278</t>
        </is>
      </c>
      <c r="D15" s="28" t="inlineStr">
        <is>
          <t>Yes</t>
        </is>
      </c>
      <c r="E15" s="28" t="inlineStr">
        <is>
          <t>Yes</t>
        </is>
      </c>
      <c r="F15" s="28" t="inlineStr">
        <is>
          <t>Compared</t>
        </is>
      </c>
      <c r="G15" s="28" t="n">
        <v>0</v>
      </c>
      <c r="H15" s="28" t="n"/>
    </row>
    <row r="16">
      <c r="A16" s="28" t="inlineStr">
        <is>
          <t>Admin - District Nodal Officers List</t>
        </is>
      </c>
      <c r="B16" s="28" t="inlineStr">
        <is>
          <t>Admin</t>
        </is>
      </c>
      <c r="C16" s="28" t="inlineStr">
        <is>
          <t>https://www.figma.com/design/evmNmlK8g4VYwJVu2FwSGV/MoSJE-Portal--Handoff-?node-id=52070-446864</t>
        </is>
      </c>
      <c r="D16" s="28" t="inlineStr">
        <is>
          <t>Yes</t>
        </is>
      </c>
      <c r="E16" s="28" t="inlineStr">
        <is>
          <t>Yes</t>
        </is>
      </c>
      <c r="F16" s="28" t="inlineStr">
        <is>
          <t>Compared</t>
        </is>
      </c>
      <c r="G16" s="28" t="n">
        <v>0</v>
      </c>
      <c r="H16" s="28" t="n"/>
    </row>
    <row r="17">
      <c r="A17" s="28" t="inlineStr">
        <is>
          <t>Admin - Feedback</t>
        </is>
      </c>
      <c r="B17" s="28" t="inlineStr">
        <is>
          <t>Admin</t>
        </is>
      </c>
      <c r="C17" s="28" t="inlineStr">
        <is>
          <t>https://www.figma.com/design/evmNmlK8g4VYwJVu2FwSGV/MoSJE-Portal--Handoff-?node-id=52070-447521</t>
        </is>
      </c>
      <c r="D17" s="28" t="inlineStr">
        <is>
          <t>Yes</t>
        </is>
      </c>
      <c r="E17" s="28" t="inlineStr">
        <is>
          <t>Yes</t>
        </is>
      </c>
      <c r="F17" s="28" t="inlineStr">
        <is>
          <t>Compared</t>
        </is>
      </c>
      <c r="G17" s="28" t="n">
        <v>0</v>
      </c>
      <c r="H17" s="28" t="n"/>
    </row>
    <row r="18">
      <c r="A18" s="28" t="inlineStr">
        <is>
          <t>Admin - General Feedback</t>
        </is>
      </c>
      <c r="B18" s="28" t="inlineStr">
        <is>
          <t>Admin</t>
        </is>
      </c>
      <c r="C18" s="28" t="inlineStr">
        <is>
          <t>https://www.figma.com/design/evmNmlK8g4VYwJVu2FwSGV/MoSJE-Portal--Handoff-?node-id=52071-129865</t>
        </is>
      </c>
      <c r="D18" s="28" t="inlineStr">
        <is>
          <t>Yes</t>
        </is>
      </c>
      <c r="E18" s="28" t="inlineStr">
        <is>
          <t>Yes</t>
        </is>
      </c>
      <c r="F18" s="28" t="inlineStr">
        <is>
          <t>Compared</t>
        </is>
      </c>
      <c r="G18" s="28" t="n">
        <v>0</v>
      </c>
      <c r="H18" s="28" t="n"/>
    </row>
    <row r="19">
      <c r="A19" s="28" t="inlineStr">
        <is>
          <t>Admin - Important Documents</t>
        </is>
      </c>
      <c r="B19" s="28" t="inlineStr">
        <is>
          <t>Admin</t>
        </is>
      </c>
      <c r="C19" s="28" t="inlineStr">
        <is>
          <t>https://www.figma.com/design/evmNmlK8g4VYwJVu2FwSGV/MoSJE-Portal--Handoff-?node-id=52070-443098</t>
        </is>
      </c>
      <c r="D19" s="28" t="inlineStr">
        <is>
          <t>Yes</t>
        </is>
      </c>
      <c r="E19" s="28" t="inlineStr">
        <is>
          <t>Yes</t>
        </is>
      </c>
      <c r="F19" s="28" t="inlineStr">
        <is>
          <t>Compared</t>
        </is>
      </c>
      <c r="G19" s="28" t="n">
        <v>2</v>
      </c>
      <c r="H19" s="28" t="n"/>
    </row>
    <row r="20">
      <c r="A20" s="28" t="inlineStr">
        <is>
          <t>Admin - Ministries Dashboard</t>
        </is>
      </c>
      <c r="B20" s="28" t="inlineStr">
        <is>
          <t>Admin</t>
        </is>
      </c>
      <c r="C20" s="28" t="inlineStr">
        <is>
          <t>https://www.figma.com/design/evmNmlK8g4VYwJVu2FwSGV/MoSJE-Portal--Handoff-?node-id=52051-161871</t>
        </is>
      </c>
      <c r="D20" s="28" t="inlineStr">
        <is>
          <t>Yes</t>
        </is>
      </c>
      <c r="E20" s="28" t="inlineStr">
        <is>
          <t>Yes</t>
        </is>
      </c>
      <c r="F20" s="28" t="inlineStr">
        <is>
          <t>Compared</t>
        </is>
      </c>
      <c r="G20" s="28" t="n">
        <v>0</v>
      </c>
      <c r="H20" s="28" t="n"/>
    </row>
    <row r="21">
      <c r="A21" s="28" t="inlineStr">
        <is>
          <t>Admin - Napddr / Block Committee</t>
        </is>
      </c>
      <c r="B21" s="28" t="inlineStr">
        <is>
          <t>Admin</t>
        </is>
      </c>
      <c r="C21" s="28" t="inlineStr">
        <is>
          <t>https://www.figma.com/design/evmNmlK8g4VYwJVu2FwSGV/MoSJE-Portal--Handoff-?node-id=52095-138163</t>
        </is>
      </c>
      <c r="D21" s="28" t="inlineStr">
        <is>
          <t>Yes</t>
        </is>
      </c>
      <c r="E21" s="28" t="inlineStr">
        <is>
          <t>Yes</t>
        </is>
      </c>
      <c r="F21" s="28" t="inlineStr">
        <is>
          <t>Compared</t>
        </is>
      </c>
      <c r="G21" s="28" t="n">
        <v>0</v>
      </c>
      <c r="H21" s="28" t="n"/>
    </row>
    <row r="22">
      <c r="A22" s="28" t="inlineStr">
        <is>
          <t>Admin - Napddr / Committee Reports</t>
        </is>
      </c>
      <c r="B22" s="28" t="inlineStr">
        <is>
          <t>Admin</t>
        </is>
      </c>
      <c r="C22" s="28" t="inlineStr">
        <is>
          <t>https://www.figma.com/design/evmNmlK8g4VYwJVu2FwSGV/MoSJE-Portal--Handoff-?node-id=52095-142880</t>
        </is>
      </c>
      <c r="D22" s="28" t="inlineStr">
        <is>
          <t>Yes</t>
        </is>
      </c>
      <c r="E22" s="28" t="inlineStr">
        <is>
          <t>Yes</t>
        </is>
      </c>
      <c r="F22" s="28" t="inlineStr">
        <is>
          <t>Compared</t>
        </is>
      </c>
      <c r="G22" s="28" t="n">
        <v>0</v>
      </c>
      <c r="H22" s="28" t="n"/>
    </row>
    <row r="23">
      <c r="A23" s="28" t="inlineStr">
        <is>
          <t>Admin - Napddr / District Committee</t>
        </is>
      </c>
      <c r="B23" s="28" t="inlineStr">
        <is>
          <t>Admin</t>
        </is>
      </c>
      <c r="C23" s="28" t="inlineStr">
        <is>
          <t>https://www.figma.com/design/evmNmlK8g4VYwJVu2FwSGV/MoSJE-Portal--Handoff-?node-id=52095-135422</t>
        </is>
      </c>
      <c r="D23" s="28" t="inlineStr">
        <is>
          <t>Yes</t>
        </is>
      </c>
      <c r="E23" s="28" t="inlineStr">
        <is>
          <t>Yes</t>
        </is>
      </c>
      <c r="F23" s="28" t="inlineStr">
        <is>
          <t>Compared</t>
        </is>
      </c>
      <c r="G23" s="28" t="n">
        <v>0</v>
      </c>
      <c r="H23" s="28" t="n"/>
    </row>
    <row r="24">
      <c r="A24" s="28" t="inlineStr">
        <is>
          <t>Admin - Napddr / State Committee</t>
        </is>
      </c>
      <c r="B24" s="28" t="inlineStr">
        <is>
          <t>Admin</t>
        </is>
      </c>
      <c r="C24" s="28" t="inlineStr">
        <is>
          <t>https://www.figma.com/design/evmNmlK8g4VYwJVu2FwSGV/MoSJE-Portal--Handoff-?node-id=52092-136433</t>
        </is>
      </c>
      <c r="D24" s="28" t="inlineStr">
        <is>
          <t>Yes</t>
        </is>
      </c>
      <c r="E24" s="28" t="inlineStr">
        <is>
          <t>Yes</t>
        </is>
      </c>
      <c r="F24" s="28" t="inlineStr">
        <is>
          <t>Compared</t>
        </is>
      </c>
      <c r="G24" s="28" t="n">
        <v>1</v>
      </c>
      <c r="H24" s="28" t="n"/>
    </row>
    <row r="25">
      <c r="A25" s="28" t="inlineStr">
        <is>
          <t>Admin - Nasha Mukti Mitr</t>
        </is>
      </c>
      <c r="B25" s="28" t="inlineStr">
        <is>
          <t>Admin</t>
        </is>
      </c>
      <c r="C25" s="28" t="inlineStr">
        <is>
          <t>https://www.figma.com/design/evmNmlK8g4VYwJVu2FwSGV/MoSJE-Portal--Handoff-?node-id=52073-131257</t>
        </is>
      </c>
      <c r="D25" s="28" t="inlineStr">
        <is>
          <t>Yes</t>
        </is>
      </c>
      <c r="E25" s="28" t="inlineStr">
        <is>
          <t>Yes</t>
        </is>
      </c>
      <c r="F25" s="28" t="inlineStr">
        <is>
          <t>Compared</t>
        </is>
      </c>
      <c r="G25" s="28" t="n">
        <v>0</v>
      </c>
      <c r="H25" s="28" t="n"/>
    </row>
    <row r="26">
      <c r="A26" s="28" t="inlineStr">
        <is>
          <t>Admin - Pledge Reports</t>
        </is>
      </c>
      <c r="B26" s="28" t="inlineStr">
        <is>
          <t>Admin</t>
        </is>
      </c>
      <c r="C26" s="28" t="inlineStr">
        <is>
          <t>https://www.figma.com/design/evmNmlK8g4VYwJVu2FwSGV/MoSJE-Portal--Handoff-?node-id=52067-128958</t>
        </is>
      </c>
      <c r="D26" s="28" t="inlineStr">
        <is>
          <t>Yes</t>
        </is>
      </c>
      <c r="E26" s="28" t="inlineStr">
        <is>
          <t>Yes</t>
        </is>
      </c>
      <c r="F26" s="28" t="inlineStr">
        <is>
          <t>Compared</t>
        </is>
      </c>
      <c r="G26" s="28" t="n">
        <v>0</v>
      </c>
      <c r="H26" s="28" t="n"/>
    </row>
    <row r="27">
      <c r="A27" s="28" t="inlineStr">
        <is>
          <t>Admin - Pre Event Details</t>
        </is>
      </c>
      <c r="B27" s="28" t="inlineStr">
        <is>
          <t>Admin</t>
        </is>
      </c>
      <c r="C27" s="28" t="n"/>
      <c r="D27" s="28" t="inlineStr">
        <is>
          <t>No</t>
        </is>
      </c>
      <c r="E27" s="28" t="inlineStr">
        <is>
          <t>Yes</t>
        </is>
      </c>
      <c r="F27" s="28" t="inlineStr">
        <is>
          <t>Vs. visual language</t>
        </is>
      </c>
      <c r="G27" s="28" t="n">
        <v>0</v>
      </c>
      <c r="H27" s="28" t="inlineStr">
        <is>
          <t>No Figma frame for this route; audited against the visual language.</t>
        </is>
      </c>
    </row>
    <row r="28">
      <c r="A28" s="28" t="inlineStr">
        <is>
          <t>Admin - Rural Development Events</t>
        </is>
      </c>
      <c r="B28" s="28" t="inlineStr">
        <is>
          <t>Admin</t>
        </is>
      </c>
      <c r="C28" s="28" t="n"/>
      <c r="D28" s="28" t="inlineStr">
        <is>
          <t>No</t>
        </is>
      </c>
      <c r="E28" s="28" t="inlineStr">
        <is>
          <t>Yes</t>
        </is>
      </c>
      <c r="F28" s="28" t="inlineStr">
        <is>
          <t>Vs. visual language</t>
        </is>
      </c>
      <c r="G28" s="28" t="n">
        <v>0</v>
      </c>
      <c r="H28" s="28" t="inlineStr">
        <is>
          <t>No Figma frame for this route; audited against the visual language.</t>
        </is>
      </c>
    </row>
    <row r="29">
      <c r="A29" s="28" t="inlineStr">
        <is>
          <t>Admin - State District Dashboard</t>
        </is>
      </c>
      <c r="B29" s="28" t="inlineStr">
        <is>
          <t>Admin</t>
        </is>
      </c>
      <c r="C29" s="28" t="inlineStr">
        <is>
          <t>https://www.figma.com/design/evmNmlK8g4VYwJVu2FwSGV/MoSJE-Portal--Handoff-?node-id=52061-122466</t>
        </is>
      </c>
      <c r="D29" s="28" t="inlineStr">
        <is>
          <t>Yes</t>
        </is>
      </c>
      <c r="E29" s="28" t="inlineStr">
        <is>
          <t>Yes</t>
        </is>
      </c>
      <c r="F29" s="28" t="inlineStr">
        <is>
          <t>Compared</t>
        </is>
      </c>
      <c r="G29" s="28" t="n">
        <v>0</v>
      </c>
      <c r="H29" s="28" t="n"/>
    </row>
    <row r="30">
      <c r="A30" s="28" t="inlineStr">
        <is>
          <t>Admin - State Nodal Officers List</t>
        </is>
      </c>
      <c r="B30" s="28" t="inlineStr">
        <is>
          <t>Admin</t>
        </is>
      </c>
      <c r="C30" s="28" t="inlineStr">
        <is>
          <t>https://www.figma.com/design/evmNmlK8g4VYwJVu2FwSGV/MoSJE-Portal--Handoff-?node-id=52070-446082</t>
        </is>
      </c>
      <c r="D30" s="28" t="inlineStr">
        <is>
          <t>Yes</t>
        </is>
      </c>
      <c r="E30" s="28" t="inlineStr">
        <is>
          <t>Yes</t>
        </is>
      </c>
      <c r="F30" s="28" t="inlineStr">
        <is>
          <t>Compared</t>
        </is>
      </c>
      <c r="G30" s="28" t="n">
        <v>0</v>
      </c>
      <c r="H30" s="28" t="n"/>
    </row>
    <row r="31">
      <c r="A31" s="28" t="inlineStr">
        <is>
          <t>Admin - User Management</t>
        </is>
      </c>
      <c r="B31" s="28" t="inlineStr">
        <is>
          <t>Admin</t>
        </is>
      </c>
      <c r="C31" s="28" t="inlineStr">
        <is>
          <t>https://www.figma.com/design/evmNmlK8g4VYwJVu2FwSGV/MoSJE-Portal--Handoff-?node-id=52061-126900</t>
        </is>
      </c>
      <c r="D31" s="28" t="inlineStr">
        <is>
          <t>Yes</t>
        </is>
      </c>
      <c r="E31" s="28" t="inlineStr">
        <is>
          <t>Yes</t>
        </is>
      </c>
      <c r="F31" s="28" t="inlineStr">
        <is>
          <t>Compared</t>
        </is>
      </c>
      <c r="G31" s="28" t="n">
        <v>1</v>
      </c>
      <c r="H31" s="28" t="n"/>
    </row>
    <row r="32">
      <c r="A32" s="28" t="inlineStr">
        <is>
          <t>State Nodal Officer - About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Best Practices</t>
        </is>
      </c>
      <c r="B33" s="28" t="inlineStr">
        <is>
          <t>State Nodal Officer</t>
        </is>
      </c>
      <c r="C33" s="28" t="inlineStr">
        <is>
          <t>https://www.figma.com/design/evmNmlK8g4VYwJVu2FwSGV/MoSJE-Portal--Handoff-?node-id=52042-164934</t>
        </is>
      </c>
      <c r="D33" s="28" t="inlineStr">
        <is>
          <t>Yes</t>
        </is>
      </c>
      <c r="E33" s="28" t="inlineStr">
        <is>
          <t>Yes</t>
        </is>
      </c>
      <c r="F33" s="28" t="inlineStr">
        <is>
          <t>Compared</t>
        </is>
      </c>
      <c r="G33" s="28" t="n">
        <v>0</v>
      </c>
      <c r="H33" s="28" t="n"/>
    </row>
    <row r="34">
      <c r="A34" s="28" t="inlineStr">
        <is>
          <t>State Nodal Officer - Contact Us</t>
        </is>
      </c>
      <c r="B34" s="28" t="inlineStr">
        <is>
          <t>State Nodal Officer</t>
        </is>
      </c>
      <c r="C34" s="28" t="n"/>
      <c r="D34" s="28" t="inlineStr">
        <is>
          <t>No</t>
        </is>
      </c>
      <c r="E34" s="28" t="inlineStr">
        <is>
          <t>Yes</t>
        </is>
      </c>
      <c r="F34" s="28" t="inlineStr">
        <is>
          <t>Vs. visual language</t>
        </is>
      </c>
      <c r="G34" s="28" t="n">
        <v>0</v>
      </c>
      <c r="H34" s="28" t="inlineStr">
        <is>
          <t>No Figma frame for this route; audited against the visual language.</t>
        </is>
      </c>
    </row>
    <row r="35">
      <c r="A35" s="28" t="inlineStr">
        <is>
          <t>State Nodal Officer - Dashboard</t>
        </is>
      </c>
      <c r="B35" s="28" t="inlineStr">
        <is>
          <t>State Nodal Officer</t>
        </is>
      </c>
      <c r="C35" s="28" t="inlineStr">
        <is>
          <t>https://www.figma.com/design/evmNmlK8g4VYwJVu2FwSGV/MoSJE-Portal--Handoff-?node-id=2309-14405</t>
        </is>
      </c>
      <c r="D35" s="28" t="inlineStr">
        <is>
          <t>Yes</t>
        </is>
      </c>
      <c r="E35" s="28" t="inlineStr">
        <is>
          <t>Yes</t>
        </is>
      </c>
      <c r="F35" s="28" t="inlineStr">
        <is>
          <t>Compared</t>
        </is>
      </c>
      <c r="G35" s="28" t="n">
        <v>1</v>
      </c>
      <c r="H35" s="28" t="n"/>
    </row>
    <row r="36">
      <c r="A36" s="28" t="inlineStr">
        <is>
          <t>State Nodal Officer - Feedback</t>
        </is>
      </c>
      <c r="B36" s="28" t="inlineStr">
        <is>
          <t>State Nodal Officer</t>
        </is>
      </c>
      <c r="C36" s="28" t="inlineStr">
        <is>
          <t>https://www.figma.com/design/evmNmlK8g4VYwJVu2FwSGV/MoSJE-Portal--Handoff-?node-id=52040-162783</t>
        </is>
      </c>
      <c r="D36" s="28" t="inlineStr">
        <is>
          <t>Yes</t>
        </is>
      </c>
      <c r="E36" s="28" t="inlineStr">
        <is>
          <t>Yes</t>
        </is>
      </c>
      <c r="F36" s="28" t="inlineStr">
        <is>
          <t>Compared</t>
        </is>
      </c>
      <c r="G36" s="28" t="n">
        <v>0</v>
      </c>
      <c r="H36" s="28" t="n"/>
    </row>
    <row r="37">
      <c r="A37" s="28" t="inlineStr">
        <is>
          <t>State Nodal Officer - Important Documents</t>
        </is>
      </c>
      <c r="B37" s="28" t="inlineStr">
        <is>
          <t>State Nodal Officer</t>
        </is>
      </c>
      <c r="C37" s="28" t="inlineStr">
        <is>
          <t>https://www.figma.com/design/evmNmlK8g4VYwJVu2FwSGV/MoSJE-Portal--Handoff-?node-id=2309-14652</t>
        </is>
      </c>
      <c r="D37" s="28" t="inlineStr">
        <is>
          <t>Yes</t>
        </is>
      </c>
      <c r="E37" s="28" t="inlineStr">
        <is>
          <t>Yes</t>
        </is>
      </c>
      <c r="F37" s="28" t="inlineStr">
        <is>
          <t>Compared</t>
        </is>
      </c>
      <c r="G37" s="28" t="n">
        <v>0</v>
      </c>
      <c r="H37" s="28" t="n"/>
    </row>
    <row r="38">
      <c r="A38" s="28" t="inlineStr">
        <is>
          <t>State Nodal Officer - Napddr / Committee Reports</t>
        </is>
      </c>
      <c r="B38" s="28" t="inlineStr">
        <is>
          <t>State Nodal Officer</t>
        </is>
      </c>
      <c r="C38" s="28" t="inlineStr">
        <is>
          <t>https://www.figma.com/design/evmNmlK8g4VYwJVu2FwSGV/MoSJE-Portal--Handoff-?node-id=10957-117218</t>
        </is>
      </c>
      <c r="D38" s="28" t="inlineStr">
        <is>
          <t>Yes</t>
        </is>
      </c>
      <c r="E38" s="28" t="inlineStr">
        <is>
          <t>Yes</t>
        </is>
      </c>
      <c r="F38" s="28" t="inlineStr">
        <is>
          <t>Compared</t>
        </is>
      </c>
      <c r="G38" s="28" t="n">
        <v>0</v>
      </c>
      <c r="H38" s="28" t="n"/>
    </row>
    <row r="39">
      <c r="A39" s="28" t="inlineStr">
        <is>
          <t>State Nodal Officer - Napddr / State Committee</t>
        </is>
      </c>
      <c r="B39" s="28" t="inlineStr">
        <is>
          <t>State Nodal Officer</t>
        </is>
      </c>
      <c r="C39" s="28" t="inlineStr">
        <is>
          <t>https://www.figma.com/design/evmNmlK8g4VYwJVu2FwSGV/MoSJE-Portal--Handoff-?node-id=10957-116095</t>
        </is>
      </c>
      <c r="D39" s="28" t="inlineStr">
        <is>
          <t>Yes</t>
        </is>
      </c>
      <c r="E39" s="28" t="inlineStr">
        <is>
          <t>Yes</t>
        </is>
      </c>
      <c r="F39" s="28" t="inlineStr">
        <is>
          <t>Compared</t>
        </is>
      </c>
      <c r="G39" s="28" t="n">
        <v>0</v>
      </c>
      <c r="H39" s="28" t="n"/>
    </row>
    <row r="40">
      <c r="A40" s="28" t="inlineStr">
        <is>
          <t>State Nodal Officer - Nasha Mukti Mitr</t>
        </is>
      </c>
      <c r="B40" s="28" t="inlineStr">
        <is>
          <t>State Nodal Officer</t>
        </is>
      </c>
      <c r="C40" s="28" t="n"/>
      <c r="D40" s="28" t="inlineStr">
        <is>
          <t>No</t>
        </is>
      </c>
      <c r="E40" s="28" t="inlineStr">
        <is>
          <t>Yes</t>
        </is>
      </c>
      <c r="F40" s="28" t="inlineStr">
        <is>
          <t>Vs. visual language</t>
        </is>
      </c>
      <c r="G40" s="28" t="n">
        <v>0</v>
      </c>
      <c r="H40" s="28" t="inlineStr">
        <is>
          <t>No Figma frame for this route; audited against the visual language.</t>
        </is>
      </c>
    </row>
    <row r="41">
      <c r="A41" s="28" t="inlineStr">
        <is>
          <t>State Nodal Officer - State District Dashboard</t>
        </is>
      </c>
      <c r="B41" s="28" t="inlineStr">
        <is>
          <t>State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State Nodal Officer - State Nodal Officers List</t>
        </is>
      </c>
      <c r="B42" s="28" t="inlineStr">
        <is>
          <t>State Nodal Officer</t>
        </is>
      </c>
      <c r="C42" s="28" t="inlineStr">
        <is>
          <t>https://www.figma.com/design/evmNmlK8g4VYwJVu2FwSGV/MoSJE-Portal--Handoff-?node-id=52030-162137</t>
        </is>
      </c>
      <c r="D42" s="28" t="inlineStr">
        <is>
          <t>Yes</t>
        </is>
      </c>
      <c r="E42" s="28" t="inlineStr">
        <is>
          <t>Yes</t>
        </is>
      </c>
      <c r="F42" s="28" t="inlineStr">
        <is>
          <t>Compared</t>
        </is>
      </c>
      <c r="G42" s="28" t="n">
        <v>0</v>
      </c>
      <c r="H42" s="28" t="n"/>
    </row>
    <row r="43">
      <c r="A43" s="28" t="inlineStr">
        <is>
          <t>District Nodal Officer - About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Best Practices</t>
        </is>
      </c>
      <c r="B44" s="28" t="inlineStr">
        <is>
          <t>District Nodal Officer</t>
        </is>
      </c>
      <c r="C44" s="28" t="inlineStr">
        <is>
          <t>https://www.figma.com/design/evmNmlK8g4VYwJVu2FwSGV/MoSJE-Portal--Handoff-?node-id=51957-332005</t>
        </is>
      </c>
      <c r="D44" s="28" t="inlineStr">
        <is>
          <t>Yes</t>
        </is>
      </c>
      <c r="E44" s="28" t="inlineStr">
        <is>
          <t>Yes</t>
        </is>
      </c>
      <c r="F44" s="28" t="inlineStr">
        <is>
          <t>Compared</t>
        </is>
      </c>
      <c r="G44" s="28" t="n">
        <v>0</v>
      </c>
      <c r="H44" s="28" t="n"/>
    </row>
    <row r="45">
      <c r="A45" s="28" t="inlineStr">
        <is>
          <t>District Nodal Officer - Contact Us</t>
        </is>
      </c>
      <c r="B45" s="28" t="inlineStr">
        <is>
          <t>District Nodal Officer</t>
        </is>
      </c>
      <c r="C45" s="28" t="n"/>
      <c r="D45" s="28" t="inlineStr">
        <is>
          <t>No</t>
        </is>
      </c>
      <c r="E45" s="28" t="inlineStr">
        <is>
          <t>Yes</t>
        </is>
      </c>
      <c r="F45" s="28" t="inlineStr">
        <is>
          <t>Vs. visual language</t>
        </is>
      </c>
      <c r="G45" s="28" t="n">
        <v>0</v>
      </c>
      <c r="H45" s="28" t="inlineStr">
        <is>
          <t>No Figma frame for this route; audited against the visual language.</t>
        </is>
      </c>
    </row>
    <row r="46">
      <c r="A46" s="28" t="inlineStr">
        <is>
          <t>District Nodal Officer - Dashboard</t>
        </is>
      </c>
      <c r="B46" s="28" t="inlineStr">
        <is>
          <t>District Nodal Officer</t>
        </is>
      </c>
      <c r="C46" s="28" t="inlineStr">
        <is>
          <t>https://www.figma.com/design/evmNmlK8g4VYwJVu2FwSGV/MoSJE-Portal--Handoff-?node-id=2306-13219</t>
        </is>
      </c>
      <c r="D46" s="28" t="inlineStr">
        <is>
          <t>Yes</t>
        </is>
      </c>
      <c r="E46" s="28" t="inlineStr">
        <is>
          <t>Yes</t>
        </is>
      </c>
      <c r="F46" s="28" t="inlineStr">
        <is>
          <t>Compared</t>
        </is>
      </c>
      <c r="G46" s="28" t="n">
        <v>0</v>
      </c>
      <c r="H46" s="28" t="n"/>
    </row>
    <row r="47">
      <c r="A47" s="28" t="inlineStr">
        <is>
          <t>District Nodal Officer - District Nodal Officers List</t>
        </is>
      </c>
      <c r="B47" s="28" t="inlineStr">
        <is>
          <t>District Nodal Officer</t>
        </is>
      </c>
      <c r="C47" s="28" t="inlineStr">
        <is>
          <t>https://www.figma.com/design/evmNmlK8g4VYwJVu2FwSGV/MoSJE-Portal--Handoff-?node-id=2309-20334</t>
        </is>
      </c>
      <c r="D47" s="28" t="inlineStr">
        <is>
          <t>Yes</t>
        </is>
      </c>
      <c r="E47" s="28" t="inlineStr">
        <is>
          <t>Yes</t>
        </is>
      </c>
      <c r="F47" s="28" t="inlineStr">
        <is>
          <t>Compared</t>
        </is>
      </c>
      <c r="G47" s="28" t="n">
        <v>0</v>
      </c>
      <c r="H47" s="28" t="n"/>
    </row>
    <row r="48">
      <c r="A48" s="28" t="inlineStr">
        <is>
          <t>District Nodal Officer - Feedback</t>
        </is>
      </c>
      <c r="B48" s="28" t="inlineStr">
        <is>
          <t>District Nodal Officer</t>
        </is>
      </c>
      <c r="C48" s="28" t="inlineStr">
        <is>
          <t>https://www.figma.com/design/evmNmlK8g4VYwJVu2FwSGV/MoSJE-Portal--Handoff-?node-id=51957-330252</t>
        </is>
      </c>
      <c r="D48" s="28" t="inlineStr">
        <is>
          <t>Yes</t>
        </is>
      </c>
      <c r="E48" s="28" t="inlineStr">
        <is>
          <t>Yes</t>
        </is>
      </c>
      <c r="F48" s="28" t="inlineStr">
        <is>
          <t>Compared</t>
        </is>
      </c>
      <c r="G48" s="28" t="n">
        <v>0</v>
      </c>
      <c r="H48" s="28" t="n"/>
    </row>
    <row r="49">
      <c r="A49" s="28" t="inlineStr">
        <is>
          <t>District Nodal Officer - Important Documents</t>
        </is>
      </c>
      <c r="B49" s="28" t="inlineStr">
        <is>
          <t>District Nodal Officer</t>
        </is>
      </c>
      <c r="C49" s="28" t="inlineStr">
        <is>
          <t>https://www.figma.com/design/evmNmlK8g4VYwJVu2FwSGV/MoSJE-Portal--Handoff-?node-id=2306-13466</t>
        </is>
      </c>
      <c r="D49" s="28" t="inlineStr">
        <is>
          <t>Yes</t>
        </is>
      </c>
      <c r="E49" s="28" t="inlineStr">
        <is>
          <t>Yes</t>
        </is>
      </c>
      <c r="F49" s="28" t="inlineStr">
        <is>
          <t>Compared</t>
        </is>
      </c>
      <c r="G49" s="28" t="n">
        <v>0</v>
      </c>
      <c r="H49" s="28" t="n"/>
    </row>
    <row r="50">
      <c r="A50" s="28" t="inlineStr">
        <is>
          <t>District Nodal Officer - Napddr / Committee Reports</t>
        </is>
      </c>
      <c r="B50" s="28" t="inlineStr">
        <is>
          <t>District Nodal Officer</t>
        </is>
      </c>
      <c r="C50" s="28" t="inlineStr">
        <is>
          <t>https://www.figma.com/design/evmNmlK8g4VYwJVu2FwSGV/MoSJE-Portal--Handoff-?node-id=10955-116683</t>
        </is>
      </c>
      <c r="D50" s="28" t="inlineStr">
        <is>
          <t>Yes</t>
        </is>
      </c>
      <c r="E50" s="28" t="inlineStr">
        <is>
          <t>Yes</t>
        </is>
      </c>
      <c r="F50" s="28" t="inlineStr">
        <is>
          <t>Compared</t>
        </is>
      </c>
      <c r="G50" s="28" t="n">
        <v>0</v>
      </c>
      <c r="H50" s="28" t="n"/>
    </row>
    <row r="51">
      <c r="A51" s="28" t="inlineStr">
        <is>
          <t>District Nodal Officer - Napddr / District Committee</t>
        </is>
      </c>
      <c r="B51" s="28" t="inlineStr">
        <is>
          <t>District Nodal Officer</t>
        </is>
      </c>
      <c r="C51" s="28" t="inlineStr">
        <is>
          <t>https://www.figma.com/design/evmNmlK8g4VYwJVu2FwSGV/MoSJE-Portal--Handoff-?node-id=10955-116113</t>
        </is>
      </c>
      <c r="D51" s="28" t="inlineStr">
        <is>
          <t>Yes</t>
        </is>
      </c>
      <c r="E51" s="28" t="inlineStr">
        <is>
          <t>Yes</t>
        </is>
      </c>
      <c r="F51" s="28" t="inlineStr">
        <is>
          <t>Compared</t>
        </is>
      </c>
      <c r="G51" s="28" t="n">
        <v>0</v>
      </c>
      <c r="H51" s="28" t="n"/>
    </row>
    <row r="52">
      <c r="A52" s="28" t="inlineStr">
        <is>
          <t>District Nodal Officer - Nasha Mukti Mitr</t>
        </is>
      </c>
      <c r="B52" s="28" t="inlineStr">
        <is>
          <t>District Nodal Officer</t>
        </is>
      </c>
      <c r="C52" s="28" t="n"/>
      <c r="D52" s="28" t="inlineStr">
        <is>
          <t>No</t>
        </is>
      </c>
      <c r="E52" s="28" t="inlineStr">
        <is>
          <t>Yes</t>
        </is>
      </c>
      <c r="F52" s="28" t="inlineStr">
        <is>
          <t>Vs. visual language</t>
        </is>
      </c>
      <c r="G52" s="28" t="n">
        <v>0</v>
      </c>
      <c r="H52" s="28" t="inlineStr">
        <is>
          <t>No Figma frame for this route; audited against the visual language.</t>
        </is>
      </c>
    </row>
    <row r="53">
      <c r="A53" s="28" t="inlineStr">
        <is>
          <t>District Nodal Officer - State District Dashboard</t>
        </is>
      </c>
      <c r="B53" s="28" t="inlineStr">
        <is>
          <t>District Nodal Officer</t>
        </is>
      </c>
      <c r="C53" s="28" t="n"/>
      <c r="D53" s="28" t="inlineStr">
        <is>
          <t>No</t>
        </is>
      </c>
      <c r="E53" s="28" t="inlineStr">
        <is>
          <t>Yes</t>
        </is>
      </c>
      <c r="F53" s="28" t="inlineStr">
        <is>
          <t>Vs. visual language</t>
        </is>
      </c>
      <c r="G53" s="28" t="n">
        <v>0</v>
      </c>
      <c r="H53" s="28" t="inlineStr">
        <is>
          <t>No Figma frame for this route; audited against the visual language.</t>
        </is>
      </c>
    </row>
    <row r="54">
      <c r="A54" s="28" t="inlineStr">
        <is>
          <t>Design-only frames (states, wizards, detail views)</t>
        </is>
      </c>
      <c r="B54" s="28" t="inlineStr">
        <is>
          <t>all</t>
        </is>
      </c>
      <c r="C54" s="28" t="n"/>
      <c r="D54" s="28" t="inlineStr">
        <is>
          <t>Yes</t>
        </is>
      </c>
      <c r="E54" s="28" t="inlineStr">
        <is>
          <t>No</t>
        </is>
      </c>
      <c r="F54" s="28" t="inlineStr">
        <is>
          <t>Not built on dev</t>
        </is>
      </c>
      <c r="G54" s="28" t="n">
        <v>0</v>
      </c>
      <c r="H54" s="28" t="inlineStr">
        <is>
          <t>67 frames are designed but have no build on dev — form wizards, edit/detail states, register flows and the two further sign-in states. Declared coverage debt, not a miss.</t>
        </is>
      </c>
    </row>
    <row r="55">
      <c r="A55" s="28" t="inlineStr">
        <is>
          <t>Role — CPLI</t>
        </is>
      </c>
      <c r="B55" s="28" t="inlineStr">
        <is>
          <t>CPLI</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ODIC</t>
        </is>
      </c>
      <c r="B56" s="28" t="inlineStr">
        <is>
          <t>ODIC</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DDAC</t>
        </is>
      </c>
      <c r="B57" s="28" t="inlineStr">
        <is>
          <t>DDAC</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USDP</t>
        </is>
      </c>
      <c r="B58" s="28" t="inlineStr">
        <is>
          <t>USDP</t>
        </is>
      </c>
      <c r="C58" s="28" t="n"/>
      <c r="D58" s="28" t="inlineStr">
        <is>
          <t>Yes</t>
        </is>
      </c>
      <c r="E58" s="28" t="inlineStr">
        <is>
          <t>Yes</t>
        </is>
      </c>
      <c r="F58" s="28" t="inlineStr">
        <is>
          <t>Out of scope this pass</t>
        </is>
      </c>
      <c r="G58" s="28" t="n">
        <v>0</v>
      </c>
      <c r="H58" s="28" t="inlineStr">
        <is>
          <t>Working dev credentials exist and the design page carries a section for this role. Deferred by decision for this run; ready to run as-is.</t>
        </is>
      </c>
    </row>
    <row r="59">
      <c r="A59" s="28" t="inlineStr">
        <is>
          <t>Role — Line Ministry</t>
        </is>
      </c>
      <c r="B59" s="28" t="inlineStr">
        <is>
          <t>Line Ministry</t>
        </is>
      </c>
      <c r="C59" s="28" t="n"/>
      <c r="D59" s="28" t="inlineStr">
        <is>
          <t>Yes</t>
        </is>
      </c>
      <c r="E59" s="28" t="inlineStr">
        <is>
          <t>Yes</t>
        </is>
      </c>
      <c r="F59" s="28" t="inlineStr">
        <is>
          <t>Out of scope this pass</t>
        </is>
      </c>
      <c r="G59" s="28" t="n">
        <v>0</v>
      </c>
      <c r="H59" s="28" t="inlineStr">
        <is>
          <t>Working dev credentials exist and the design page carries a section for this role. Deferred by decision for this run; ready to run as-is.</t>
        </is>
      </c>
    </row>
    <row r="60">
      <c r="A60" s="28" t="inlineStr">
        <is>
          <t>Role — MV / Institutions</t>
        </is>
      </c>
      <c r="B60" s="28" t="inlineStr">
        <is>
          <t>MV/Institutions</t>
        </is>
      </c>
      <c r="C60" s="28" t="n"/>
      <c r="D60" s="28" t="inlineStr">
        <is>
          <t>Yes</t>
        </is>
      </c>
      <c r="E60" s="28" t="inlineStr">
        <is>
          <t>Unknown</t>
        </is>
      </c>
      <c r="F60" s="28" t="inlineStr">
        <is>
          <t>Not reachable</t>
        </is>
      </c>
      <c r="G60" s="28" t="n">
        <v>0</v>
      </c>
      <c r="H60" s="28" t="inlineStr">
        <is>
          <t>11 design frames, but the credentials sheet lists no login for this role.</t>
        </is>
      </c>
    </row>
    <row r="61">
      <c r="A61" s="28" t="inlineStr">
        <is>
          <t>Citizen Helpline screen</t>
        </is>
      </c>
      <c r="B61" s="28" t="inlineStr">
        <is>
          <t>all</t>
        </is>
      </c>
      <c r="C61" s="28" t="n"/>
      <c r="D61" s="28" t="inlineStr">
        <is>
          <t>Yes</t>
        </is>
      </c>
      <c r="E61" s="28" t="inlineStr">
        <is>
          <t>No</t>
        </is>
      </c>
      <c r="F61" s="28" t="inlineStr">
        <is>
          <t>Not audited</t>
        </is>
      </c>
      <c r="G61" s="28" t="n">
        <v>0</v>
      </c>
      <c r="H61" s="28" t="inlineStr">
        <is>
          <t>Designed (National De-Addiction Helpline 14446 plus call statistics). Re-checked 2026-09-11: still no /helpline route on the citizen build — the sidebar slot the design gives Helpline is occupied by 'Feedback / Grievances'.</t>
        </is>
      </c>
    </row>
    <row r="62">
      <c r="A62" s="28" t="inlineStr">
        <is>
          <t>e-Pledge OTP and certificate states</t>
        </is>
      </c>
      <c r="B62" s="28" t="inlineStr">
        <is>
          <t>all</t>
        </is>
      </c>
      <c r="C62" s="28" t="n"/>
      <c r="D62" s="28" t="inlineStr">
        <is>
          <t>Yes</t>
        </is>
      </c>
      <c r="E62" s="28" t="inlineStr">
        <is>
          <t>No</t>
        </is>
      </c>
      <c r="F62" s="28" t="inlineStr">
        <is>
          <t>Not audited</t>
        </is>
      </c>
      <c r="G62" s="28" t="n">
        <v>0</v>
      </c>
      <c r="H62" s="28" t="inlineStr">
        <is>
          <t>OTP-gated. A real OTP is never fired on dev, so the flow is captured up to the wall and the states beyond it are not audited.</t>
        </is>
      </c>
    </row>
    <row r="63">
      <c r="A63" s="28" t="inlineStr">
        <is>
          <t>Row-level detail views and committee record states</t>
        </is>
      </c>
      <c r="B63" s="28" t="inlineStr">
        <is>
          <t>all</t>
        </is>
      </c>
      <c r="C63" s="28" t="n"/>
      <c r="D63" s="28" t="inlineStr">
        <is>
          <t>Yes</t>
        </is>
      </c>
      <c r="E63" s="28" t="inlineStr">
        <is>
          <t>No</t>
        </is>
      </c>
      <c r="F63" s="28" t="inlineStr">
        <is>
          <t>Not audited</t>
        </is>
      </c>
      <c r="G63" s="28" t="n">
        <v>0</v>
      </c>
      <c r="H63" s="28" t="inlineStr">
        <is>
          <t>Re-checked 2026-09-11: the dev database now seeds a few committee rows, but not enough to exercise the record states the design draws.</t>
        </is>
      </c>
    </row>
    <row r="64">
      <c r="A64" s="28" t="inlineStr">
        <is>
          <t>18 August National Pledge Against Drug Abuse Report</t>
        </is>
      </c>
      <c r="B64" s="28" t="inlineStr">
        <is>
          <t>all</t>
        </is>
      </c>
      <c r="C64" s="28" t="n"/>
      <c r="D64" s="28" t="inlineStr">
        <is>
          <t>Yes</t>
        </is>
      </c>
      <c r="E64" s="28" t="inlineStr">
        <is>
          <t>No</t>
        </is>
      </c>
      <c r="F64" s="28" t="inlineStr">
        <is>
          <t>Not audited</t>
        </is>
      </c>
      <c r="G64" s="28" t="n">
        <v>0</v>
      </c>
      <c r="H64" s="28" t="inlineStr">
        <is>
          <t>39 design frames for a reporting flow with no corresponding routes on the dev build.</t>
        </is>
      </c>
    </row>
    <row r="65">
      <c r="A65" s="28" t="inlineStr">
        <is>
          <t>The citizen sidebar ships 'Nasha Mukti Mitr' and 'Feedback / Grievances' where the design shows 'Helpline'</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The e-Pledge screen adds 'General Pledge' / 'Recovered Drug User' tabs the design does not draw</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row r="67">
      <c r="A67" s="28" t="inlineStr">
        <is>
          <t>Admin list screens add State / District / Pledge Date columns beyond the designed column set</t>
        </is>
      </c>
      <c r="B67" s="28" t="inlineStr">
        <is>
          <t>design question</t>
        </is>
      </c>
      <c r="C67" s="28" t="n"/>
      <c r="D67" s="28" t="inlineStr">
        <is>
          <t>No</t>
        </is>
      </c>
      <c r="E67" s="28" t="inlineStr">
        <is>
          <t>Yes</t>
        </is>
      </c>
      <c r="F67" s="28" t="inlineStr">
        <is>
          <t>Build-only addition</t>
        </is>
      </c>
      <c r="G67" s="28" t="n">
        <v>0</v>
      </c>
      <c r="H67" s="28" t="inlineStr">
        <is>
          <t>Present in the build, absent from the design. Not raised as a finding — confirm whether it is intended and, if so, add it to the design.</t>
        </is>
      </c>
    </row>
    <row r="68">
      <c r="A68" s="28" t="inlineStr">
        <is>
          <t>Admin list rows add a file-type icon before the document name, which the design does not draw</t>
        </is>
      </c>
      <c r="B68" s="28" t="inlineStr">
        <is>
          <t>design question</t>
        </is>
      </c>
      <c r="C68" s="28" t="n"/>
      <c r="D68" s="28" t="inlineStr">
        <is>
          <t>No</t>
        </is>
      </c>
      <c r="E68" s="28" t="inlineStr">
        <is>
          <t>Yes</t>
        </is>
      </c>
      <c r="F68" s="28" t="inlineStr">
        <is>
          <t>Build-only addition</t>
        </is>
      </c>
      <c r="G68" s="28" t="n">
        <v>0</v>
      </c>
      <c r="H68" s="28" t="inlineStr">
        <is>
          <t>Present in the build, absent from the design. Not raised as a finding — confirm whether it is intended and, if so, add it to the design.</t>
        </is>
      </c>
    </row>
  </sheetData>
  <autoFilter ref="A1:H6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7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2" customWidth="1" min="3" max="3"/>
    <col width="10" customWidth="1" min="4" max="4"/>
    <col width="86" customWidth="1" min="5" max="5"/>
    <col width="70" customWidth="1" min="6" max="6"/>
    <col width="34" customWidth="1" min="7" max="7"/>
    <col width="34" customWidth="1" min="8" max="8"/>
    <col width="10" customWidth="1" min="9" max="9"/>
    <col width="12" customWidth="1" min="10" max="10"/>
    <col width="12" customWidth="1" min="11" max="11"/>
    <col width="36" customWidth="1" min="12" max="12"/>
    <col width="10" customWidth="1" min="13" max="13"/>
  </cols>
  <sheetData>
    <row r="1">
      <c r="A1" s="29" t="inlineStr">
        <is>
          <t>ID</t>
        </is>
      </c>
      <c r="B1" s="29" t="inlineStr">
        <is>
          <t>Screen</t>
        </is>
      </c>
      <c r="C1" s="29" t="inlineStr">
        <is>
          <t>Category</t>
        </is>
      </c>
      <c r="D1" s="29" t="inlineStr">
        <is>
          <t>Severity</t>
        </is>
      </c>
      <c r="E1" s="29" t="inlineStr">
        <is>
          <t>Issue (Design → Built)</t>
        </is>
      </c>
      <c r="F1" s="29" t="inlineStr">
        <is>
          <t>Recommended Fix (Dev)</t>
        </is>
      </c>
      <c r="G1" s="29" t="inlineStr">
        <is>
          <t>Figma URL</t>
        </is>
      </c>
      <c r="H1" s="29" t="inlineStr">
        <is>
          <t>Live URL</t>
        </is>
      </c>
      <c r="I1" s="29" t="inlineStr">
        <is>
          <t>Status</t>
        </is>
      </c>
      <c r="J1" s="29" t="inlineStr">
        <is>
          <t>Assignee</t>
        </is>
      </c>
      <c r="K1" s="29" t="inlineStr">
        <is>
          <t>Date</t>
        </is>
      </c>
      <c r="L1" s="29" t="inlineStr">
        <is>
          <t>Notes</t>
        </is>
      </c>
      <c r="M1" s="29" t="inlineStr">
        <is>
          <t>Scope</t>
        </is>
      </c>
    </row>
    <row r="2">
      <c r="A2" s="27" t="inlineStr">
        <is>
          <t>WEB-GLOBAL-001</t>
        </is>
      </c>
      <c r="B2" s="28" t="inlineStr">
        <is>
          <t>Global · Automated accessibility violation — aria-valid-attr-value</t>
        </is>
      </c>
      <c r="C2" s="28" t="inlineStr">
        <is>
          <t>Accessibility</t>
        </is>
      </c>
      <c r="D2" s="28" t="inlineStr">
        <is>
          <t>Blocker</t>
        </is>
      </c>
      <c r="E2" s="28" t="inlineStr">
        <is>
          <t>Figma: GIGW 3.0 mandates WCAG 2.2 AA conformance; axe-core tests a subset of it programmatically.  →  Live: ARIA attributes must conform to valid values — &lt;th class="sorting sorting_asc" tabindex="0" aria-controls="dataTable1" rowspan="1" colspan="1" aria-sort="ascending" aria-label="#: activate to sort column des (aria-valid-attr-value, wcag2a, wcag412). Measured on 15 pages.</t>
        </is>
      </c>
      <c r="F2" s="28" t="inlineStr">
        <is>
          <t>Correct the markup the rule names; the rule's help page states the accepted fixes.</t>
        </is>
      </c>
      <c r="G2" s="28" t="n"/>
      <c r="H2" s="28" t="inlineStr">
        <is>
          <t>https://www.dosje.gov.in/about-the-division-social-defence/</t>
        </is>
      </c>
      <c r="I2" s="28" t="inlineStr">
        <is>
          <t>Open</t>
        </is>
      </c>
      <c r="J2" s="28" t="n"/>
      <c r="K2" s="28" t="n"/>
      <c r="L2" s="28" t="inlineStr">
        <is>
          <t>env: live  ·  Scope: Global — fix once, lands everywhere</t>
        </is>
      </c>
      <c r="M2" s="28" t="inlineStr">
        <is>
          <t>Global</t>
        </is>
      </c>
    </row>
    <row r="3">
      <c r="A3" s="27" t="inlineStr">
        <is>
          <t>WEB-GLOBAL-007</t>
        </is>
      </c>
      <c r="B3" s="28" t="inlineStr">
        <is>
          <t>Global · Text contrast below AA — Single Access Mechanism for All Verticals o…</t>
        </is>
      </c>
      <c r="C3" s="28" t="inlineStr">
        <is>
          <t>Color &amp; Token</t>
        </is>
      </c>
      <c r="D3" s="28" t="inlineStr">
        <is>
          <t>Blocker</t>
        </is>
      </c>
      <c r="E3" s="28" t="inlineStr">
        <is>
          <t>Figma: WCAG 2.2 AA (1.4.3), carried into GIGW 3.0: text needs 4.5:1 against its background, or 3:1 at 24px+ / 18.66px+ bold.  →  Live: Text “Single Access Mechanism for All Verticals of Empowerment &amp; Social Har…” (p.elementor-heading-title) renders #FFFFFF on #F97316 at 16px/400 — #FFFFFF on #F97316 as painted on the capture: 2.8:1 against the 4.5:1 minimum. Measured on 10 pages.</t>
        </is>
      </c>
      <c r="F3" s="28" t="inlineStr">
        <is>
          <t>Darken the text or lighten its ground until the pair measures at least the required ratio, then re-check every place the pair is used.</t>
        </is>
      </c>
      <c r="G3" s="28" t="n"/>
      <c r="H3" s="28" t="inlineStr">
        <is>
          <t>https://www.dosje.gov.in/</t>
        </is>
      </c>
      <c r="I3" s="28" t="inlineStr">
        <is>
          <t>Open</t>
        </is>
      </c>
      <c r="J3" s="28" t="n"/>
      <c r="K3" s="28" t="n"/>
      <c r="L3" s="28" t="inlineStr">
        <is>
          <t>env: live  ·  Scope: Global — fix once, lands everywhere</t>
        </is>
      </c>
      <c r="M3" s="28" t="inlineStr">
        <is>
          <t>Global</t>
        </is>
      </c>
    </row>
    <row r="4">
      <c r="A4" s="27" t="inlineStr">
        <is>
          <t>WEB-GLOBAL-086</t>
        </is>
      </c>
      <c r="B4" s="28" t="inlineStr">
        <is>
          <t>Global · No visible focus indicator — Pagination page numbers</t>
        </is>
      </c>
      <c r="C4" s="28" t="inlineStr">
        <is>
          <t>Components &amp; States</t>
        </is>
      </c>
      <c r="D4" s="28" t="inlineStr">
        <is>
          <t>Blocker</t>
        </is>
      </c>
      <c r="E4" s="28" t="inlineStr">
        <is>
          <t>Figma: WCAG 2.2 AA (2.4.7): every keyboard-focusable control shows a visible focus indicator. DBIM and UX4G both draw a 4px ring.  →  Live: Pagination page numbers: screenshotted focused and then blurred, no pixel changes, so a keyboard user cannot see where focus is. Measured on 9 pages.</t>
        </is>
      </c>
      <c r="F4" s="28" t="inlineStr">
        <is>
          <t>Give the control a visible focus style — the estate's 4px ring — and make sure it is not removed by an `outline: none` elsewhere in the stylesheet.</t>
        </is>
      </c>
      <c r="G4" s="28" t="n"/>
      <c r="H4" s="28" t="inlineStr">
        <is>
          <t>https://www.dosje.gov.in/annual-reports/</t>
        </is>
      </c>
      <c r="I4" s="28" t="inlineStr">
        <is>
          <t>Open</t>
        </is>
      </c>
      <c r="J4" s="28" t="n"/>
      <c r="K4" s="28" t="n"/>
      <c r="L4" s="28" t="inlineStr">
        <is>
          <t>env: live  ·  Scope: Global — fix once, lands everywhere</t>
        </is>
      </c>
      <c r="M4" s="28" t="inlineStr">
        <is>
          <t>Global</t>
        </is>
      </c>
    </row>
    <row r="5">
      <c r="A5" s="27" t="inlineStr">
        <is>
          <t>WEB-GLOBAL-085</t>
        </is>
      </c>
      <c r="B5" s="28" t="inlineStr">
        <is>
          <t>Global · No visible focus indicator — Pagination previous / next arrows</t>
        </is>
      </c>
      <c r="C5" s="28" t="inlineStr">
        <is>
          <t>Components &amp; States</t>
        </is>
      </c>
      <c r="D5" s="28" t="inlineStr">
        <is>
          <t>Blocker</t>
        </is>
      </c>
      <c r="E5" s="28" t="inlineStr">
        <is>
          <t>Figma: WCAG 2.2 AA (2.4.7): every keyboard-focusable control shows a visible focus indicator. DBIM and UX4G both draw a 4px ring.  →  Live: Pagination previous / next arrows: screenshotted focused and then blurred, no pixel changes, so a keyboard user cannot see where focus is. Measured on 9 pages.</t>
        </is>
      </c>
      <c r="F5" s="28" t="inlineStr">
        <is>
          <t>Give the control a visible focus style — the estate's 4px ring — and make sure it is not removed by an `outline: none` elsewhere in the stylesheet.</t>
        </is>
      </c>
      <c r="G5" s="28" t="n"/>
      <c r="H5" s="28" t="inlineStr">
        <is>
          <t>https://www.dosje.gov.in/annual-reports/</t>
        </is>
      </c>
      <c r="I5" s="28" t="inlineStr">
        <is>
          <t>Open</t>
        </is>
      </c>
      <c r="J5" s="28" t="n"/>
      <c r="K5" s="28" t="n"/>
      <c r="L5" s="28" t="inlineStr">
        <is>
          <t>env: live  ·  Scope: Global — fix once, lands everywhere</t>
        </is>
      </c>
      <c r="M5" s="28" t="inlineStr">
        <is>
          <t>Global</t>
        </is>
      </c>
    </row>
    <row r="6">
      <c r="A6" s="27" t="inlineStr">
        <is>
          <t>WEB-GLOBAL-079</t>
        </is>
      </c>
      <c r="B6" s="28" t="inlineStr">
        <is>
          <t>Global · Non-text control below 3:1 — Previous slide</t>
        </is>
      </c>
      <c r="C6" s="28" t="inlineStr">
        <is>
          <t>Color &amp; Token</t>
        </is>
      </c>
      <c r="D6" s="28" t="inlineStr">
        <is>
          <t>Blocker</t>
        </is>
      </c>
      <c r="E6" s="28" t="inlineStr">
        <is>
          <t>Figma: WCAG 2.2 AA (1.4.11): the visible part of a control — its icon, its outline, its indicator — needs 3:1 against what is behind it.  →  Live: Text “Previous slide” (div.ccps-nav-btn) renders #EEEEEE on #FFFFFF at 16px/400 — #F0EFED on #FCF9EA as painted on the capture: 1.09:1 against the 3.0:1 minimum.</t>
        </is>
      </c>
      <c r="F6" s="28" t="inlineStr">
        <is>
          <t>Darken the icon or its ground until the pair reaches 3:1. The control's accessible name is already correct; only what is drawn needs changing.</t>
        </is>
      </c>
      <c r="G6" s="28" t="n"/>
      <c r="H6" s="28" t="inlineStr">
        <is>
          <t>https://www.dosje.gov.in/</t>
        </is>
      </c>
      <c r="I6" s="28" t="inlineStr">
        <is>
          <t>Open</t>
        </is>
      </c>
      <c r="J6" s="28" t="n"/>
      <c r="K6" s="28" t="n"/>
      <c r="L6" s="28" t="inlineStr">
        <is>
          <t>env: live  ·  Scope: Global — fix once, lands everywhere</t>
        </is>
      </c>
      <c r="M6" s="28" t="inlineStr">
        <is>
          <t>Global</t>
        </is>
      </c>
    </row>
    <row r="7">
      <c r="A7" s="27" t="inlineStr">
        <is>
          <t>WEB-GLOBAL-025</t>
        </is>
      </c>
      <c r="B7" s="28" t="inlineStr">
        <is>
          <t>Global · Heading levels skip — Need Support?</t>
        </is>
      </c>
      <c r="C7" s="28" t="inlineStr">
        <is>
          <t>Content &amp; Iconography</t>
        </is>
      </c>
      <c r="D7" s="28" t="inlineStr">
        <is>
          <t>Major</t>
        </is>
      </c>
      <c r="E7" s="28" t="inlineStr">
        <is>
          <t>Figma: WCAG 2.2 A (1.3.1): heading levels descend without skipping, so the outline can be navigated.  →  Live: “Need Support?” is an &lt;h6&gt; directly after an &lt;h1&gt;, skipping h2. The outline cannot be navigated reliably by a screen reader. Measured on 138 pages.</t>
        </is>
      </c>
      <c r="F7" s="28" t="inlineStr">
        <is>
          <t>Re-tag the heading so levels descend in order, or promote the heading above it. Where the markup is only for size, use CSS instead.</t>
        </is>
      </c>
      <c r="G7" s="28" t="n"/>
      <c r="H7" s="28" t="inlineStr">
        <is>
          <t>https://www.dosje.gov.in/about-the-division/</t>
        </is>
      </c>
      <c r="I7" s="28" t="inlineStr">
        <is>
          <t>Open</t>
        </is>
      </c>
      <c r="J7" s="28" t="n"/>
      <c r="K7" s="28" t="n"/>
      <c r="L7" s="28" t="inlineStr">
        <is>
          <t>env: live  ·  Scope: Global — fix once, lands everywhere</t>
        </is>
      </c>
      <c r="M7" s="28" t="inlineStr">
        <is>
          <t>Global</t>
        </is>
      </c>
    </row>
    <row r="8">
      <c r="A8" s="27" t="inlineStr">
        <is>
          <t>WEB-GLOBAL-010</t>
        </is>
      </c>
      <c r="B8" s="28" t="inlineStr">
        <is>
          <t>Global · Automated accessibility violation — aria-command-name</t>
        </is>
      </c>
      <c r="C8" s="28" t="inlineStr">
        <is>
          <t>Accessibility</t>
        </is>
      </c>
      <c r="D8" s="28" t="inlineStr">
        <is>
          <t>Major</t>
        </is>
      </c>
      <c r="E8" s="28" t="inlineStr">
        <is>
          <t>Figma: GIGW 3.0 mandates WCAG 2.2 AA conformance; axe-core tests a subset of it programmatically.  →  Live: ARIA commands must have an accessible name — &lt;a class="elementor-button elementor-size-sm" role="button" id="accessibilityButton"&gt; (aria-command-name, wcag2a, wcag412). Measured on 146 pages.</t>
        </is>
      </c>
      <c r="F8" s="28" t="inlineStr">
        <is>
          <t>Correct the markup the rule names; the rule's help page states the accepted fixes.</t>
        </is>
      </c>
      <c r="G8" s="28" t="n"/>
      <c r="H8" s="28" t="inlineStr">
        <is>
          <t>https://www.dosje.gov.in/about-the-division/</t>
        </is>
      </c>
      <c r="I8" s="28" t="inlineStr">
        <is>
          <t>Open</t>
        </is>
      </c>
      <c r="J8" s="28" t="n"/>
      <c r="K8" s="28" t="n"/>
      <c r="L8" s="28" t="inlineStr">
        <is>
          <t>env: live  ·  Scope: Global — fix once, lands everywhere</t>
        </is>
      </c>
      <c r="M8" s="28" t="inlineStr">
        <is>
          <t>Global</t>
        </is>
      </c>
    </row>
    <row r="9">
      <c r="A9" s="27" t="inlineStr">
        <is>
          <t>WEB-GLOBAL-011</t>
        </is>
      </c>
      <c r="B9" s="28" t="inlineStr">
        <is>
          <t>Global · Automated accessibility violation — link-name</t>
        </is>
      </c>
      <c r="C9" s="28" t="inlineStr">
        <is>
          <t>Accessibility</t>
        </is>
      </c>
      <c r="D9" s="28" t="inlineStr">
        <is>
          <t>Major</t>
        </is>
      </c>
      <c r="E9" s="28" t="inlineStr">
        <is>
          <t>Figma: GIGW 3.0 mandates WCAG 2.2 AA conformance; axe-core tests a subset of it programmatically.  →  Live: Links must have discernible text — &lt;a href="https://www.digitalindia.gov.in/" target="_blank"&gt;
							&lt;img loading="lazy" width="105" height="41" src="https://www.dosje.gov.in/wp-content/uploads/ (link-name, wcag2a, wcag244, wcag412). Measured on 146 pages.</t>
        </is>
      </c>
      <c r="F9" s="28" t="inlineStr">
        <is>
          <t>Correct the markup the rule names; the rule's help page states the accepted fixes.</t>
        </is>
      </c>
      <c r="G9" s="28" t="n"/>
      <c r="H9" s="28" t="inlineStr">
        <is>
          <t>https://www.dosje.gov.in/about-the-division/</t>
        </is>
      </c>
      <c r="I9" s="28" t="inlineStr">
        <is>
          <t>Open</t>
        </is>
      </c>
      <c r="J9" s="28" t="n"/>
      <c r="K9" s="28" t="n"/>
      <c r="L9" s="28" t="inlineStr">
        <is>
          <t>env: live  ·  Scope: Global — fix once, lands everywhere</t>
        </is>
      </c>
      <c r="M9" s="28" t="inlineStr">
        <is>
          <t>Global</t>
        </is>
      </c>
    </row>
    <row r="10">
      <c r="A10" s="27" t="inlineStr">
        <is>
          <t>WEB-GLOBAL-045</t>
        </is>
      </c>
      <c r="B10" s="28" t="inlineStr">
        <is>
          <t>Global · Footer is missing a DBIM-mandated section — footer</t>
        </is>
      </c>
      <c r="C10" s="28" t="inlineStr">
        <is>
          <t>Content &amp; Iconography</t>
        </is>
      </c>
      <c r="D10" s="28" t="inlineStr">
        <is>
          <t>Major</t>
        </is>
      </c>
      <c r="E10" s="28" t="inlineStr">
        <is>
          <t>Figma: DBIM 3.0 §5.6: the footer carries Archives, Website Policy, Related Links and Feedback.  →  Live: DBIM 5.6 mandates four footer sections. This footer publishes 0 of them; missing: Archives, Website Policy, Related Links, Feedback. Measured on 146 pages.</t>
        </is>
      </c>
      <c r="F10" s="28" t="inlineStr">
        <is>
          <t>Add the missing sections to the footer. Archives and Website Policy need a page each; Related Links and Feedback can carry the existing ones.</t>
        </is>
      </c>
      <c r="G10" s="28" t="n"/>
      <c r="H10" s="28" t="inlineStr">
        <is>
          <t>https://www.dosje.gov.in/about-the-division/</t>
        </is>
      </c>
      <c r="I10" s="28" t="inlineStr">
        <is>
          <t>Open</t>
        </is>
      </c>
      <c r="J10" s="28" t="n"/>
      <c r="K10" s="28" t="n"/>
      <c r="L10" s="28" t="inlineStr">
        <is>
          <t>env: live  ·  Scope: Global — fix once, lands everywhere</t>
        </is>
      </c>
      <c r="M10" s="28" t="inlineStr">
        <is>
          <t>Global</t>
        </is>
      </c>
    </row>
    <row r="11">
      <c r="A11" s="27" t="inlineStr">
        <is>
          <t>WEB-GLOBAL-046</t>
        </is>
      </c>
      <c r="B11" s="28" t="inlineStr">
        <is>
          <t>Global · UX4G violet leaks into the brand palette — a</t>
        </is>
      </c>
      <c r="C11" s="28" t="inlineStr">
        <is>
          <t>Color &amp; Token</t>
        </is>
      </c>
      <c r="D11" s="28" t="inlineStr">
        <is>
          <t>Major</t>
        </is>
      </c>
      <c r="E11" s="28" t="inlineStr">
        <is>
          <t>Figma: DBIM 3.0 §2.1: one colour group from the primary palette. UX4G's violet is its own brand layer, not the Department's.  →  Live: 9 element(s) render UX4G's violet primary rather than the Department's key colour. DBIM 2.1 allows one colour group from the primary palette. Measured on 145 pages.</t>
        </is>
      </c>
      <c r="F11" s="28" t="inlineStr">
        <is>
          <t>Override the inherited UX4G variables so the Department's key colour applies everywhere, including the skip link and the accessibility widget.</t>
        </is>
      </c>
      <c r="G11" s="28" t="n"/>
      <c r="H11" s="28" t="inlineStr">
        <is>
          <t>https://www.dosje.gov.in/about-the-division/</t>
        </is>
      </c>
      <c r="I11" s="28" t="inlineStr">
        <is>
          <t>Open</t>
        </is>
      </c>
      <c r="J11" s="28" t="n"/>
      <c r="K11" s="28" t="n"/>
      <c r="L11" s="28" t="inlineStr">
        <is>
          <t>env: live  ·  Scope: Global — fix once, lands everywhere</t>
        </is>
      </c>
      <c r="M11" s="28" t="inlineStr">
        <is>
          <t>Global</t>
        </is>
      </c>
    </row>
    <row r="12">
      <c r="A12" s="27" t="inlineStr">
        <is>
          <t>WEB-GLOBAL-063</t>
        </is>
      </c>
      <c r="B12" s="28" t="inlineStr">
        <is>
          <t>Global · Font size outside the UX4G type scale — 10px text</t>
        </is>
      </c>
      <c r="C12" s="28" t="inlineStr">
        <is>
          <t>Typography</t>
        </is>
      </c>
      <c r="D12" s="28" t="inlineStr">
        <is>
          <t>Major</t>
        </is>
      </c>
      <c r="E12" s="28" t="inlineStr">
        <is>
          <t>Figma: UX4G 3.0 §2.3: font sizes come from the published type scale (12/14/16/18/20/24/28/32/36/40/52/60), and Body/XS 12px is the minimum.  →  Live: 1 element(s) render at 10px, which is not on the UX4G type scale (12/14/16/18/20/24/28/32/36/40/52/60). It is also below Body/XS, the stated minimum usable size. Measured on 130 pages.</t>
        </is>
      </c>
      <c r="F12" s="28" t="inlineStr">
        <is>
          <t>Move the size to the nearest step on the UX4G scale, and never below 12px.</t>
        </is>
      </c>
      <c r="G12" s="28" t="n"/>
      <c r="H12" s="28" t="inlineStr">
        <is>
          <t>https://www.dosje.gov.in/about-the-division/</t>
        </is>
      </c>
      <c r="I12" s="28" t="inlineStr">
        <is>
          <t>Open</t>
        </is>
      </c>
      <c r="J12" s="28" t="n"/>
      <c r="K12" s="28" t="n"/>
      <c r="L12" s="28" t="inlineStr">
        <is>
          <t>env: live  ·  Scope: Global — fix once, lands everywhere</t>
        </is>
      </c>
      <c r="M12" s="28" t="inlineStr">
        <is>
          <t>Global</t>
        </is>
      </c>
    </row>
    <row r="13">
      <c r="A13" s="27" t="inlineStr">
        <is>
          <t>WEB-GLOBAL-019</t>
        </is>
      </c>
      <c r="B13" s="28" t="inlineStr">
        <is>
          <t>Global · Text contrast below AA — About Ministry</t>
        </is>
      </c>
      <c r="C13" s="28" t="inlineStr">
        <is>
          <t>Color &amp; Token</t>
        </is>
      </c>
      <c r="D13" s="28" t="inlineStr">
        <is>
          <t>Major</t>
        </is>
      </c>
      <c r="E13" s="28" t="inlineStr">
        <is>
          <t>Figma: WCAG 2.2 AA (1.4.3), carried into GIGW 3.0: text needs 4.5:1 against its background, or 3:1 at 24px+ / 18.66px+ bold.  →  Live: Text “About Ministry” (span.elementor-icon-list-text) renders #E2E6EA on #0373DF at 14px/400 — #E2E6EA on #0373DF as painted on the capture: 3.7:1 against the 4.5:1 minimum. Measured on 124 pages.</t>
        </is>
      </c>
      <c r="F13" s="28" t="inlineStr">
        <is>
          <t>Darken the text or lighten its ground until the pair measures at least the required ratio, then re-check every place the pair is used.</t>
        </is>
      </c>
      <c r="G13" s="28" t="n"/>
      <c r="H13" s="28" t="inlineStr">
        <is>
          <t>https://www.dosje.gov.in/about-the-division/</t>
        </is>
      </c>
      <c r="I13" s="28" t="inlineStr">
        <is>
          <t>Open</t>
        </is>
      </c>
      <c r="J13" s="28" t="n"/>
      <c r="K13" s="28" t="n"/>
      <c r="L13" s="28" t="inlineStr">
        <is>
          <t>env: live  ·  Scope: Global — fix once, lands everywhere</t>
        </is>
      </c>
      <c r="M13" s="28" t="inlineStr">
        <is>
          <t>Global</t>
        </is>
      </c>
    </row>
    <row r="14">
      <c r="A14" s="27" t="inlineStr">
        <is>
          <t>WEB-GLOBAL-032</t>
        </is>
      </c>
      <c r="B14" s="28" t="inlineStr">
        <is>
          <t>Global · Touch target below the minimum — Home</t>
        </is>
      </c>
      <c r="C14" s="28" t="inlineStr">
        <is>
          <t>Layout &amp; Spacing</t>
        </is>
      </c>
      <c r="D14" s="28" t="inlineStr">
        <is>
          <t>Major</t>
        </is>
      </c>
      <c r="E14" s="28" t="inlineStr">
        <is>
          <t>Figma: UX4G 3.0 §6: interactive targets are at least 44×44px with 8px between them. WCAG 2.5.8 AA sets an absolute floor of 24×24.  →  Live: “Home” is 41×21px. UX4G 3.0 §6 sets 44×44px as the minimum interactive size; at 41×21 it is also below the WCAG 2.5.8 AA floor of 24×24. Measured on 144 pages.</t>
        </is>
      </c>
      <c r="F14" s="28" t="inlineStr">
        <is>
          <t>Grow the control, or add transparent padding around it, until it measures 44×44px with 8px clear of its neighbours.</t>
        </is>
      </c>
      <c r="G14" s="28" t="n"/>
      <c r="H14" s="28" t="inlineStr">
        <is>
          <t>https://www.dosje.gov.in/about-the-division/</t>
        </is>
      </c>
      <c r="I14" s="28" t="inlineStr">
        <is>
          <t>Open</t>
        </is>
      </c>
      <c r="J14" s="28" t="n"/>
      <c r="K14" s="28" t="n"/>
      <c r="L14" s="28" t="inlineStr">
        <is>
          <t>env: live  ·  Scope: Global — fix once, lands everywhere</t>
        </is>
      </c>
      <c r="M14" s="28" t="inlineStr">
        <is>
          <t>Global</t>
        </is>
      </c>
    </row>
    <row r="15">
      <c r="A15" s="27" t="inlineStr">
        <is>
          <t>WEB-GLOBAL-033</t>
        </is>
      </c>
      <c r="B15" s="28" t="inlineStr">
        <is>
          <t>Global · Touch target below the minimum — Department</t>
        </is>
      </c>
      <c r="C15" s="28" t="inlineStr">
        <is>
          <t>Layout &amp; Spacing</t>
        </is>
      </c>
      <c r="D15" s="28" t="inlineStr">
        <is>
          <t>Major</t>
        </is>
      </c>
      <c r="E15" s="28" t="inlineStr">
        <is>
          <t>Figma: UX4G 3.0 §6: interactive targets are at least 44×44px with 8px between them. WCAG 2.5.8 AA sets an absolute floor of 24×24.  →  Live: “Department” is 83×21px. UX4G 3.0 §6 sets 44×44px as the minimum interactive size; at 83×21 it is also below the WCAG 2.5.8 AA floor of 24×24. Measured on 144 pages.</t>
        </is>
      </c>
      <c r="F15" s="28" t="inlineStr">
        <is>
          <t>Grow the control, or add transparent padding around it, until it measures 44×44px with 8px clear of its neighbours.</t>
        </is>
      </c>
      <c r="G15" s="28" t="n"/>
      <c r="H15" s="28" t="inlineStr">
        <is>
          <t>https://www.dosje.gov.in/about-the-division/</t>
        </is>
      </c>
      <c r="I15" s="28" t="inlineStr">
        <is>
          <t>Open</t>
        </is>
      </c>
      <c r="J15" s="28" t="n"/>
      <c r="K15" s="28" t="n"/>
      <c r="L15" s="28" t="inlineStr">
        <is>
          <t>env: live  ·  Scope: Global — fix once, lands everywhere</t>
        </is>
      </c>
      <c r="M15" s="28" t="inlineStr">
        <is>
          <t>Global</t>
        </is>
      </c>
    </row>
    <row r="16">
      <c r="A16" s="27" t="inlineStr">
        <is>
          <t>WEB-GLOBAL-026</t>
        </is>
      </c>
      <c r="B16" s="28" t="inlineStr">
        <is>
          <t>Global · Touch target below the minimum — Open Department</t>
        </is>
      </c>
      <c r="C16" s="28" t="inlineStr">
        <is>
          <t>Layout &amp; Spacing</t>
        </is>
      </c>
      <c r="D16" s="28" t="inlineStr">
        <is>
          <t>Major</t>
        </is>
      </c>
      <c r="E16" s="28" t="inlineStr">
        <is>
          <t>Figma: UX4G 3.0 §6: interactive targets are at least 44×44px with 8px between them. WCAG 2.5.8 AA sets an absolute floor of 24×24.  →  Live: “Open Department” is 14×21px. UX4G 3.0 §6 sets 44×44px as the minimum interactive size; at 14×21 it is also below the WCAG 2.5.8 AA floor of 24×24. Measured on 144 pages.</t>
        </is>
      </c>
      <c r="F16" s="28" t="inlineStr">
        <is>
          <t>Grow the control, or add transparent padding around it, until it measures 44×44px with 8px clear of its neighbours.</t>
        </is>
      </c>
      <c r="G16" s="28" t="n"/>
      <c r="H16" s="28" t="inlineStr">
        <is>
          <t>https://www.dosje.gov.in/about-the-division/</t>
        </is>
      </c>
      <c r="I16" s="28" t="inlineStr">
        <is>
          <t>Open</t>
        </is>
      </c>
      <c r="J16" s="28" t="n"/>
      <c r="K16" s="28" t="n"/>
      <c r="L16" s="28" t="inlineStr">
        <is>
          <t>env: live  ·  Scope: Global — fix once, lands everywhere</t>
        </is>
      </c>
      <c r="M16" s="28" t="inlineStr">
        <is>
          <t>Global</t>
        </is>
      </c>
    </row>
    <row r="17">
      <c r="A17" s="27" t="inlineStr">
        <is>
          <t>WEB-GLOBAL-031</t>
        </is>
      </c>
      <c r="B17" s="28" t="inlineStr">
        <is>
          <t>Global · Touch target below the minimum — Associated Organisations</t>
        </is>
      </c>
      <c r="C17" s="28" t="inlineStr">
        <is>
          <t>Layout &amp; Spacing</t>
        </is>
      </c>
      <c r="D17" s="28" t="inlineStr">
        <is>
          <t>Major</t>
        </is>
      </c>
      <c r="E17" s="28" t="inlineStr">
        <is>
          <t>Figma: UX4G 3.0 §6: interactive targets are at least 44×44px with 8px between them. WCAG 2.5.8 AA sets an absolute floor of 24×24.  →  Live: “Associated Organisations” is 172×21px. UX4G 3.0 §6 sets 44×44px as the minimum interactive size; at 172×21 it is also below the WCAG 2.5.8 AA floor of 24×24. Measured on 144 pages.</t>
        </is>
      </c>
      <c r="F17" s="28" t="inlineStr">
        <is>
          <t>Grow the control, or add transparent padding around it, until it measures 44×44px with 8px clear of its neighbours.</t>
        </is>
      </c>
      <c r="G17" s="28" t="n"/>
      <c r="H17" s="28" t="inlineStr">
        <is>
          <t>https://www.dosje.gov.in/about-the-division/</t>
        </is>
      </c>
      <c r="I17" s="28" t="inlineStr">
        <is>
          <t>Open</t>
        </is>
      </c>
      <c r="J17" s="28" t="n"/>
      <c r="K17" s="28" t="n"/>
      <c r="L17" s="28" t="inlineStr">
        <is>
          <t>env: live  ·  Scope: Global — fix once, lands everywhere</t>
        </is>
      </c>
      <c r="M17" s="28" t="inlineStr">
        <is>
          <t>Global</t>
        </is>
      </c>
    </row>
    <row r="18">
      <c r="A18" s="27" t="inlineStr">
        <is>
          <t>WEB-GLOBAL-017</t>
        </is>
      </c>
      <c r="B18" s="28" t="inlineStr">
        <is>
          <t>Global · Text contrast below AA — Get in Touch</t>
        </is>
      </c>
      <c r="C18" s="28" t="inlineStr">
        <is>
          <t>Color &amp; Token</t>
        </is>
      </c>
      <c r="D18" s="28" t="inlineStr">
        <is>
          <t>Major</t>
        </is>
      </c>
      <c r="E18" s="28" t="inlineStr">
        <is>
          <t>Figma: WCAG 2.2 AA (1.4.3), carried into GIGW 3.0: text needs 4.5:1 against its background, or 3:1 at 24px+ / 18.66px+ bold.  →  Live: Text “Get in Touch” (a.btn) renders #0373DF on #E5EFF9 at 16px/500 — #0373DF on #E5EFF9 as painted on the capture: 3.99:1 against the 4.5:1 minimum. Measured on 126 pages.</t>
        </is>
      </c>
      <c r="F18" s="28" t="inlineStr">
        <is>
          <t>Darken the text or lighten its ground until the pair measures at least the required ratio, then re-check every place the pair is used.</t>
        </is>
      </c>
      <c r="G18" s="28" t="n"/>
      <c r="H18" s="28" t="inlineStr">
        <is>
          <t>https://www.dosje.gov.in/about-the-division/</t>
        </is>
      </c>
      <c r="I18" s="28" t="inlineStr">
        <is>
          <t>Open</t>
        </is>
      </c>
      <c r="J18" s="28" t="n"/>
      <c r="K18" s="28" t="n"/>
      <c r="L18" s="28" t="inlineStr">
        <is>
          <t>env: live  ·  Scope: Global — fix once, lands everywhere</t>
        </is>
      </c>
      <c r="M18" s="28" t="inlineStr">
        <is>
          <t>Global</t>
        </is>
      </c>
    </row>
    <row r="19">
      <c r="A19" s="27" t="inlineStr">
        <is>
          <t>WEB-GLOBAL-064</t>
        </is>
      </c>
      <c r="B19" s="28" t="inlineStr">
        <is>
          <t>Global · Font size outside the UX4G type scale — 8px text</t>
        </is>
      </c>
      <c r="C19" s="28" t="inlineStr">
        <is>
          <t>Typography</t>
        </is>
      </c>
      <c r="D19" s="28" t="inlineStr">
        <is>
          <t>Major</t>
        </is>
      </c>
      <c r="E19" s="28" t="inlineStr">
        <is>
          <t>Figma: UX4G 3.0 §2.3: font sizes come from the published type scale (12/14/16/18/20/24/28/32/36/40/52/60), and Body/XS 12px is the minimum.  →  Live: 2 element(s) render at 8px, which is not on the UX4G type scale (12/14/16/18/20/24/28/32/36/40/52/60). It is also below Body/XS, the stated minimum usable size. Measured on 117 pages.</t>
        </is>
      </c>
      <c r="F19" s="28" t="inlineStr">
        <is>
          <t>Move the size to the nearest step on the UX4G scale, and never below 12px.</t>
        </is>
      </c>
      <c r="G19" s="28" t="n"/>
      <c r="H19" s="28" t="inlineStr">
        <is>
          <t>https://www.dosje.gov.in/about-the-division/</t>
        </is>
      </c>
      <c r="I19" s="28" t="inlineStr">
        <is>
          <t>Open</t>
        </is>
      </c>
      <c r="J19" s="28" t="n"/>
      <c r="K19" s="28" t="n"/>
      <c r="L19" s="28" t="inlineStr">
        <is>
          <t>env: live  ·  Scope: Global — fix once, lands everywhere</t>
        </is>
      </c>
      <c r="M19" s="28" t="inlineStr">
        <is>
          <t>Global</t>
        </is>
      </c>
    </row>
    <row r="20">
      <c r="A20" s="27" t="inlineStr">
        <is>
          <t>WEB-GLOBAL-016</t>
        </is>
      </c>
      <c r="B20" s="28" t="inlineStr">
        <is>
          <t>Global · Text contrast below AA — Get in Touch</t>
        </is>
      </c>
      <c r="C20" s="28" t="inlineStr">
        <is>
          <t>Color &amp; Token</t>
        </is>
      </c>
      <c r="D20" s="28" t="inlineStr">
        <is>
          <t>Major</t>
        </is>
      </c>
      <c r="E20" s="28" t="inlineStr">
        <is>
          <t>Figma: WCAG 2.2 AA (1.4.3), carried into GIGW 3.0: text needs 4.5:1 against its background, or 3:1 at 24px+ / 18.66px+ bold.  →  Live: Text “Get in Touch” (a.btn) renders #0373DF on #E5EFF9 at 14px/500 — #0373DF on #E5EFF9 as painted on the capture: 3.99:1 against the 4.5:1 minimum. Measured on 116 pages.</t>
        </is>
      </c>
      <c r="F20" s="28" t="inlineStr">
        <is>
          <t>Darken the text or lighten its ground until the pair measures at least the required ratio, then re-check every place the pair is used.</t>
        </is>
      </c>
      <c r="G20" s="28" t="n"/>
      <c r="H20" s="28" t="inlineStr">
        <is>
          <t>https://www.dosje.gov.in/about-the-division/</t>
        </is>
      </c>
      <c r="I20" s="28" t="inlineStr">
        <is>
          <t>Open</t>
        </is>
      </c>
      <c r="J20" s="28" t="n"/>
      <c r="K20" s="28" t="n"/>
      <c r="L20" s="28" t="inlineStr">
        <is>
          <t>env: live  ·  Scope: Global — fix once, lands everywhere</t>
        </is>
      </c>
      <c r="M20" s="28" t="inlineStr">
        <is>
          <t>Global</t>
        </is>
      </c>
    </row>
    <row r="21">
      <c r="A21" s="27" t="inlineStr">
        <is>
          <t>WEB-GLOBAL-027</t>
        </is>
      </c>
      <c r="B21" s="28" t="inlineStr">
        <is>
          <t>Global · Touch target below the minimum — About Ministry</t>
        </is>
      </c>
      <c r="C21" s="28" t="inlineStr">
        <is>
          <t>Layout &amp; Spacing</t>
        </is>
      </c>
      <c r="D21" s="28" t="inlineStr">
        <is>
          <t>Major</t>
        </is>
      </c>
      <c r="E21" s="28" t="inlineStr">
        <is>
          <t>Figma: UX4G 3.0 §6: interactive targets are at least 44×44px with 8px between them. WCAG 2.5.8 AA sets an absolute floor of 24×24.  →  Live: “About Ministry” is 151×20px. UX4G 3.0 §6 sets 44×44px as the minimum interactive size; at 151×20 it is also below the WCAG 2.5.8 AA floor of 24×24. Measured on 110 pages.</t>
        </is>
      </c>
      <c r="F21" s="28" t="inlineStr">
        <is>
          <t>Grow the control, or add transparent padding around it, until it measures 44×44px with 8px clear of its neighbours.</t>
        </is>
      </c>
      <c r="G21" s="28" t="n"/>
      <c r="H21" s="28" t="inlineStr">
        <is>
          <t>https://www.dosje.gov.in/about-the-division/</t>
        </is>
      </c>
      <c r="I21" s="28" t="inlineStr">
        <is>
          <t>Open</t>
        </is>
      </c>
      <c r="J21" s="28" t="n"/>
      <c r="K21" s="28" t="n"/>
      <c r="L21" s="28" t="inlineStr">
        <is>
          <t>env: live  ·  Scope: Global — fix once, lands everywhere</t>
        </is>
      </c>
      <c r="M21" s="28" t="inlineStr">
        <is>
          <t>Global</t>
        </is>
      </c>
    </row>
    <row r="22">
      <c r="A22" s="27" t="inlineStr">
        <is>
          <t>WEB-GLOBAL-030</t>
        </is>
      </c>
      <c r="B22" s="28" t="inlineStr">
        <is>
          <t>Global · Touch target below the minimum — Vision &amp; Mission</t>
        </is>
      </c>
      <c r="C22" s="28" t="inlineStr">
        <is>
          <t>Layout &amp; Spacing</t>
        </is>
      </c>
      <c r="D22" s="28" t="inlineStr">
        <is>
          <t>Major</t>
        </is>
      </c>
      <c r="E22" s="28" t="inlineStr">
        <is>
          <t>Figma: UX4G 3.0 §6: interactive targets are at least 44×44px with 8px between them. WCAG 2.5.8 AA sets an absolute floor of 24×24.  →  Live: “Vision &amp; Mission” is 151×20px. UX4G 3.0 §6 sets 44×44px as the minimum interactive size; at 151×20 it is also below the WCAG 2.5.8 AA floor of 24×24. Measured on 108 pages.</t>
        </is>
      </c>
      <c r="F22" s="28" t="inlineStr">
        <is>
          <t>Grow the control, or add transparent padding around it, until it measures 44×44px with 8px clear of its neighbours.</t>
        </is>
      </c>
      <c r="G22" s="28" t="n"/>
      <c r="H22" s="28" t="inlineStr">
        <is>
          <t>https://www.dosje.gov.in/about-the-division/</t>
        </is>
      </c>
      <c r="I22" s="28" t="inlineStr">
        <is>
          <t>Open</t>
        </is>
      </c>
      <c r="J22" s="28" t="n"/>
      <c r="K22" s="28" t="n"/>
      <c r="L22" s="28" t="inlineStr">
        <is>
          <t>env: live  ·  Scope: Global — fix once, lands everywhere</t>
        </is>
      </c>
      <c r="M22" s="28" t="inlineStr">
        <is>
          <t>Global</t>
        </is>
      </c>
    </row>
    <row r="23">
      <c r="A23" s="27" t="inlineStr">
        <is>
          <t>WEB-GLOBAL-029</t>
        </is>
      </c>
      <c r="B23" s="28" t="inlineStr">
        <is>
          <t>Global · Touch target below the minimum — Organisational Chart</t>
        </is>
      </c>
      <c r="C23" s="28" t="inlineStr">
        <is>
          <t>Layout &amp; Spacing</t>
        </is>
      </c>
      <c r="D23" s="28" t="inlineStr">
        <is>
          <t>Major</t>
        </is>
      </c>
      <c r="E23" s="28" t="inlineStr">
        <is>
          <t>Figma: UX4G 3.0 §6: interactive targets are at least 44×44px with 8px between them. WCAG 2.5.8 AA sets an absolute floor of 24×24.  →  Live: “Organisational Chart” is 151×20px. UX4G 3.0 §6 sets 44×44px as the minimum interactive size; at 151×20 it is also below the WCAG 2.5.8 AA floor of 24×24. Measured on 106 pages.</t>
        </is>
      </c>
      <c r="F23" s="28" t="inlineStr">
        <is>
          <t>Grow the control, or add transparent padding around it, until it measures 44×44px with 8px clear of its neighbours.</t>
        </is>
      </c>
      <c r="G23" s="28" t="n"/>
      <c r="H23" s="28" t="inlineStr">
        <is>
          <t>https://www.dosje.gov.in/about-the-division/</t>
        </is>
      </c>
      <c r="I23" s="28" t="inlineStr">
        <is>
          <t>Open</t>
        </is>
      </c>
      <c r="J23" s="28" t="n"/>
      <c r="K23" s="28" t="n"/>
      <c r="L23" s="28" t="inlineStr">
        <is>
          <t>env: live  ·  Scope: Global — fix once, lands everywhere</t>
        </is>
      </c>
      <c r="M23" s="28" t="inlineStr">
        <is>
          <t>Global</t>
        </is>
      </c>
    </row>
    <row r="24">
      <c r="A24" s="27" t="inlineStr">
        <is>
          <t>WEB-GLOBAL-028</t>
        </is>
      </c>
      <c r="B24" s="28" t="inlineStr">
        <is>
          <t>Global · Touch target below the minimum — Ministers &amp; Officials</t>
        </is>
      </c>
      <c r="C24" s="28" t="inlineStr">
        <is>
          <t>Layout &amp; Spacing</t>
        </is>
      </c>
      <c r="D24" s="28" t="inlineStr">
        <is>
          <t>Major</t>
        </is>
      </c>
      <c r="E24" s="28" t="inlineStr">
        <is>
          <t>Figma: UX4G 3.0 §6: interactive targets are at least 44×44px with 8px between them. WCAG 2.5.8 AA sets an absolute floor of 24×24.  →  Live: “Ministers &amp; Officials” is 151×20px. UX4G 3.0 §6 sets 44×44px as the minimum interactive size; at 151×20 it is also below the WCAG 2.5.8 AA floor of 24×24. Measured on 94 pages.</t>
        </is>
      </c>
      <c r="F24" s="28" t="inlineStr">
        <is>
          <t>Grow the control, or add transparent padding around it, until it measures 44×44px with 8px clear of its neighbours.</t>
        </is>
      </c>
      <c r="G24" s="28" t="n"/>
      <c r="H24" s="28" t="inlineStr">
        <is>
          <t>https://www.dosje.gov.in/about-the-division/</t>
        </is>
      </c>
      <c r="I24" s="28" t="inlineStr">
        <is>
          <t>Open</t>
        </is>
      </c>
      <c r="J24" s="28" t="n"/>
      <c r="K24" s="28" t="n"/>
      <c r="L24" s="28" t="inlineStr">
        <is>
          <t>env: live  ·  Scope: Global — fix once, lands everywhere</t>
        </is>
      </c>
      <c r="M24" s="28" t="inlineStr">
        <is>
          <t>Global</t>
        </is>
      </c>
    </row>
    <row r="25">
      <c r="A25" s="27" t="inlineStr">
        <is>
          <t>WEB-GLOBAL-054</t>
        </is>
      </c>
      <c r="B25" s="28" t="inlineStr">
        <is>
          <t>Global · Built value differs from the design — login</t>
        </is>
      </c>
      <c r="C25" s="28" t="inlineStr">
        <is>
          <t>Color &amp; Token</t>
        </is>
      </c>
      <c r="D25" s="28" t="inlineStr">
        <is>
          <t>Major</t>
        </is>
      </c>
      <c r="E25" s="28" t="inlineStr">
        <is>
          <t>Figma: The approved Figma handoff frame for this screen. Built #FFFFFF · design #0373DF  →  Live: “login” — colour #0373DF → #FFFFFF. Measured on 82 pages.</t>
        </is>
      </c>
      <c r="F25" s="28" t="inlineStr">
        <is>
          <t>Set the built value to the design's.</t>
        </is>
      </c>
      <c r="G25" s="28" t="inlineStr">
        <is>
          <t>https://www.figma.com/design/Ds5qx61QsI0ZkYSrLKxo0A/MoSJE--Handoff-?node-id=3453-12795</t>
        </is>
      </c>
      <c r="H25" s="28" t="n"/>
      <c r="I25" s="28" t="inlineStr">
        <is>
          <t>Open</t>
        </is>
      </c>
      <c r="J25" s="28" t="n"/>
      <c r="K25" s="28" t="n"/>
      <c r="L25" s="28" t="inlineStr">
        <is>
          <t>env: live  ·  Scope: Global — fix once, lands everywhere</t>
        </is>
      </c>
      <c r="M25" s="28" t="inlineStr">
        <is>
          <t>Global</t>
        </is>
      </c>
    </row>
    <row r="26">
      <c r="A26" s="27" t="inlineStr">
        <is>
          <t>WEB-GLOBAL-056</t>
        </is>
      </c>
      <c r="B26" s="28" t="inlineStr">
        <is>
          <t>Global · Built value differs from the design — gov. of india</t>
        </is>
      </c>
      <c r="C26" s="28" t="inlineStr">
        <is>
          <t>Typography</t>
        </is>
      </c>
      <c r="D26" s="28" t="inlineStr">
        <is>
          <t>Major</t>
        </is>
      </c>
      <c r="E26" s="28" t="inlineStr">
        <is>
          <t>Figma: The approved Figma handoff frame for this screen. Built 12px · design 14px · Built 400 weight · design 500  →  Live: “gov. of india” — size 14 → 12; weight 500 → 400. Measured on 72 pages.</t>
        </is>
      </c>
      <c r="F26" s="28" t="inlineStr">
        <is>
          <t>Set the built value to the design's.</t>
        </is>
      </c>
      <c r="G26" s="28" t="inlineStr">
        <is>
          <t>https://www.figma.com/design/Ds5qx61QsI0ZkYSrLKxo0A/MoSJE--Handoff-?node-id=4571-109359</t>
        </is>
      </c>
      <c r="H26" s="28" t="n"/>
      <c r="I26" s="28" t="inlineStr">
        <is>
          <t>Open</t>
        </is>
      </c>
      <c r="J26" s="28" t="n"/>
      <c r="K26" s="28" t="n"/>
      <c r="L26" s="28" t="inlineStr">
        <is>
          <t>env: live  ·  Scope: Global — fix once, lands everywhere</t>
        </is>
      </c>
      <c r="M26" s="28" t="inlineStr">
        <is>
          <t>Global</t>
        </is>
      </c>
    </row>
    <row r="27">
      <c r="A27" s="27" t="inlineStr">
        <is>
          <t>WEB-GLOBAL-024</t>
        </is>
      </c>
      <c r="B27" s="28" t="inlineStr">
        <is>
          <t>Global · Page has no &lt;h1&gt; / more than one — page title</t>
        </is>
      </c>
      <c r="C27" s="28" t="inlineStr">
        <is>
          <t>Content &amp; Iconography</t>
        </is>
      </c>
      <c r="D27" s="28" t="inlineStr">
        <is>
          <t>Major</t>
        </is>
      </c>
      <c r="E27" s="28" t="inlineStr">
        <is>
          <t>Figma: WCAG 2.2 A (1.3.1) and GIGW 3.0: one &lt;h1&gt; per page, naming the page.  →  Live: The page renders no &lt;h1&gt;. The first visible heading is &lt;h6&gt; “Need Support?”. Measured on 42 pages.</t>
        </is>
      </c>
      <c r="F27" s="28" t="inlineStr">
        <is>
          <t>Render exactly one &lt;h1&gt; carrying the page's own title, above the content.</t>
        </is>
      </c>
      <c r="G27" s="28" t="n"/>
      <c r="H27" s="28" t="inlineStr">
        <is>
          <t>https://www.dosje.gov.in/advertisement/</t>
        </is>
      </c>
      <c r="I27" s="28" t="inlineStr">
        <is>
          <t>Open</t>
        </is>
      </c>
      <c r="J27" s="28" t="n"/>
      <c r="K27" s="28" t="n"/>
      <c r="L27" s="28" t="inlineStr">
        <is>
          <t>env: live  ·  Scope: Global — fix once, lands everywhere</t>
        </is>
      </c>
      <c r="M27" s="28" t="inlineStr">
        <is>
          <t>Global</t>
        </is>
      </c>
    </row>
    <row r="28">
      <c r="A28" s="27" t="inlineStr">
        <is>
          <t>WEB-GLOBAL-055</t>
        </is>
      </c>
      <c r="B28" s="28" t="inlineStr">
        <is>
          <t>Global · Built value differs from the design — title</t>
        </is>
      </c>
      <c r="C28" s="28" t="inlineStr">
        <is>
          <t>Color &amp; Token</t>
        </is>
      </c>
      <c r="D28" s="28" t="inlineStr">
        <is>
          <t>Major</t>
        </is>
      </c>
      <c r="E28" s="28" t="inlineStr">
        <is>
          <t>Figma: The approved Figma handoff frame for this screen. Built #1F2937 · design #1F2428  →  Live: “title” — colour #1F2428 → #1F2937. Measured on 42 pages.</t>
        </is>
      </c>
      <c r="F28" s="28" t="inlineStr">
        <is>
          <t>Set the built value to the design's.</t>
        </is>
      </c>
      <c r="G28" s="28" t="inlineStr">
        <is>
          <t>https://www.figma.com/design/Ds5qx61QsI0ZkYSrLKxo0A/MoSJE--Handoff-?node-id=3453-12795</t>
        </is>
      </c>
      <c r="H28" s="28" t="n"/>
      <c r="I28" s="28" t="inlineStr">
        <is>
          <t>Open</t>
        </is>
      </c>
      <c r="J28" s="28" t="n"/>
      <c r="K28" s="28" t="n"/>
      <c r="L28" s="28" t="inlineStr">
        <is>
          <t>env: live  ·  Scope: Global — fix once, lands everywhere</t>
        </is>
      </c>
      <c r="M28" s="28" t="inlineStr">
        <is>
          <t>Global</t>
        </is>
      </c>
    </row>
    <row r="29">
      <c r="A29" s="27" t="inlineStr">
        <is>
          <t>WEB-GLOBAL-021</t>
        </is>
      </c>
      <c r="B29" s="28" t="inlineStr">
        <is>
          <t>Global · Text contrast below AA — View All Documents from MoSJE</t>
        </is>
      </c>
      <c r="C29" s="28" t="inlineStr">
        <is>
          <t>Color &amp; Token</t>
        </is>
      </c>
      <c r="D29" s="28" t="inlineStr">
        <is>
          <t>Major</t>
        </is>
      </c>
      <c r="E29" s="28" t="inlineStr">
        <is>
          <t>Figma: WCAG 2.2 AA (1.4.3), carried into GIGW 3.0: text needs 4.5:1 against its background, or 3:1 at 24px+ / 18.66px+ bold.  →  Live: Text “View All Documents from MoSJE” (a.btn) renders #0373DF on #F9FAFB at 14px/500 — #0373DF on #F9FAFB as painted on the capture: 4.44:1 against the 4.5:1 minimum. Measured on 13 pages.</t>
        </is>
      </c>
      <c r="F29" s="28" t="inlineStr">
        <is>
          <t>Darken the text or lighten its ground until the pair measures at least the required ratio, then re-check every place the pair is used.</t>
        </is>
      </c>
      <c r="G29" s="28" t="n"/>
      <c r="H29" s="28" t="inlineStr">
        <is>
          <t>https://www.dosje.gov.in/documents/corrigendum-to-pm-daksh-scheme-guidelines/</t>
        </is>
      </c>
      <c r="I29" s="28" t="inlineStr">
        <is>
          <t>Open</t>
        </is>
      </c>
      <c r="J29" s="28" t="n"/>
      <c r="K29" s="28" t="n"/>
      <c r="L29" s="28" t="inlineStr">
        <is>
          <t>env: live  ·  Scope: Global — fix once, lands everywhere</t>
        </is>
      </c>
      <c r="M29" s="28" t="inlineStr">
        <is>
          <t>Global</t>
        </is>
      </c>
    </row>
    <row r="30">
      <c r="A30" s="27" t="inlineStr">
        <is>
          <t>WEB-GLOBAL-015</t>
        </is>
      </c>
      <c r="B30" s="28" t="inlineStr">
        <is>
          <t>Global · Automated accessibility violation — frame-title</t>
        </is>
      </c>
      <c r="C30" s="28" t="inlineStr">
        <is>
          <t>Accessibility</t>
        </is>
      </c>
      <c r="D30" s="28" t="inlineStr">
        <is>
          <t>Major</t>
        </is>
      </c>
      <c r="E30" s="28" t="inlineStr">
        <is>
          <t>Figma: GIGW 3.0 mandates WCAG 2.2 AA conformance; axe-core tests a subset of it programmatically.  →  Live: Frames must have an accessible name — &lt;iframe width="100%" height="300" style="border:0;" loading="lazy" allowfullscreen="" referrerpolicy="no-referrer-when-downgrade" src="https://www.google.com/ma (frame-title, wcag2a, wcag412). Measured on 19 pages.</t>
        </is>
      </c>
      <c r="F30" s="28" t="inlineStr">
        <is>
          <t>Correct the markup the rule names; the rule's help page states the accepted fixes.</t>
        </is>
      </c>
      <c r="G30" s="28" t="n"/>
      <c r="H30" s="28" t="inlineStr">
        <is>
          <t>https://www.dosje.gov.in/events/ek-ped-maa-ke-naam-6/</t>
        </is>
      </c>
      <c r="I30" s="28" t="inlineStr">
        <is>
          <t>Open</t>
        </is>
      </c>
      <c r="J30" s="28" t="n"/>
      <c r="K30" s="28" t="n"/>
      <c r="L30" s="28" t="inlineStr">
        <is>
          <t>env: live  ·  Scope: Global — fix once, lands everywhere</t>
        </is>
      </c>
      <c r="M30" s="28" t="inlineStr">
        <is>
          <t>Global</t>
        </is>
      </c>
    </row>
    <row r="31">
      <c r="A31" s="27" t="inlineStr">
        <is>
          <t>WEB-GLOBAL-020</t>
        </is>
      </c>
      <c r="B31" s="28" t="inlineStr">
        <is>
          <t>Global · Text contrast below AA — Dr. Ambedkar Foundation Official</t>
        </is>
      </c>
      <c r="C31" s="28" t="inlineStr">
        <is>
          <t>Color &amp; Token</t>
        </is>
      </c>
      <c r="D31" s="28" t="inlineStr">
        <is>
          <t>Major</t>
        </is>
      </c>
      <c r="E31" s="28" t="inlineStr">
        <is>
          <t>Figma: WCAG 2.2 AA (1.4.3), carried into GIGW 3.0: text needs 4.5:1 against its background, or 3:1 at 24px+ / 18.66px+ bold.  →  Live: Text “Dr. Ambedkar Foundation Official” (h4.text-center) renders #0373DF on #F9FAFB at 20px/600 — #0373DF on #F9FAFB as painted on the capture: 4.44:1 against the 4.5:1 minimum. Measured on 14 pages.</t>
        </is>
      </c>
      <c r="F31" s="28" t="inlineStr">
        <is>
          <t>Darken the text or lighten its ground until the pair measures at least the required ratio, then re-check every place the pair is used.</t>
        </is>
      </c>
      <c r="G31" s="28" t="n"/>
      <c r="H31" s="28" t="inlineStr">
        <is>
          <t>https://www.dosje.gov.in/daf-directory/</t>
        </is>
      </c>
      <c r="I31" s="28" t="inlineStr">
        <is>
          <t>Open</t>
        </is>
      </c>
      <c r="J31" s="28" t="n"/>
      <c r="K31" s="28" t="n"/>
      <c r="L31" s="28" t="inlineStr">
        <is>
          <t>env: live  ·  Scope: Global — fix once, lands everywhere</t>
        </is>
      </c>
      <c r="M31" s="28" t="inlineStr">
        <is>
          <t>Global</t>
        </is>
      </c>
    </row>
    <row r="32">
      <c r="A32" s="27" t="inlineStr">
        <is>
          <t>WEB-GLOBAL-065</t>
        </is>
      </c>
      <c r="B32" s="28" t="inlineStr">
        <is>
          <t>Global · Font size outside the UX4G type scale — 11px text</t>
        </is>
      </c>
      <c r="C32" s="28" t="inlineStr">
        <is>
          <t>Typography</t>
        </is>
      </c>
      <c r="D32" s="28" t="inlineStr">
        <is>
          <t>Major</t>
        </is>
      </c>
      <c r="E32" s="28" t="inlineStr">
        <is>
          <t>Figma: UX4G 3.0 §2.3: font sizes come from the published type scale (12/14/16/18/20/24/28/32/36/40/52/60), and Body/XS 12px is the minimum.  →  Live: 9 element(s) render at 11px, which is not on the UX4G type scale (12/14/16/18/20/24/28/32/36/40/52/60). It is also below Body/XS, the stated minimum usable size. Measured on 6 pages.</t>
        </is>
      </c>
      <c r="F32" s="28" t="inlineStr">
        <is>
          <t>Move the size to the nearest step on the UX4G scale, and never below 12px.</t>
        </is>
      </c>
      <c r="G32" s="28" t="n"/>
      <c r="H32" s="28" t="inlineStr">
        <is>
          <t>https://www.dosje.gov.in/dashboard/</t>
        </is>
      </c>
      <c r="I32" s="28" t="inlineStr">
        <is>
          <t>Open</t>
        </is>
      </c>
      <c r="J32" s="28" t="n"/>
      <c r="K32" s="28" t="n"/>
      <c r="L32" s="28" t="inlineStr">
        <is>
          <t>env: live  ·  Scope: Global — fix once, lands everywhere</t>
        </is>
      </c>
      <c r="M32" s="28" t="inlineStr">
        <is>
          <t>Global</t>
        </is>
      </c>
    </row>
    <row r="33">
      <c r="A33" s="27" t="inlineStr">
        <is>
          <t>WEB-GLOBAL-047</t>
        </is>
      </c>
      <c r="B33" s="28" t="inlineStr">
        <is>
          <t>Global · Content in the design is not in the build — last updated on</t>
        </is>
      </c>
      <c r="C33" s="28" t="inlineStr">
        <is>
          <t>Content &amp; Iconography</t>
        </is>
      </c>
      <c r="D33" s="28" t="inlineStr">
        <is>
          <t>Major</t>
        </is>
      </c>
      <c r="E33" s="28" t="inlineStr">
        <is>
          <t>Figma: The approved Figma handoff frame for this screen. Design: “last updated on” · absent from the build  →  Live: The design frame carries “last updated on” (12px). Nothing with that text renders on the live page. Measured on 9 pages.</t>
        </is>
      </c>
      <c r="F33" s="28" t="inlineStr">
        <is>
          <t>Add the content the design carries, or confirm with the design team that it was dropped deliberately.</t>
        </is>
      </c>
      <c r="G33" s="28" t="inlineStr">
        <is>
          <t>https://www.figma.com/design/Ds5qx61QsI0ZkYSrLKxo0A/MoSJE--Handoff-?node-id=3453-12795</t>
        </is>
      </c>
      <c r="H33" s="28" t="n"/>
      <c r="I33" s="28" t="inlineStr">
        <is>
          <t>Open</t>
        </is>
      </c>
      <c r="J33" s="28" t="n"/>
      <c r="K33" s="28" t="n"/>
      <c r="L33" s="28" t="inlineStr">
        <is>
          <t>env: live  ·  Scope: Global — fix once, lands everywhere</t>
        </is>
      </c>
      <c r="M33" s="28" t="inlineStr">
        <is>
          <t>Global</t>
        </is>
      </c>
    </row>
    <row r="34">
      <c r="A34" s="27" t="inlineStr">
        <is>
          <t>WEB-GLOBAL-009</t>
        </is>
      </c>
      <c r="B34" s="28" t="inlineStr">
        <is>
          <t>Global · Image carries no alt attribute</t>
        </is>
      </c>
      <c r="C34" s="28" t="inlineStr">
        <is>
          <t>Content &amp; Iconography</t>
        </is>
      </c>
      <c r="D34" s="28" t="inlineStr">
        <is>
          <t>Major</t>
        </is>
      </c>
      <c r="E34" s="28" t="inlineStr">
        <is>
          <t>Figma: WCAG 2.2 A (1.1.1): every image carries an alt attribute — descriptive where it conveys meaning, empty where it is decorative.  →  Live: “g8203_6a017643c9e5a_5jbzbySbWZr2OwiYXBianYQzkv1kI7tVXaWbwldA.jpg” renders at 411px wide with no alt attribute. A screen reader announces the file name instead of the content. Measured on 6 pages.</t>
        </is>
      </c>
      <c r="F34" s="28" t="inlineStr">
        <is>
          <t>Add an alt attribute: a description where the image carries meaning, alt="" where it is decorative.</t>
        </is>
      </c>
      <c r="G34" s="28" t="n"/>
      <c r="H34" s="28" t="inlineStr">
        <is>
          <t>https://www.dosje.gov.in/gallery/</t>
        </is>
      </c>
      <c r="I34" s="28" t="inlineStr">
        <is>
          <t>Open</t>
        </is>
      </c>
      <c r="J34" s="28" t="n"/>
      <c r="K34" s="28" t="n"/>
      <c r="L34" s="28" t="inlineStr">
        <is>
          <t>env: live  ·  Scope: Global — fix once, lands everywhere</t>
        </is>
      </c>
      <c r="M34" s="28" t="inlineStr">
        <is>
          <t>Global</t>
        </is>
      </c>
    </row>
    <row r="35">
      <c r="A35" s="27" t="inlineStr">
        <is>
          <t>WEB-GLOBAL-058</t>
        </is>
      </c>
      <c r="B35" s="28" t="inlineStr">
        <is>
          <t>Global · Built value differs from the design — name</t>
        </is>
      </c>
      <c r="C35" s="28" t="inlineStr">
        <is>
          <t>Typography</t>
        </is>
      </c>
      <c r="D35" s="28" t="inlineStr">
        <is>
          <t>Major</t>
        </is>
      </c>
      <c r="E35" s="28" t="inlineStr">
        <is>
          <t>Figma: The approved Figma handoff frame for this screen. Built 14px · design 12px · Built 500 weight · design 400 · Built #1F2937 · design #1F2428  →  Live: “name” — size 12 → 14; weight 400 → 500; colour #1F2428 → #1F2937. Measured on 7 pages.</t>
        </is>
      </c>
      <c r="F35" s="28" t="inlineStr">
        <is>
          <t>Set the built value to the design's.</t>
        </is>
      </c>
      <c r="G35" s="28" t="inlineStr">
        <is>
          <t>https://www.figma.com/design/Ds5qx61QsI0ZkYSrLKxo0A/MoSJE--Handoff-?node-id=3453-9324</t>
        </is>
      </c>
      <c r="H35" s="28" t="n"/>
      <c r="I35" s="28" t="inlineStr">
        <is>
          <t>Open</t>
        </is>
      </c>
      <c r="J35" s="28" t="n"/>
      <c r="K35" s="28" t="n"/>
      <c r="L35" s="28" t="inlineStr">
        <is>
          <t>env: live  ·  Scope: Global — fix once, lands everywhere</t>
        </is>
      </c>
      <c r="M35" s="28" t="inlineStr">
        <is>
          <t>Global</t>
        </is>
      </c>
    </row>
    <row r="36">
      <c r="A36" s="27" t="inlineStr">
        <is>
          <t>WEB-GLOBAL-038</t>
        </is>
      </c>
      <c r="B36" s="28" t="inlineStr">
        <is>
          <t>Global · Touch target below the minimum — MoSJE</t>
        </is>
      </c>
      <c r="C36" s="28" t="inlineStr">
        <is>
          <t>Layout &amp; Spacing</t>
        </is>
      </c>
      <c r="D36" s="28" t="inlineStr">
        <is>
          <t>Major</t>
        </is>
      </c>
      <c r="E36" s="28" t="inlineStr">
        <is>
          <t>Figma: UX4G 3.0 §6: interactive targets are at least 44×44px with 8px between them. WCAG 2.5.8 AA sets an absolute floor of 24×24.  →  Live: “MoSJE” is 147×20px. UX4G 3.0 §6 sets 44×44px as the minimum interactive size; at 147×20 it is also below the WCAG 2.5.8 AA floor of 24×24. Measured on 6 pages.</t>
        </is>
      </c>
      <c r="F36" s="28" t="inlineStr">
        <is>
          <t>Grow the control, or add transparent padding around it, until it measures 44×44px with 8px clear of its neighbours.</t>
        </is>
      </c>
      <c r="G36" s="28" t="n"/>
      <c r="H36" s="28" t="inlineStr">
        <is>
          <t>https://www.dosje.gov.in/annual-reports/</t>
        </is>
      </c>
      <c r="I36" s="28" t="inlineStr">
        <is>
          <t>Open</t>
        </is>
      </c>
      <c r="J36" s="28" t="n"/>
      <c r="K36" s="28" t="n"/>
      <c r="L36" s="28" t="inlineStr">
        <is>
          <t>env: live  ·  Scope: Global — fix once, lands everywhere</t>
        </is>
      </c>
      <c r="M36" s="28" t="inlineStr">
        <is>
          <t>Global</t>
        </is>
      </c>
    </row>
    <row r="37">
      <c r="A37" s="27" t="inlineStr">
        <is>
          <t>WEB-GLOBAL-022</t>
        </is>
      </c>
      <c r="B37" s="28" t="inlineStr">
        <is>
          <t>Global · Text contrast below AA — Dr. Ambedkar International Centre (DAIC)</t>
        </is>
      </c>
      <c r="C37" s="28" t="inlineStr">
        <is>
          <t>Color &amp; Token</t>
        </is>
      </c>
      <c r="D37" s="28" t="inlineStr">
        <is>
          <t>Major</t>
        </is>
      </c>
      <c r="E37" s="28" t="inlineStr">
        <is>
          <t>Figma: WCAG 2.2 AA (1.4.3), carried into GIGW 3.0: text needs 4.5:1 against its background, or 3:1 at 24px+ / 18.66px+ bold.  →  Live: Text “Dr. Ambedkar International Centre (DAIC)” (a.text-primary) renders #0373DF on #F9FAFB at 16px/400 — #0373DF on #F9FAFB as painted on the capture: 4.44:1 against the 4.5:1 minimum. Measured on 4 pages.</t>
        </is>
      </c>
      <c r="F37" s="28" t="inlineStr">
        <is>
          <t>Darken the text or lighten its ground until the pair measures at least the required ratio, then re-check every place the pair is used.</t>
        </is>
      </c>
      <c r="G37" s="28" t="n"/>
      <c r="H37" s="28" t="inlineStr">
        <is>
          <t>https://www.dosje.gov.in/official/dr-swati-s-mishra/</t>
        </is>
      </c>
      <c r="I37" s="28" t="inlineStr">
        <is>
          <t>Open</t>
        </is>
      </c>
      <c r="J37" s="28" t="n"/>
      <c r="K37" s="28" t="n"/>
      <c r="L37" s="28" t="inlineStr">
        <is>
          <t>env: live  ·  Scope: Global — fix once, lands everywhere</t>
        </is>
      </c>
      <c r="M37" s="28" t="inlineStr">
        <is>
          <t>Global</t>
        </is>
      </c>
    </row>
    <row r="38">
      <c r="A38" s="27" t="inlineStr">
        <is>
          <t>WEB-GLOBAL-059</t>
        </is>
      </c>
      <c r="B38" s="28" t="inlineStr">
        <is>
          <t>Global · Built value differs from the design — dr. virendra kumar</t>
        </is>
      </c>
      <c r="C38" s="28" t="inlineStr">
        <is>
          <t>Typography</t>
        </is>
      </c>
      <c r="D38" s="28" t="inlineStr">
        <is>
          <t>Major</t>
        </is>
      </c>
      <c r="E38" s="28" t="inlineStr">
        <is>
          <t>Figma: The approved Figma handoff frame for this screen. Built 400 weight · design 500 · Built #0373DF · design #1F2428  →  Live: “dr. virendra kumar” — weight 500 → 400; colour #1F2428 → #0373DF. Measured on 6 pages.</t>
        </is>
      </c>
      <c r="F38" s="28" t="inlineStr">
        <is>
          <t>Set the built value to the design's.</t>
        </is>
      </c>
      <c r="G38" s="28" t="inlineStr">
        <is>
          <t>https://www.figma.com/design/Ds5qx61QsI0ZkYSrLKxo0A/MoSJE--Handoff-?node-id=4571-89516</t>
        </is>
      </c>
      <c r="H38" s="28" t="n"/>
      <c r="I38" s="28" t="inlineStr">
        <is>
          <t>Open</t>
        </is>
      </c>
      <c r="J38" s="28" t="n"/>
      <c r="K38" s="28" t="n"/>
      <c r="L38" s="28" t="inlineStr">
        <is>
          <t>env: live  ·  Scope: Global — fix once, lands everywhere</t>
        </is>
      </c>
      <c r="M38" s="28" t="inlineStr">
        <is>
          <t>Global</t>
        </is>
      </c>
    </row>
    <row r="39">
      <c r="A39" s="27" t="inlineStr">
        <is>
          <t>WEB-GLOBAL-014</t>
        </is>
      </c>
      <c r="B39" s="28" t="inlineStr">
        <is>
          <t>Global · Automated accessibility violation — link-in-text-block</t>
        </is>
      </c>
      <c r="C39" s="28" t="inlineStr">
        <is>
          <t>Accessibility</t>
        </is>
      </c>
      <c r="D39" s="28" t="inlineStr">
        <is>
          <t>Major</t>
        </is>
      </c>
      <c r="E39" s="28" t="inlineStr">
        <is>
          <t>Figma: GIGW 3.0 mandates WCAG 2.2 AA conformance; axe-core tests a subset of it programmatically.  →  Live: Links must be distinguishable without relying on color — &lt;a href="https://www.dosje.gov.in/organisation/national-portal-for-transgender-persons/" target="_blank" rel="noopener"&gt;https://www.dosje.gov.in/organisation/na (link-in-text-block, wcag2a, wcag141). Measured on 3 pages.</t>
        </is>
      </c>
      <c r="F39" s="28" t="inlineStr">
        <is>
          <t>Correct the markup the rule names; the rule's help page states the accepted fixes.</t>
        </is>
      </c>
      <c r="G39" s="28" t="n"/>
      <c r="H39" s="28" t="inlineStr">
        <is>
          <t>https://www.dosje.gov.in/about-the-division-social-defence/</t>
        </is>
      </c>
      <c r="I39" s="28" t="inlineStr">
        <is>
          <t>Open</t>
        </is>
      </c>
      <c r="J39" s="28" t="n"/>
      <c r="K39" s="28" t="n"/>
      <c r="L39" s="28" t="inlineStr">
        <is>
          <t>env: live  ·  Scope: Global — fix once, lands everywhere</t>
        </is>
      </c>
      <c r="M39" s="28" t="inlineStr">
        <is>
          <t>Global</t>
        </is>
      </c>
    </row>
    <row r="40">
      <c r="A40" s="27" t="inlineStr">
        <is>
          <t>WEB-GLOBAL-057</t>
        </is>
      </c>
      <c r="B40" s="28" t="inlineStr">
        <is>
          <t>Global · Built value differs from the design — dr. virendra kumar</t>
        </is>
      </c>
      <c r="C40" s="28" t="inlineStr">
        <is>
          <t>Color &amp; Token</t>
        </is>
      </c>
      <c r="D40" s="28" t="inlineStr">
        <is>
          <t>Major</t>
        </is>
      </c>
      <c r="E40" s="28" t="inlineStr">
        <is>
          <t>Figma: The approved Figma handoff frame for this screen. Built #0373DF · design #1F2428  →  Live: “dr. virendra kumar” — colour #1F2428 → #0373DF. Measured on 5 pages.</t>
        </is>
      </c>
      <c r="F40" s="28" t="inlineStr">
        <is>
          <t>Set the built value to the design's.</t>
        </is>
      </c>
      <c r="G40" s="28" t="inlineStr">
        <is>
          <t>https://www.figma.com/design/Ds5qx61QsI0ZkYSrLKxo0A/MoSJE--Handoff-?node-id=3453-9324</t>
        </is>
      </c>
      <c r="H40" s="28" t="n"/>
      <c r="I40" s="28" t="inlineStr">
        <is>
          <t>Open</t>
        </is>
      </c>
      <c r="J40" s="28" t="n"/>
      <c r="K40" s="28" t="n"/>
      <c r="L40" s="28" t="inlineStr">
        <is>
          <t>env: live  ·  Scope: Global — fix once, lands everywhere</t>
        </is>
      </c>
      <c r="M40" s="28" t="inlineStr">
        <is>
          <t>Global</t>
        </is>
      </c>
    </row>
    <row r="41">
      <c r="A41" s="27" t="inlineStr">
        <is>
          <t>WEB-GLOBAL-035</t>
        </is>
      </c>
      <c r="B41" s="28" t="inlineStr">
        <is>
          <t>Global · Touch target below the minimum — Transgender</t>
        </is>
      </c>
      <c r="C41" s="28" t="inlineStr">
        <is>
          <t>Layout &amp; Spacing</t>
        </is>
      </c>
      <c r="D41" s="28" t="inlineStr">
        <is>
          <t>Major</t>
        </is>
      </c>
      <c r="E41" s="28" t="inlineStr">
        <is>
          <t>Figma: UX4G 3.0 §6: interactive targets are at least 44×44px with 8px between them. WCAG 2.5.8 AA sets an absolute floor of 24×24.  →  Live: “Transgender” is 147×20px. UX4G 3.0 §6 sets 44×44px as the minimum interactive size; at 147×20 it is also below the WCAG 2.5.8 AA floor of 24×24. Measured on 4 pages.</t>
        </is>
      </c>
      <c r="F41" s="28" t="inlineStr">
        <is>
          <t>Grow the control, or add transparent padding around it, until it measures 44×44px with 8px clear of its neighbours.</t>
        </is>
      </c>
      <c r="G41" s="28" t="n"/>
      <c r="H41" s="28" t="inlineStr">
        <is>
          <t>https://www.dosje.gov.in/acts-rules/</t>
        </is>
      </c>
      <c r="I41" s="28" t="inlineStr">
        <is>
          <t>Open</t>
        </is>
      </c>
      <c r="J41" s="28" t="n"/>
      <c r="K41" s="28" t="n"/>
      <c r="L41" s="28" t="inlineStr">
        <is>
          <t>env: live  ·  Scope: Global — fix once, lands everywhere</t>
        </is>
      </c>
      <c r="M41" s="28" t="inlineStr">
        <is>
          <t>Global</t>
        </is>
      </c>
    </row>
    <row r="42">
      <c r="A42" s="27" t="inlineStr">
        <is>
          <t>WEB-GLOBAL-041</t>
        </is>
      </c>
      <c r="B42" s="28" t="inlineStr">
        <is>
          <t>Global · Touch target below the minimum — NBCFDC</t>
        </is>
      </c>
      <c r="C42" s="28" t="inlineStr">
        <is>
          <t>Layout &amp; Spacing</t>
        </is>
      </c>
      <c r="D42" s="28" t="inlineStr">
        <is>
          <t>Major</t>
        </is>
      </c>
      <c r="E42" s="28" t="inlineStr">
        <is>
          <t>Figma: UX4G 3.0 §6: interactive targets are at least 44×44px with 8px between them. WCAG 2.5.8 AA sets an absolute floor of 24×24.  →  Live: “NBCFDC” is 147×20px. UX4G 3.0 §6 sets 44×44px as the minimum interactive size; at 147×20 it is also below the WCAG 2.5.8 AA floor of 24×24. Measured on 4 pages.</t>
        </is>
      </c>
      <c r="F42" s="28" t="inlineStr">
        <is>
          <t>Grow the control, or add transparent padding around it, until it measures 44×44px with 8px clear of its neighbours.</t>
        </is>
      </c>
      <c r="G42" s="28" t="n"/>
      <c r="H42" s="28" t="inlineStr">
        <is>
          <t>https://www.dosje.gov.in/forms-templates/</t>
        </is>
      </c>
      <c r="I42" s="28" t="inlineStr">
        <is>
          <t>Open</t>
        </is>
      </c>
      <c r="J42" s="28" t="n"/>
      <c r="K42" s="28" t="n"/>
      <c r="L42" s="28" t="inlineStr">
        <is>
          <t>env: live  ·  Scope: Global — fix once, lands everywhere</t>
        </is>
      </c>
      <c r="M42" s="28" t="inlineStr">
        <is>
          <t>Global</t>
        </is>
      </c>
    </row>
    <row r="43">
      <c r="A43" s="27" t="inlineStr">
        <is>
          <t>WEB-GLOBAL-052</t>
        </is>
      </c>
      <c r="B43" s="28" t="inlineStr">
        <is>
          <t>Global · Content in the design is not in the build — search by name, designation, or organization</t>
        </is>
      </c>
      <c r="C43" s="28" t="inlineStr">
        <is>
          <t>Content &amp; Iconography</t>
        </is>
      </c>
      <c r="D43" s="28" t="inlineStr">
        <is>
          <t>Major</t>
        </is>
      </c>
      <c r="E43" s="28" t="inlineStr">
        <is>
          <t>Figma: The approved Figma handoff frame for this screen. Design: “search by name, designation, or organiza” · absent from the build  →  Live: The design frame carries “search by name, designation, or organization” (16px). Nothing with that text renders on the live page. Measured on 3 pages.</t>
        </is>
      </c>
      <c r="F43" s="28" t="inlineStr">
        <is>
          <t>Add the content the design carries, or confirm with the design team that it was dropped deliberately.</t>
        </is>
      </c>
      <c r="G43" s="28" t="inlineStr">
        <is>
          <t>https://www.figma.com/design/Ds5qx61QsI0ZkYSrLKxo0A/MoSJE--Handoff-?node-id=3453-9324</t>
        </is>
      </c>
      <c r="H43" s="28" t="n"/>
      <c r="I43" s="28" t="inlineStr">
        <is>
          <t>Open</t>
        </is>
      </c>
      <c r="J43" s="28" t="n"/>
      <c r="K43" s="28" t="n"/>
      <c r="L43" s="28" t="inlineStr">
        <is>
          <t>env: live  ·  Scope: Global — fix once, lands everywhere</t>
        </is>
      </c>
      <c r="M43" s="28" t="inlineStr">
        <is>
          <t>Global</t>
        </is>
      </c>
    </row>
    <row r="44">
      <c r="A44" s="27" t="inlineStr">
        <is>
          <t>WEB-GLOBAL-048</t>
        </is>
      </c>
      <c r="B44" s="28" t="inlineStr">
        <is>
          <t>Global · Content in the design is not in the build — of 1500 items</t>
        </is>
      </c>
      <c r="C44" s="28" t="inlineStr">
        <is>
          <t>Content &amp; Iconography</t>
        </is>
      </c>
      <c r="D44" s="28" t="inlineStr">
        <is>
          <t>Major</t>
        </is>
      </c>
      <c r="E44" s="28" t="inlineStr">
        <is>
          <t>Figma: The approved Figma handoff frame for this screen. Design: “of 1500 items” · absent from the build  →  Live: The design frame carries “of 1500 items” (12px). Nothing with that text renders on the live page. Measured on 4 pages.</t>
        </is>
      </c>
      <c r="F44" s="28" t="inlineStr">
        <is>
          <t>Add the content the design carries, or confirm with the design team that it was dropped deliberately.</t>
        </is>
      </c>
      <c r="G44" s="28" t="inlineStr">
        <is>
          <t>https://www.figma.com/design/Ds5qx61QsI0ZkYSrLKxo0A/MoSJE--Handoff-?node-id=3453-12795</t>
        </is>
      </c>
      <c r="H44" s="28" t="n"/>
      <c r="I44" s="28" t="inlineStr">
        <is>
          <t>Open</t>
        </is>
      </c>
      <c r="J44" s="28" t="n"/>
      <c r="K44" s="28" t="n"/>
      <c r="L44" s="28" t="inlineStr">
        <is>
          <t>env: live  ·  Scope: Global — fix once, lands everywhere</t>
        </is>
      </c>
      <c r="M44" s="28" t="inlineStr">
        <is>
          <t>Global</t>
        </is>
      </c>
    </row>
    <row r="45">
      <c r="A45" s="27" t="inlineStr">
        <is>
          <t>WEB-GLOBAL-051</t>
        </is>
      </c>
      <c r="B45" s="28" t="inlineStr">
        <is>
          <t>Global · Content in the design is not in the build</t>
        </is>
      </c>
      <c r="C45" s="28" t="inlineStr">
        <is>
          <t>Content &amp; Iconography</t>
        </is>
      </c>
      <c r="D45" s="28" t="inlineStr">
        <is>
          <t>Major</t>
        </is>
      </c>
      <c r="E45" s="28" t="inlineStr">
        <is>
          <t>Figma: The approved Figma handoff frame for this screen. Design: “empowering citizens with the right to in” · absent from the build  →  Live: The design frame carries “empowering citizens with the right to information access government data, decisi” (16px). Nothing with that text renders on the live page. Measured on 3 pages.</t>
        </is>
      </c>
      <c r="F45" s="28" t="inlineStr">
        <is>
          <t>Add the content the design carries, or confirm with the design team that it was dropped deliberately.</t>
        </is>
      </c>
      <c r="G45" s="28" t="inlineStr">
        <is>
          <t>https://www.figma.com/design/Ds5qx61QsI0ZkYSrLKxo0A/MoSJE--Handoff-?node-id=3453-14221</t>
        </is>
      </c>
      <c r="H45" s="28" t="n"/>
      <c r="I45" s="28" t="inlineStr">
        <is>
          <t>Open</t>
        </is>
      </c>
      <c r="J45" s="28" t="n"/>
      <c r="K45" s="28" t="n"/>
      <c r="L45" s="28" t="inlineStr">
        <is>
          <t>env: live  ·  Scope: Global — fix once, lands everywhere</t>
        </is>
      </c>
      <c r="M45" s="28" t="inlineStr">
        <is>
          <t>Global</t>
        </is>
      </c>
    </row>
    <row r="46">
      <c r="A46" s="27" t="inlineStr">
        <is>
          <t>WEB-GLOBAL-062</t>
        </is>
      </c>
      <c r="B46" s="28" t="inlineStr">
        <is>
          <t>Global · Built value differs from the design — here's how the ministry empowers citizens like you</t>
        </is>
      </c>
      <c r="C46" s="28" t="inlineStr">
        <is>
          <t>Typography</t>
        </is>
      </c>
      <c r="D46" s="28" t="inlineStr">
        <is>
          <t>Major</t>
        </is>
      </c>
      <c r="E46" s="28" t="inlineStr">
        <is>
          <t>Figma: The approved Figma handoff frame for this screen. Built 28px · design 22px · Built #1F2937 · design #1F2428  →  Live: “here's how the ministry empowers citizens like you” — size 22 → 28; colour #1F2428 → #1F2937. Measured on 4 pages.</t>
        </is>
      </c>
      <c r="F46" s="28" t="inlineStr">
        <is>
          <t>Set the built value to the design's.</t>
        </is>
      </c>
      <c r="G46" s="28" t="inlineStr">
        <is>
          <t>https://www.figma.com/design/Ds5qx61QsI0ZkYSrLKxo0A/MoSJE--Handoff-?node-id=3453-8477</t>
        </is>
      </c>
      <c r="H46" s="28" t="n"/>
      <c r="I46" s="28" t="inlineStr">
        <is>
          <t>Open</t>
        </is>
      </c>
      <c r="J46" s="28" t="n"/>
      <c r="K46" s="28" t="n"/>
      <c r="L46" s="28" t="inlineStr">
        <is>
          <t>env: live  ·  Scope: Global — fix once, lands everywhere</t>
        </is>
      </c>
      <c r="M46" s="28" t="inlineStr">
        <is>
          <t>Global</t>
        </is>
      </c>
    </row>
    <row r="47">
      <c r="A47" s="27" t="inlineStr">
        <is>
          <t>WEB-GLOBAL-049</t>
        </is>
      </c>
      <c r="B47" s="28" t="inlineStr">
        <is>
          <t>Global · Content in the design is not in the build — search by title, keyword, or document number</t>
        </is>
      </c>
      <c r="C47" s="28" t="inlineStr">
        <is>
          <t>Content &amp; Iconography</t>
        </is>
      </c>
      <c r="D47" s="28" t="inlineStr">
        <is>
          <t>Major</t>
        </is>
      </c>
      <c r="E47" s="28" t="inlineStr">
        <is>
          <t>Figma: The approved Figma handoff frame for this screen. Design: “search by title, keyword, or document nu” · absent from the build  →  Live: The design frame carries “search by title, keyword, or document number” (16px). Nothing with that text renders on the live page. Measured on 3 pages.</t>
        </is>
      </c>
      <c r="F47" s="28" t="inlineStr">
        <is>
          <t>Add the content the design carries, or confirm with the design team that it was dropped deliberately.</t>
        </is>
      </c>
      <c r="G47" s="28" t="inlineStr">
        <is>
          <t>https://www.figma.com/design/Ds5qx61QsI0ZkYSrLKxo0A/MoSJE--Handoff-?node-id=3453-12795</t>
        </is>
      </c>
      <c r="H47" s="28" t="n"/>
      <c r="I47" s="28" t="inlineStr">
        <is>
          <t>Open</t>
        </is>
      </c>
      <c r="J47" s="28" t="n"/>
      <c r="K47" s="28" t="n"/>
      <c r="L47" s="28" t="inlineStr">
        <is>
          <t>env: live  ·  Scope: Global — fix once, lands everywhere</t>
        </is>
      </c>
      <c r="M47" s="28" t="inlineStr">
        <is>
          <t>Global</t>
        </is>
      </c>
    </row>
    <row r="48">
      <c r="A48" s="27" t="inlineStr">
        <is>
          <t>WEB-GLOBAL-034</t>
        </is>
      </c>
      <c r="B48" s="28" t="inlineStr">
        <is>
          <t>Global · Touch target below the minimum — NCBC</t>
        </is>
      </c>
      <c r="C48" s="28" t="inlineStr">
        <is>
          <t>Layout &amp; Spacing</t>
        </is>
      </c>
      <c r="D48" s="28" t="inlineStr">
        <is>
          <t>Major</t>
        </is>
      </c>
      <c r="E48" s="28" t="inlineStr">
        <is>
          <t>Figma: UX4G 3.0 §6: interactive targets are at least 44×44px with 8px between them. WCAG 2.5.8 AA sets an absolute floor of 24×24.  →  Live: “NCBC” is 147×20px. UX4G 3.0 §6 sets 44×44px as the minimum interactive size; at 147×20 it is also below the WCAG 2.5.8 AA floor of 24×24. Measured on 3 pages.</t>
        </is>
      </c>
      <c r="F48" s="28" t="inlineStr">
        <is>
          <t>Grow the control, or add transparent padding around it, until it measures 44×44px with 8px clear of its neighbours.</t>
        </is>
      </c>
      <c r="G48" s="28" t="n"/>
      <c r="H48" s="28" t="inlineStr">
        <is>
          <t>https://www.dosje.gov.in/acts-rules/</t>
        </is>
      </c>
      <c r="I48" s="28" t="inlineStr">
        <is>
          <t>Open</t>
        </is>
      </c>
      <c r="J48" s="28" t="n"/>
      <c r="K48" s="28" t="n"/>
      <c r="L48" s="28" t="inlineStr">
        <is>
          <t>env: live  ·  Scope: Global — fix once, lands everywhere</t>
        </is>
      </c>
      <c r="M48" s="28" t="inlineStr">
        <is>
          <t>Global</t>
        </is>
      </c>
    </row>
    <row r="49">
      <c r="A49" s="27" t="inlineStr">
        <is>
          <t>WEB-GLOBAL-036</t>
        </is>
      </c>
      <c r="B49" s="28" t="inlineStr">
        <is>
          <t>Global · Touch target below the minimum — DAF</t>
        </is>
      </c>
      <c r="C49" s="28" t="inlineStr">
        <is>
          <t>Layout &amp; Spacing</t>
        </is>
      </c>
      <c r="D49" s="28" t="inlineStr">
        <is>
          <t>Major</t>
        </is>
      </c>
      <c r="E49" s="28" t="inlineStr">
        <is>
          <t>Figma: UX4G 3.0 §6: interactive targets are at least 44×44px with 8px between them. WCAG 2.5.8 AA sets an absolute floor of 24×24.  →  Live: “DAF” is 147×20px. UX4G 3.0 §6 sets 44×44px as the minimum interactive size; at 147×20 it is also below the WCAG 2.5.8 AA floor of 24×24. Measured on 3 pages.</t>
        </is>
      </c>
      <c r="F49" s="28" t="inlineStr">
        <is>
          <t>Grow the control, or add transparent padding around it, until it measures 44×44px with 8px clear of its neighbours.</t>
        </is>
      </c>
      <c r="G49" s="28" t="n"/>
      <c r="H49" s="28" t="inlineStr">
        <is>
          <t>https://www.dosje.gov.in/advertisement/</t>
        </is>
      </c>
      <c r="I49" s="28" t="inlineStr">
        <is>
          <t>Open</t>
        </is>
      </c>
      <c r="J49" s="28" t="n"/>
      <c r="K49" s="28" t="n"/>
      <c r="L49" s="28" t="inlineStr">
        <is>
          <t>env: live  ·  Scope: Global — fix once, lands everywhere</t>
        </is>
      </c>
      <c r="M49" s="28" t="inlineStr">
        <is>
          <t>Global</t>
        </is>
      </c>
    </row>
    <row r="50">
      <c r="A50" s="27" t="inlineStr">
        <is>
          <t>WEB-GLOBAL-037</t>
        </is>
      </c>
      <c r="B50" s="28" t="inlineStr">
        <is>
          <t>Global · Touch target below the minimum — DAIC</t>
        </is>
      </c>
      <c r="C50" s="28" t="inlineStr">
        <is>
          <t>Layout &amp; Spacing</t>
        </is>
      </c>
      <c r="D50" s="28" t="inlineStr">
        <is>
          <t>Major</t>
        </is>
      </c>
      <c r="E50" s="28" t="inlineStr">
        <is>
          <t>Figma: UX4G 3.0 §6: interactive targets are at least 44×44px with 8px between them. WCAG 2.5.8 AA sets an absolute floor of 24×24.  →  Live: “DAIC” is 147×20px. UX4G 3.0 §6 sets 44×44px as the minimum interactive size; at 147×20 it is also below the WCAG 2.5.8 AA floor of 24×24. Measured on 3 pages.</t>
        </is>
      </c>
      <c r="F50" s="28" t="inlineStr">
        <is>
          <t>Grow the control, or add transparent padding around it, until it measures 44×44px with 8px clear of its neighbours.</t>
        </is>
      </c>
      <c r="G50" s="28" t="n"/>
      <c r="H50" s="28" t="inlineStr">
        <is>
          <t>https://www.dosje.gov.in/advertisement/</t>
        </is>
      </c>
      <c r="I50" s="28" t="inlineStr">
        <is>
          <t>Open</t>
        </is>
      </c>
      <c r="J50" s="28" t="n"/>
      <c r="K50" s="28" t="n"/>
      <c r="L50" s="28" t="inlineStr">
        <is>
          <t>env: live  ·  Scope: Global — fix once, lands everywhere</t>
        </is>
      </c>
      <c r="M50" s="28" t="inlineStr">
        <is>
          <t>Global</t>
        </is>
      </c>
    </row>
    <row r="51">
      <c r="A51" s="27" t="inlineStr">
        <is>
          <t>WEB-GLOBAL-039</t>
        </is>
      </c>
      <c r="B51" s="28" t="inlineStr">
        <is>
          <t>Global · Touch target below the minimum — NSFDC</t>
        </is>
      </c>
      <c r="C51" s="28" t="inlineStr">
        <is>
          <t>Layout &amp; Spacing</t>
        </is>
      </c>
      <c r="D51" s="28" t="inlineStr">
        <is>
          <t>Major</t>
        </is>
      </c>
      <c r="E51" s="28" t="inlineStr">
        <is>
          <t>Figma: UX4G 3.0 §6: interactive targets are at least 44×44px with 8px between them. WCAG 2.5.8 AA sets an absolute floor of 24×24.  →  Live: “NSFDC” is 147×20px. UX4G 3.0 §6 sets 44×44px as the minimum interactive size; at 147×20 it is also below the WCAG 2.5.8 AA floor of 24×24. Measured on 3 pages.</t>
        </is>
      </c>
      <c r="F51" s="28" t="inlineStr">
        <is>
          <t>Grow the control, or add transparent padding around it, until it measures 44×44px with 8px clear of its neighbours.</t>
        </is>
      </c>
      <c r="G51" s="28" t="n"/>
      <c r="H51" s="28" t="inlineStr">
        <is>
          <t>https://www.dosje.gov.in/annual-reports/</t>
        </is>
      </c>
      <c r="I51" s="28" t="inlineStr">
        <is>
          <t>Open</t>
        </is>
      </c>
      <c r="J51" s="28" t="n"/>
      <c r="K51" s="28" t="n"/>
      <c r="L51" s="28" t="inlineStr">
        <is>
          <t>env: live  ·  Scope: Global — fix once, lands everywhere</t>
        </is>
      </c>
      <c r="M51" s="28" t="inlineStr">
        <is>
          <t>Global</t>
        </is>
      </c>
    </row>
    <row r="52">
      <c r="A52" s="27" t="inlineStr">
        <is>
          <t>WEB-GLOBAL-040</t>
        </is>
      </c>
      <c r="B52" s="28" t="inlineStr">
        <is>
          <t>Global · Touch target below the minimum — NMBA</t>
        </is>
      </c>
      <c r="C52" s="28" t="inlineStr">
        <is>
          <t>Layout &amp; Spacing</t>
        </is>
      </c>
      <c r="D52" s="28" t="inlineStr">
        <is>
          <t>Major</t>
        </is>
      </c>
      <c r="E52" s="28" t="inlineStr">
        <is>
          <t>Figma: UX4G 3.0 §6: interactive targets are at least 44×44px with 8px between them. WCAG 2.5.8 AA sets an absolute floor of 24×24.  →  Live: “NMBA” is 147×20px. UX4G 3.0 §6 sets 44×44px as the minimum interactive size; at 147×20 it is also below the WCAG 2.5.8 AA floor of 24×24. Measured on 3 pages.</t>
        </is>
      </c>
      <c r="F52" s="28" t="inlineStr">
        <is>
          <t>Grow the control, or add transparent padding around it, until it measures 44×44px with 8px clear of its neighbours.</t>
        </is>
      </c>
      <c r="G52" s="28" t="n"/>
      <c r="H52" s="28" t="inlineStr">
        <is>
          <t>https://www.dosje.gov.in/circulars-notifications/</t>
        </is>
      </c>
      <c r="I52" s="28" t="inlineStr">
        <is>
          <t>Open</t>
        </is>
      </c>
      <c r="J52" s="28" t="n"/>
      <c r="K52" s="28" t="n"/>
      <c r="L52" s="28" t="inlineStr">
        <is>
          <t>env: live  ·  Scope: Global — fix once, lands everywhere</t>
        </is>
      </c>
      <c r="M52" s="28" t="inlineStr">
        <is>
          <t>Global</t>
        </is>
      </c>
    </row>
    <row r="53">
      <c r="A53" s="27" t="inlineStr">
        <is>
          <t>WEB-GLOBAL-043</t>
        </is>
      </c>
      <c r="B53" s="28" t="inlineStr">
        <is>
          <t>Global · Touch target below the minimum — SCW</t>
        </is>
      </c>
      <c r="C53" s="28" t="inlineStr">
        <is>
          <t>Layout &amp; Spacing</t>
        </is>
      </c>
      <c r="D53" s="28" t="inlineStr">
        <is>
          <t>Major</t>
        </is>
      </c>
      <c r="E53" s="28" t="inlineStr">
        <is>
          <t>Figma: UX4G 3.0 §6: interactive targets are at least 44×44px with 8px between them. WCAG 2.5.8 AA sets an absolute floor of 24×24.  →  Live: “SCW” is 147×20px. UX4G 3.0 §6 sets 44×44px as the minimum interactive size; at 147×20 it is also below the WCAG 2.5.8 AA floor of 24×24. Measured on 3 pages.</t>
        </is>
      </c>
      <c r="F53" s="28" t="inlineStr">
        <is>
          <t>Grow the control, or add transparent padding around it, until it measures 44×44px with 8px clear of its neighbours.</t>
        </is>
      </c>
      <c r="G53" s="28" t="n"/>
      <c r="H53" s="28" t="inlineStr">
        <is>
          <t>https://www.dosje.gov.in/mou/</t>
        </is>
      </c>
      <c r="I53" s="28" t="inlineStr">
        <is>
          <t>Open</t>
        </is>
      </c>
      <c r="J53" s="28" t="n"/>
      <c r="K53" s="28" t="n"/>
      <c r="L53" s="28" t="inlineStr">
        <is>
          <t>env: live  ·  Scope: Global — fix once, lands everywhere</t>
        </is>
      </c>
      <c r="M53" s="28" t="inlineStr">
        <is>
          <t>Global</t>
        </is>
      </c>
    </row>
    <row r="54">
      <c r="A54" s="27" t="inlineStr">
        <is>
          <t>WEB-GLOBAL-042</t>
        </is>
      </c>
      <c r="B54" s="28" t="inlineStr">
        <is>
          <t>Global · Touch target below the minimum — NSKFDC</t>
        </is>
      </c>
      <c r="C54" s="28" t="inlineStr">
        <is>
          <t>Layout &amp; Spacing</t>
        </is>
      </c>
      <c r="D54" s="28" t="inlineStr">
        <is>
          <t>Major</t>
        </is>
      </c>
      <c r="E54" s="28" t="inlineStr">
        <is>
          <t>Figma: UX4G 3.0 §6: interactive targets are at least 44×44px with 8px between them. WCAG 2.5.8 AA sets an absolute floor of 24×24.  →  Live: “NSKFDC” is 147×20px. UX4G 3.0 §6 sets 44×44px as the minimum interactive size; at 147×20 it is also below the WCAG 2.5.8 AA floor of 24×24. Measured on 3 pages.</t>
        </is>
      </c>
      <c r="F54" s="28" t="inlineStr">
        <is>
          <t>Grow the control, or add transparent padding around it, until it measures 44×44px with 8px clear of its neighbours.</t>
        </is>
      </c>
      <c r="G54" s="28" t="n"/>
      <c r="H54" s="28" t="inlineStr">
        <is>
          <t>https://www.dosje.gov.in/mou/</t>
        </is>
      </c>
      <c r="I54" s="28" t="inlineStr">
        <is>
          <t>Open</t>
        </is>
      </c>
      <c r="J54" s="28" t="n"/>
      <c r="K54" s="28" t="n"/>
      <c r="L54" s="28" t="inlineStr">
        <is>
          <t>env: live  ·  Scope: Global — fix once, lands everywhere</t>
        </is>
      </c>
      <c r="M54" s="28" t="inlineStr">
        <is>
          <t>Global</t>
        </is>
      </c>
    </row>
    <row r="55">
      <c r="A55" s="27" t="inlineStr">
        <is>
          <t>WEB-GLOBAL-023</t>
        </is>
      </c>
      <c r="B55" s="28" t="inlineStr">
        <is>
          <t>Global · Text contrast below AA — Dr. Swati S. Mishra</t>
        </is>
      </c>
      <c r="C55" s="28" t="inlineStr">
        <is>
          <t>Color &amp; Token</t>
        </is>
      </c>
      <c r="D55" s="28" t="inlineStr">
        <is>
          <t>Major</t>
        </is>
      </c>
      <c r="E55" s="28" t="inlineStr">
        <is>
          <t>Figma: WCAG 2.2 AA (1.4.3), carried into GIGW 3.0: text needs 4.5:1 against its background, or 3:1 at 24px+ / 18.66px+ bold.  →  Live: Text “Dr. Swati S. Mishra” (h1.h3) renders #0373DF on #F9FAFB at 22px/500 — #0373DF on #F9FAFB as painted on the capture: 4.44:1 against the 4.5:1 minimum. Measured on 3 pages.</t>
        </is>
      </c>
      <c r="F55" s="28" t="inlineStr">
        <is>
          <t>Darken the text or lighten its ground until the pair measures at least the required ratio, then re-check every place the pair is used.</t>
        </is>
      </c>
      <c r="G55" s="28" t="n"/>
      <c r="H55" s="28" t="inlineStr">
        <is>
          <t>https://www.dosje.gov.in/official/dr-swati-s-mishra/</t>
        </is>
      </c>
      <c r="I55" s="28" t="inlineStr">
        <is>
          <t>Open</t>
        </is>
      </c>
      <c r="J55" s="28" t="n"/>
      <c r="K55" s="28" t="n"/>
      <c r="L55" s="28" t="inlineStr">
        <is>
          <t>env: live  ·  Scope: Global — fix once, lands everywhere</t>
        </is>
      </c>
      <c r="M55" s="28" t="inlineStr">
        <is>
          <t>Global</t>
        </is>
      </c>
    </row>
    <row r="56">
      <c r="A56" s="27" t="inlineStr">
        <is>
          <t>WEB-GLOBAL-044</t>
        </is>
      </c>
      <c r="B56" s="28" t="inlineStr">
        <is>
          <t>Global · Touch target below the minimum — DAIC</t>
        </is>
      </c>
      <c r="C56" s="28" t="inlineStr">
        <is>
          <t>Layout &amp; Spacing</t>
        </is>
      </c>
      <c r="D56" s="28" t="inlineStr">
        <is>
          <t>Major</t>
        </is>
      </c>
      <c r="E56" s="28" t="inlineStr">
        <is>
          <t>Figma: UX4G 3.0 §6: interactive targets are at least 44×44px with 8px between them. WCAG 2.5.8 AA sets an absolute floor of 24×24.  →  Live: “DAIC” is 35×19px. UX4G 3.0 §6 sets 44×44px as the minimum interactive size; at 35×19 it is also below the WCAG 2.5.8 AA floor of 24×24. Measured on 3 pages.</t>
        </is>
      </c>
      <c r="F56" s="28" t="inlineStr">
        <is>
          <t>Grow the control, or add transparent padding around it, until it measures 44×44px with 8px clear of its neighbours.</t>
        </is>
      </c>
      <c r="G56" s="28" t="n"/>
      <c r="H56" s="28" t="inlineStr">
        <is>
          <t>https://www.dosje.gov.in/tender/investment-of-an-amount-of-rs-10-00-crore-in-fixed-reg-2/</t>
        </is>
      </c>
      <c r="I56" s="28" t="inlineStr">
        <is>
          <t>Open</t>
        </is>
      </c>
      <c r="J56" s="28" t="n"/>
      <c r="K56" s="28" t="n"/>
      <c r="L56" s="28" t="inlineStr">
        <is>
          <t>env: live  ·  Scope: Global — fix once, lands everywhere</t>
        </is>
      </c>
      <c r="M56" s="28" t="inlineStr">
        <is>
          <t>Global</t>
        </is>
      </c>
    </row>
    <row r="57">
      <c r="A57" s="27" t="inlineStr">
        <is>
          <t>WEB-GLOBAL-060</t>
        </is>
      </c>
      <c r="B57" s="28" t="inlineStr">
        <is>
          <t>Global · Built value differs from the design — union minister of social justice and empowerment</t>
        </is>
      </c>
      <c r="C57" s="28" t="inlineStr">
        <is>
          <t>Typography</t>
        </is>
      </c>
      <c r="D57" s="28" t="inlineStr">
        <is>
          <t>Major</t>
        </is>
      </c>
      <c r="E57" s="28" t="inlineStr">
        <is>
          <t>Figma: The approved Figma handoff frame for this screen. Built 14px · design 12px · Built #1F2937 · design #343A40  →  Live: “union minister of social justice and empowerment” — size 12 → 14; colour #343A40 → #1F2937. Measured on 3 pages.</t>
        </is>
      </c>
      <c r="F57" s="28" t="inlineStr">
        <is>
          <t>Set the built value to the design's.</t>
        </is>
      </c>
      <c r="G57" s="28" t="inlineStr">
        <is>
          <t>https://www.figma.com/design/Ds5qx61QsI0ZkYSrLKxo0A/MoSJE--Handoff-?node-id=4571-89516</t>
        </is>
      </c>
      <c r="H57" s="28" t="n"/>
      <c r="I57" s="28" t="inlineStr">
        <is>
          <t>Open</t>
        </is>
      </c>
      <c r="J57" s="28" t="n"/>
      <c r="K57" s="28" t="n"/>
      <c r="L57" s="28" t="inlineStr">
        <is>
          <t>env: live  ·  Scope: Global — fix once, lands everywhere</t>
        </is>
      </c>
      <c r="M57" s="28" t="inlineStr">
        <is>
          <t>Global</t>
        </is>
      </c>
    </row>
    <row r="58">
      <c r="A58" s="27" t="inlineStr">
        <is>
          <t>WEB-GLOBAL-061</t>
        </is>
      </c>
      <c r="B58" s="28" t="inlineStr">
        <is>
          <t>Global · Built value differs from the design — mos3-msje[at]gov[dot]in</t>
        </is>
      </c>
      <c r="C58" s="28" t="inlineStr">
        <is>
          <t>Typography</t>
        </is>
      </c>
      <c r="D58" s="28" t="inlineStr">
        <is>
          <t>Major</t>
        </is>
      </c>
      <c r="E58" s="28" t="inlineStr">
        <is>
          <t>Figma: The approved Figma handoff frame for this screen. Built 14px · design 12px · Built 400 weight · design 500 · Built #1F2937 · design #1F2428  →  Live: “mos3-msje[at]gov[dot]in” — size 12 → 14; weight 500 → 400; colour #1F2428 → #1F2937. Measured on 3 pages.</t>
        </is>
      </c>
      <c r="F58" s="28" t="inlineStr">
        <is>
          <t>Set the built value to the design's.</t>
        </is>
      </c>
      <c r="G58" s="28" t="inlineStr">
        <is>
          <t>https://www.figma.com/design/Ds5qx61QsI0ZkYSrLKxo0A/MoSJE--Handoff-?node-id=4571-89516</t>
        </is>
      </c>
      <c r="H58" s="28" t="n"/>
      <c r="I58" s="28" t="inlineStr">
        <is>
          <t>Open</t>
        </is>
      </c>
      <c r="J58" s="28" t="n"/>
      <c r="K58" s="28" t="n"/>
      <c r="L58" s="28" t="inlineStr">
        <is>
          <t>env: live  ·  Scope: Global — fix once, lands everywhere</t>
        </is>
      </c>
      <c r="M58" s="28" t="inlineStr">
        <is>
          <t>Global</t>
        </is>
      </c>
    </row>
    <row r="59">
      <c r="A59" s="27" t="inlineStr">
        <is>
          <t>WEB-GLOBAL-053</t>
        </is>
      </c>
      <c r="B59" s="28" t="inlineStr">
        <is>
          <t>Global · Content in the design is not in the build — target group</t>
        </is>
      </c>
      <c r="C59" s="28" t="inlineStr">
        <is>
          <t>Content &amp; Iconography</t>
        </is>
      </c>
      <c r="D59" s="28" t="inlineStr">
        <is>
          <t>Major</t>
        </is>
      </c>
      <c r="E59" s="28" t="inlineStr">
        <is>
          <t>Figma: The approved Figma handoff frame for this screen. Design: “target group” · absent from the build  →  Live: The design frame carries “target group” (14px). Nothing with that text renders on the live page. Measured on 3 pages.</t>
        </is>
      </c>
      <c r="F59" s="28" t="inlineStr">
        <is>
          <t>Add the content the design carries, or confirm with the design team that it was dropped deliberately.</t>
        </is>
      </c>
      <c r="G59" s="28" t="inlineStr">
        <is>
          <t>https://www.figma.com/design/Ds5qx61QsI0ZkYSrLKxo0A/MoSJE--Handoff-?node-id=3453-12250</t>
        </is>
      </c>
      <c r="H59" s="28" t="n"/>
      <c r="I59" s="28" t="inlineStr">
        <is>
          <t>Open</t>
        </is>
      </c>
      <c r="J59" s="28" t="n"/>
      <c r="K59" s="28" t="n"/>
      <c r="L59" s="28" t="inlineStr">
        <is>
          <t>env: live  ·  Scope: Global — fix once, lands everywhere</t>
        </is>
      </c>
      <c r="M59" s="28" t="inlineStr">
        <is>
          <t>Global</t>
        </is>
      </c>
    </row>
    <row r="60">
      <c r="A60" s="27" t="inlineStr">
        <is>
          <t>WEB-GLOBAL-050</t>
        </is>
      </c>
      <c r="B60" s="28" t="inlineStr">
        <is>
          <t>Global · Content in the design is not in the build — sort by recently added</t>
        </is>
      </c>
      <c r="C60" s="28" t="inlineStr">
        <is>
          <t>Content &amp; Iconography</t>
        </is>
      </c>
      <c r="D60" s="28" t="inlineStr">
        <is>
          <t>Major</t>
        </is>
      </c>
      <c r="E60" s="28" t="inlineStr">
        <is>
          <t>Figma: The approved Figma handoff frame for this screen. Design: “sort by recently added” · absent from the build  →  Live: The design frame carries “sort by recently added” (14px). Nothing with that text renders on the live page. Measured on 3 pages.</t>
        </is>
      </c>
      <c r="F60" s="28" t="inlineStr">
        <is>
          <t>Add the content the design carries, or confirm with the design team that it was dropped deliberately.</t>
        </is>
      </c>
      <c r="G60" s="28" t="inlineStr">
        <is>
          <t>https://www.figma.com/design/Ds5qx61QsI0ZkYSrLKxo0A/MoSJE--Handoff-?node-id=3453-12795</t>
        </is>
      </c>
      <c r="H60" s="28" t="n"/>
      <c r="I60" s="28" t="inlineStr">
        <is>
          <t>Open</t>
        </is>
      </c>
      <c r="J60" s="28" t="n"/>
      <c r="K60" s="28" t="n"/>
      <c r="L60" s="28" t="inlineStr">
        <is>
          <t>env: live  ·  Scope: Global — fix once, lands everywhere</t>
        </is>
      </c>
      <c r="M60" s="28" t="inlineStr">
        <is>
          <t>Global</t>
        </is>
      </c>
    </row>
    <row r="61">
      <c r="A61" s="27" t="inlineStr">
        <is>
          <t>WEB-GLOBAL-069</t>
        </is>
      </c>
      <c r="B61" s="28" t="inlineStr">
        <is>
          <t>Global · Page language is not en-IN — html lang</t>
        </is>
      </c>
      <c r="C61" s="28" t="inlineStr">
        <is>
          <t>Content &amp; Iconography</t>
        </is>
      </c>
      <c r="D61" s="28" t="inlineStr">
        <is>
          <t>Minor</t>
        </is>
      </c>
      <c r="E61" s="28" t="inlineStr">
        <is>
          <t>Figma: GIGW 3.0 and WCAG 3.1.1: the page declares its language; en-IN on a Government of India property.  →  Live: The document declares lang="en-US" on a Government of India property; en-IN is the correct locale. Measured on 146 pages.</t>
        </is>
      </c>
      <c r="F61" s="28" t="inlineStr">
        <is>
          <t>Set lang="en-IN" on &lt;html&gt;, and lang on any block in another language.</t>
        </is>
      </c>
      <c r="G61" s="28" t="n"/>
      <c r="H61" s="28" t="inlineStr">
        <is>
          <t>https://www.dosje.gov.in/about-the-division/</t>
        </is>
      </c>
      <c r="I61" s="28" t="inlineStr">
        <is>
          <t>Open</t>
        </is>
      </c>
      <c r="J61" s="28" t="n"/>
      <c r="K61" s="28" t="n"/>
      <c r="L61" s="28" t="inlineStr">
        <is>
          <t>env: live  ·  Scope: Global — fix once, lands everywhere</t>
        </is>
      </c>
      <c r="M61" s="28" t="inlineStr">
        <is>
          <t>Global</t>
        </is>
      </c>
    </row>
    <row r="62">
      <c r="A62" s="27" t="inlineStr">
        <is>
          <t>WEB-GLOBAL-070</t>
        </is>
      </c>
      <c r="B62" s="28" t="inlineStr">
        <is>
          <t>Global · JavaScript errors in the console — console</t>
        </is>
      </c>
      <c r="C62" s="28" t="inlineStr">
        <is>
          <t>Functional</t>
        </is>
      </c>
      <c r="D62" s="28" t="inlineStr">
        <is>
          <t>Minor</t>
        </is>
      </c>
      <c r="E62" s="28" t="inlineStr">
        <is>
          <t>Figma: GIGW 3.0 quality: a page loads without scripting errors.  →  Live: The page logs 21 JavaScript errors on load. First: Loading the font 'https://fonts.gstatic.com/s/notosans/v42/o-0ZIpQlx3QUlC5A4PNr4C5OaxRsfNNlKbCePevttHOmHS91ixg0.woff2' violates the following Content Security Policy directive: "fo Measured on 146 pages.</t>
        </is>
      </c>
      <c r="F62" s="28" t="inlineStr">
        <is>
          <t>Fix the scripting errors, starting with the first — later ones are often consequences.</t>
        </is>
      </c>
      <c r="G62" s="28" t="n"/>
      <c r="H62" s="28" t="inlineStr">
        <is>
          <t>https://www.dosje.gov.in/about-the-division/</t>
        </is>
      </c>
      <c r="I62" s="28" t="inlineStr">
        <is>
          <t>Open</t>
        </is>
      </c>
      <c r="J62" s="28" t="n"/>
      <c r="K62" s="28" t="n"/>
      <c r="L62" s="28" t="inlineStr">
        <is>
          <t>env: live  ·  Scope: Global — fix once, lands everywhere</t>
        </is>
      </c>
      <c r="M62" s="28" t="inlineStr">
        <is>
          <t>Global</t>
        </is>
      </c>
    </row>
    <row r="63">
      <c r="A63" s="27" t="inlineStr">
        <is>
          <t>WEB-GLOBAL-067</t>
        </is>
      </c>
      <c r="B63" s="28" t="inlineStr">
        <is>
          <t>Global · Automated accessibility violation — landmark-contentinfo-is-top-level</t>
        </is>
      </c>
      <c r="C63" s="28" t="inlineStr">
        <is>
          <t>Accessibility</t>
        </is>
      </c>
      <c r="D63" s="28" t="inlineStr">
        <is>
          <t>Minor</t>
        </is>
      </c>
      <c r="E63" s="28" t="inlineStr">
        <is>
          <t>Figma: GIGW 3.0 mandates WCAG 2.2 AA conformance; axe-core tests a subset of it programmatically.  →  Live: Contentinfo landmark should not be contained in another landmark — &lt;div class="mosje-visitor-counter mosje-visitor-counter-total" role="contentinfo" aria-label="Total site visits"&gt;
					&lt;span class="mvc-item mvc-total"&gt;
			&lt;spa (landmark-contentinfo-is-top-level, ). Measured on 145 pages.</t>
        </is>
      </c>
      <c r="F63" s="28" t="inlineStr">
        <is>
          <t>Correct the markup the rule names; the rule's help page states the accepted fixes.</t>
        </is>
      </c>
      <c r="G63" s="28" t="n"/>
      <c r="H63" s="28" t="inlineStr">
        <is>
          <t>https://www.dosje.gov.in/about-the-division/</t>
        </is>
      </c>
      <c r="I63" s="28" t="inlineStr">
        <is>
          <t>Open</t>
        </is>
      </c>
      <c r="J63" s="28" t="n"/>
      <c r="K63" s="28" t="n"/>
      <c r="L63" s="28" t="inlineStr">
        <is>
          <t>env: live  ·  Scope: Global — fix once, lands everywhere</t>
        </is>
      </c>
      <c r="M63" s="28" t="inlineStr">
        <is>
          <t>Global</t>
        </is>
      </c>
    </row>
    <row r="64">
      <c r="A64" s="27" t="inlineStr">
        <is>
          <t>WEB-GLOBAL-068</t>
        </is>
      </c>
      <c r="B64" s="28" t="inlineStr">
        <is>
          <t>Global · Automated accessibility violation — landmark-no-duplicate-contentinfo</t>
        </is>
      </c>
      <c r="C64" s="28" t="inlineStr">
        <is>
          <t>Accessibility</t>
        </is>
      </c>
      <c r="D64" s="28" t="inlineStr">
        <is>
          <t>Minor</t>
        </is>
      </c>
      <c r="E64" s="28" t="inlineStr">
        <is>
          <t>Figma: GIGW 3.0 mandates WCAG 2.2 AA conformance; axe-core tests a subset of it programmatically.  →  Live: Document should not have more than one contentinfo landmark — &lt;footer data-elementor-type="footer" data-elementor-id="370" class="elementor elementor-370 elementor-location-footer" data-elementor-post-type="elementor_libra (landmark-no-duplicate-contentinfo, ). Measured on 144 pages.</t>
        </is>
      </c>
      <c r="F64" s="28" t="inlineStr">
        <is>
          <t>Correct the markup the rule names; the rule's help page states the accepted fixes.</t>
        </is>
      </c>
      <c r="G64" s="28" t="n"/>
      <c r="H64" s="28" t="inlineStr">
        <is>
          <t>https://www.dosje.gov.in/about-the-division/</t>
        </is>
      </c>
      <c r="I64" s="28" t="inlineStr">
        <is>
          <t>Open</t>
        </is>
      </c>
      <c r="J64" s="28" t="n"/>
      <c r="K64" s="28" t="n"/>
      <c r="L64" s="28" t="inlineStr">
        <is>
          <t>env: live  ·  Scope: Global — fix once, lands everywhere</t>
        </is>
      </c>
      <c r="M64" s="28" t="inlineStr">
        <is>
          <t>Global</t>
        </is>
      </c>
    </row>
    <row r="65">
      <c r="A65" s="27" t="inlineStr">
        <is>
          <t>WEB-GLOBAL-066</t>
        </is>
      </c>
      <c r="B65" s="28" t="inlineStr">
        <is>
          <t>Global · Automated accessibility violation — heading-order</t>
        </is>
      </c>
      <c r="C65" s="28" t="inlineStr">
        <is>
          <t>Accessibility</t>
        </is>
      </c>
      <c r="D65" s="28" t="inlineStr">
        <is>
          <t>Minor</t>
        </is>
      </c>
      <c r="E65" s="28" t="inlineStr">
        <is>
          <t>Figma: GIGW 3.0 mandates WCAG 2.2 AA conformance; axe-core tests a subset of it programmatically.  →  Live: Heading levels should only increase by one — &lt;h6 class="elementor-heading-title elementor-size-default"&gt;Need Support?&lt;/h6&gt; (heading-order, ). Measured on 138 pages.</t>
        </is>
      </c>
      <c r="F65" s="28" t="inlineStr">
        <is>
          <t>Correct the markup the rule names; the rule's help page states the accepted fixes.</t>
        </is>
      </c>
      <c r="G65" s="28" t="n"/>
      <c r="H65" s="28" t="inlineStr">
        <is>
          <t>https://www.dosje.gov.in/about-the-division/</t>
        </is>
      </c>
      <c r="I65" s="28" t="inlineStr">
        <is>
          <t>Open</t>
        </is>
      </c>
      <c r="J65" s="28" t="n"/>
      <c r="K65" s="28" t="n"/>
      <c r="L65" s="28" t="inlineStr">
        <is>
          <t>env: live  ·  Scope: Global — fix once, lands everywhere</t>
        </is>
      </c>
      <c r="M65" s="28" t="inlineStr">
        <is>
          <t>Global</t>
        </is>
      </c>
    </row>
    <row r="66">
      <c r="A66" s="27" t="inlineStr">
        <is>
          <t>WEB-GLOBAL-081</t>
        </is>
      </c>
      <c r="B66" s="28" t="inlineStr">
        <is>
          <t>Global · Automated accessibility violation — region</t>
        </is>
      </c>
      <c r="C66" s="28" t="inlineStr">
        <is>
          <t>Accessibility</t>
        </is>
      </c>
      <c r="D66" s="28" t="inlineStr">
        <is>
          <t>Minor</t>
        </is>
      </c>
      <c r="E66" s="28" t="inlineStr">
        <is>
          <t>Figma: GIGW 3.0 mandates WCAG 2.2 AA conformance; axe-core tests a subset of it programmatically.  →  Live: All page content should be contained by landmarks — &lt;a class="skip-link screen-reader-text" href="#content"&gt;Skip to content&lt;/a&gt; (region, ). Measured on 70 pages.</t>
        </is>
      </c>
      <c r="F66" s="28" t="inlineStr">
        <is>
          <t>Correct the markup the rule names; the rule's help page states the accepted fixes.</t>
        </is>
      </c>
      <c r="G66" s="28" t="n"/>
      <c r="H66" s="28" t="inlineStr">
        <is>
          <t>https://www.dosje.gov.in/acts-rules/</t>
        </is>
      </c>
      <c r="I66" s="28" t="inlineStr">
        <is>
          <t>Open</t>
        </is>
      </c>
      <c r="J66" s="28" t="n"/>
      <c r="K66" s="28" t="n"/>
      <c r="L66" s="28" t="inlineStr">
        <is>
          <t>env: live  ·  Scope: Global — fix once, lands everywhere</t>
        </is>
      </c>
      <c r="M66" s="28" t="inlineStr">
        <is>
          <t>Global</t>
        </is>
      </c>
    </row>
    <row r="67">
      <c r="A67" s="27" t="inlineStr">
        <is>
          <t>WEB-GLOBAL-071</t>
        </is>
      </c>
      <c r="B67" s="28" t="inlineStr">
        <is>
          <t>Global · Page title or description missing — meta description</t>
        </is>
      </c>
      <c r="C67" s="28" t="inlineStr">
        <is>
          <t>Content &amp; Iconography</t>
        </is>
      </c>
      <c r="D67" s="28" t="inlineStr">
        <is>
          <t>Minor</t>
        </is>
      </c>
      <c r="E67" s="28" t="inlineStr">
        <is>
          <t>Figma: GIGW 3.0: every page publishes a descriptive title and meta description.  →  Live: The page publishes no meta description. Measured on 56 pages.</t>
        </is>
      </c>
      <c r="F67" s="28" t="inlineStr">
        <is>
          <t>Publish a page-specific title and meta description.</t>
        </is>
      </c>
      <c r="G67" s="28" t="n"/>
      <c r="H67" s="28" t="inlineStr">
        <is>
          <t>https://www.dosje.gov.in/advertisement/</t>
        </is>
      </c>
      <c r="I67" s="28" t="inlineStr">
        <is>
          <t>Open</t>
        </is>
      </c>
      <c r="J67" s="28" t="n"/>
      <c r="K67" s="28" t="n"/>
      <c r="L67" s="28" t="inlineStr">
        <is>
          <t>env: live  ·  Scope: Global — fix once, lands everywhere</t>
        </is>
      </c>
      <c r="M67" s="28" t="inlineStr">
        <is>
          <t>Global</t>
        </is>
      </c>
    </row>
    <row r="68">
      <c r="A68" s="27" t="inlineStr">
        <is>
          <t>WEB-GLOBAL-072</t>
        </is>
      </c>
      <c r="B68" s="28" t="inlineStr">
        <is>
          <t>Global · Icon size outside the DBIM set — Icon-Container.svg</t>
        </is>
      </c>
      <c r="C68" s="28" t="inlineStr">
        <is>
          <t>Content &amp; Iconography</t>
        </is>
      </c>
      <c r="D68" s="28" t="inlineStr">
        <is>
          <t>Minor</t>
        </is>
      </c>
      <c r="E68" s="28" t="inlineStr">
        <is>
          <t>Figma: DBIM 3.0 §3.7: icons are drawn at 24, 32, 48 or 64px, in proportion.  →  Live: 6 icon(s) render at sizes outside DBIM 3.7's set (24/32/48/64 px) — the first is Icon-Container.svg at 35×35px. Measured on 20 pages.</t>
        </is>
      </c>
      <c r="F68" s="28" t="inlineStr">
        <is>
          <t>Redraw or re-export the icon at 24, 32, 48 or 64px, keeping its proportion.</t>
        </is>
      </c>
      <c r="G68" s="28" t="n"/>
      <c r="H68" s="28" t="inlineStr">
        <is>
          <t>https://www.dosje.gov.in/home-page/for-beneficiary/</t>
        </is>
      </c>
      <c r="I68" s="28" t="inlineStr">
        <is>
          <t>Open</t>
        </is>
      </c>
      <c r="J68" s="28" t="n"/>
      <c r="K68" s="28" t="n"/>
      <c r="L68" s="28" t="inlineStr">
        <is>
          <t>env: live  ·  Scope: Global — fix once, lands everywhere</t>
        </is>
      </c>
      <c r="M68" s="28" t="inlineStr">
        <is>
          <t>Global</t>
        </is>
      </c>
    </row>
    <row r="69">
      <c r="A69" s="27" t="inlineStr">
        <is>
          <t>WEB-GLOBAL-076</t>
        </is>
      </c>
      <c r="B69" s="28" t="inlineStr">
        <is>
          <t>Global · Font size outside the UX4G type scale — 15px text</t>
        </is>
      </c>
      <c r="C69" s="28" t="inlineStr">
        <is>
          <t>Typography</t>
        </is>
      </c>
      <c r="D69" s="28" t="inlineStr">
        <is>
          <t>Minor</t>
        </is>
      </c>
      <c r="E69" s="28" t="inlineStr">
        <is>
          <t>Figma: UX4G 3.0 §2.3: font sizes come from the published type scale (12/14/16/18/20/24/28/32/36/40/52/60), and Body/XS 12px is the minimum.  →  Live: 19 element(s) render at 15px, which is not on the UX4G type scale (12/14/16/18/20/24/28/32/36/40/52/60). Measured on 19 pages.</t>
        </is>
      </c>
      <c r="F69" s="28" t="inlineStr">
        <is>
          <t>Move the size to the nearest step on the UX4G scale, and never below 12px.</t>
        </is>
      </c>
      <c r="G69" s="28" t="n"/>
      <c r="H69" s="28" t="inlineStr">
        <is>
          <t>https://www.dosje.gov.in/contact-us/</t>
        </is>
      </c>
      <c r="I69" s="28" t="inlineStr">
        <is>
          <t>Open</t>
        </is>
      </c>
      <c r="J69" s="28" t="n"/>
      <c r="K69" s="28" t="n"/>
      <c r="L69" s="28" t="inlineStr">
        <is>
          <t>env: live  ·  Scope: Global — fix once, lands everywhere</t>
        </is>
      </c>
      <c r="M69" s="28" t="inlineStr">
        <is>
          <t>Global</t>
        </is>
      </c>
    </row>
    <row r="70">
      <c r="A70" s="27" t="inlineStr">
        <is>
          <t>WEB-GLOBAL-077</t>
        </is>
      </c>
      <c r="B70" s="28" t="inlineStr">
        <is>
          <t>Global · Font size outside the UX4G type scale — 22px text</t>
        </is>
      </c>
      <c r="C70" s="28" t="inlineStr">
        <is>
          <t>Typography</t>
        </is>
      </c>
      <c r="D70" s="28" t="inlineStr">
        <is>
          <t>Minor</t>
        </is>
      </c>
      <c r="E70" s="28" t="inlineStr">
        <is>
          <t>Figma: UX4G 3.0 §2.3: font sizes come from the published type scale (12/14/16/18/20/24/28/32/36/40/52/60), and Body/XS 12px is the minimum.  →  Live: 5 element(s) render at 22px, which is not on the UX4G type scale (12/14/16/18/20/24/28/32/36/40/52/60). Measured on 19 pages.</t>
        </is>
      </c>
      <c r="F70" s="28" t="inlineStr">
        <is>
          <t>Move the size to the nearest step on the UX4G scale, and never below 12px.</t>
        </is>
      </c>
      <c r="G70" s="28" t="n"/>
      <c r="H70" s="28" t="inlineStr">
        <is>
          <t>https://www.dosje.gov.in/</t>
        </is>
      </c>
      <c r="I70" s="28" t="inlineStr">
        <is>
          <t>Open</t>
        </is>
      </c>
      <c r="J70" s="28" t="n"/>
      <c r="K70" s="28" t="n"/>
      <c r="L70" s="28" t="inlineStr">
        <is>
          <t>env: live  ·  Scope: Global — fix once, lands everywhere</t>
        </is>
      </c>
      <c r="M70" s="28" t="inlineStr">
        <is>
          <t>Global</t>
        </is>
      </c>
    </row>
    <row r="71">
      <c r="A71" s="27" t="inlineStr">
        <is>
          <t>WEB-GLOBAL-082</t>
        </is>
      </c>
      <c r="B71" s="28" t="inlineStr">
        <is>
          <t>Global · Automated accessibility violation — skip-link</t>
        </is>
      </c>
      <c r="C71" s="28" t="inlineStr">
        <is>
          <t>Accessibility</t>
        </is>
      </c>
      <c r="D71" s="28" t="inlineStr">
        <is>
          <t>Minor</t>
        </is>
      </c>
      <c r="E71" s="28" t="inlineStr">
        <is>
          <t>Figma: GIGW 3.0 mandates WCAG 2.2 AA conformance; axe-core tests a subset of it programmatically.  →  Live: The skip-link target should exist and be focusable — &lt;a class="skip-link screen-reader-text" href="#content"&gt;Skip to content&lt;/a&gt; (skip-link, ). Measured on 7 pages.</t>
        </is>
      </c>
      <c r="F71" s="28" t="inlineStr">
        <is>
          <t>Correct the markup the rule names; the rule's help page states the accepted fixes.</t>
        </is>
      </c>
      <c r="G71" s="28" t="n"/>
      <c r="H71" s="28" t="inlineStr">
        <is>
          <t>https://www.dosje.gov.in/advertisement/</t>
        </is>
      </c>
      <c r="I71" s="28" t="inlineStr">
        <is>
          <t>Open</t>
        </is>
      </c>
      <c r="J71" s="28" t="n"/>
      <c r="K71" s="28" t="n"/>
      <c r="L71" s="28" t="inlineStr">
        <is>
          <t>env: live  ·  Scope: Global — fix once, lands everywhere</t>
        </is>
      </c>
      <c r="M71" s="28" t="inlineStr">
        <is>
          <t>Global</t>
        </is>
      </c>
    </row>
    <row r="72">
      <c r="A72" s="27" t="inlineStr">
        <is>
          <t>WEB-GLOBAL-087</t>
        </is>
      </c>
      <c r="B72" s="28" t="inlineStr">
        <is>
          <t>Global · Focus indicator too faint to find — Pagination page numbers</t>
        </is>
      </c>
      <c r="C72" s="28" t="inlineStr">
        <is>
          <t>Components &amp; States</t>
        </is>
      </c>
      <c r="D72" s="28" t="inlineStr">
        <is>
          <t>Minor</t>
        </is>
      </c>
      <c r="E72" s="28" t="inlineStr">
        <is>
          <t>Figma: WCAG 2.2 AA (2.4.7): every keyboard-focusable control shows a visible focus indicator. DBIM and UX4G both draw a 4px ring.  →  Live: Pagination page numbers: screenshotted focused and then blurred, only 1.3% of the region changes — the digit turns from grey to black, with no ring or fill, which is hard to find on a page. Measured on 8 pages.</t>
        </is>
      </c>
      <c r="F72" s="28" t="inlineStr">
        <is>
          <t>Give the control a visible focus style — the estate's 4px ring — and make sure it is not removed by an `outline: none` elsewhere in the stylesheet.</t>
        </is>
      </c>
      <c r="G72" s="28" t="n"/>
      <c r="H72" s="28" t="inlineStr">
        <is>
          <t>https://www.dosje.gov.in/annual-reports/</t>
        </is>
      </c>
      <c r="I72" s="28" t="inlineStr">
        <is>
          <t>Open</t>
        </is>
      </c>
      <c r="J72" s="28" t="n"/>
      <c r="K72" s="28" t="n"/>
      <c r="L72" s="28" t="inlineStr">
        <is>
          <t>env: live  ·  Scope: Global — fix once, lands everywhere</t>
        </is>
      </c>
      <c r="M72" s="28" t="inlineStr">
        <is>
          <t>Global</t>
        </is>
      </c>
    </row>
    <row r="73">
      <c r="A73" s="27" t="inlineStr">
        <is>
          <t>WEB-GLOBAL-074</t>
        </is>
      </c>
      <c r="B73" s="28" t="inlineStr">
        <is>
          <t>Global · Typeface other than Noto Sans — Helvetica</t>
        </is>
      </c>
      <c r="C73" s="28" t="inlineStr">
        <is>
          <t>Typography</t>
        </is>
      </c>
      <c r="D73" s="28" t="inlineStr">
        <is>
          <t>Minor</t>
        </is>
      </c>
      <c r="E73" s="28" t="inlineStr">
        <is>
          <t>Figma: UX4G 3.0 §2.2 and the Government standard: Noto Sans across the estate.  →  Live: 3 element(s) render in Helvetica. Noto Sans is the mandated typeface across Government of India properties. Measured on 3 pages.</t>
        </is>
      </c>
      <c r="F73" s="28" t="inlineStr">
        <is>
          <t>Set the element to Noto Sans.</t>
        </is>
      </c>
      <c r="G73" s="28" t="n"/>
      <c r="H73" s="28" t="inlineStr">
        <is>
          <t>https://www.dosje.gov.in/events/ek-ped-maa-ke-naam-6/</t>
        </is>
      </c>
      <c r="I73" s="28" t="inlineStr">
        <is>
          <t>Open</t>
        </is>
      </c>
      <c r="J73" s="28" t="n"/>
      <c r="K73" s="28" t="n"/>
      <c r="L73" s="28" t="inlineStr">
        <is>
          <t>env: live  ·  Scope: Global — fix once, lands everywhere</t>
        </is>
      </c>
      <c r="M73" s="28" t="inlineStr">
        <is>
          <t>Global</t>
        </is>
      </c>
    </row>
    <row r="74">
      <c r="A74" s="27" t="inlineStr">
        <is>
          <t>WEB-GLOBAL-083</t>
        </is>
      </c>
      <c r="B74" s="28" t="inlineStr">
        <is>
          <t>Global · Automated accessibility violation — landmark-unique</t>
        </is>
      </c>
      <c r="C74" s="28" t="inlineStr">
        <is>
          <t>Accessibility</t>
        </is>
      </c>
      <c r="D74" s="28" t="inlineStr">
        <is>
          <t>Minor</t>
        </is>
      </c>
      <c r="E74" s="28" t="inlineStr">
        <is>
          <t>Figma: GIGW 3.0 mandates WCAG 2.2 AA conformance; axe-core tests a subset of it programmatically.  →  Live: Landmarks should have a unique role or role/label/title (i.e. accessible name) combination — &lt;nav class="e-n-menu" data-widget-number="240" aria-label="Menu" data-touch-mode="false" data-layout="horizontal"&gt; (landmark-unique, ). Measured on 3 pages.</t>
        </is>
      </c>
      <c r="F74" s="28" t="inlineStr">
        <is>
          <t>Correct the markup the rule names; the rule's help page states the accepted fixes.</t>
        </is>
      </c>
      <c r="G74" s="28" t="n"/>
      <c r="H74" s="28" t="inlineStr">
        <is>
          <t>https://www.dosje.gov.in/cpio/</t>
        </is>
      </c>
      <c r="I74" s="28" t="inlineStr">
        <is>
          <t>Open</t>
        </is>
      </c>
      <c r="J74" s="28" t="n"/>
      <c r="K74" s="28" t="n"/>
      <c r="L74" s="28" t="inlineStr">
        <is>
          <t>env: live  ·  Scope: Global — fix once, lands everywhere</t>
        </is>
      </c>
      <c r="M74" s="28" t="inlineStr">
        <is>
          <t>Global</t>
        </is>
      </c>
    </row>
    <row r="75">
      <c r="A75" s="27" t="inlineStr">
        <is>
          <t>WEB-GLOBAL-073</t>
        </is>
      </c>
      <c r="B75" s="28" t="inlineStr">
        <is>
          <t>Global · Built value differs from the design — choose a portal to visit</t>
        </is>
      </c>
      <c r="C75" s="28" t="inlineStr">
        <is>
          <t>Typography</t>
        </is>
      </c>
      <c r="D75" s="28" t="inlineStr">
        <is>
          <t>Minor</t>
        </is>
      </c>
      <c r="E75" s="28" t="inlineStr">
        <is>
          <t>Figma: The approved Figma handoff frame for this screen. Built 500 weight · design 600  →  Live: “choose a portal to visit” — weight 600 → 500. Measured on 3 pages.</t>
        </is>
      </c>
      <c r="F75" s="28" t="inlineStr">
        <is>
          <t>Set the built value to the design's.</t>
        </is>
      </c>
      <c r="G75" s="28" t="inlineStr">
        <is>
          <t>https://www.figma.com/design/Ds5qx61QsI0ZkYSrLKxo0A/MoSJE--Handoff-?node-id=7298-28616</t>
        </is>
      </c>
      <c r="H75" s="28" t="n"/>
      <c r="I75" s="28" t="inlineStr">
        <is>
          <t>Open</t>
        </is>
      </c>
      <c r="J75" s="28" t="n"/>
      <c r="K75" s="28" t="n"/>
      <c r="L75" s="28" t="inlineStr">
        <is>
          <t>env: live  ·  Scope: Global — fix once, lands everywhere</t>
        </is>
      </c>
      <c r="M75" s="28" t="inlineStr">
        <is>
          <t>Global</t>
        </is>
      </c>
    </row>
    <row r="76">
      <c r="A76" s="27" t="inlineStr">
        <is>
          <t>WEB-GLOBAL-084</t>
        </is>
      </c>
      <c r="B76" s="28" t="inlineStr">
        <is>
          <t>Global · The four audience pages share one description — Audience page standfirst</t>
        </is>
      </c>
      <c r="C76" s="28" t="inlineStr">
        <is>
          <t>Content &amp; Iconography</t>
        </is>
      </c>
      <c r="D76" s="28" t="inlineStr">
        <is>
          <t>Nit</t>
        </is>
      </c>
      <c r="E76" s="28" t="inlineStr">
        <is>
          <t>Figma: GIGW 3.0: page content is accurate, specific to the page, and in the Department's own register.  →  Live: All four audience pages open with “Here's how the Ministry empowers citizens like you.” A reader who arrives on the page for their own group is told nothing specific to it.</t>
        </is>
      </c>
      <c r="F76" s="28" t="inlineStr">
        <is>
          <t>Give each audience page a sentence about what that audience will find on it.</t>
        </is>
      </c>
      <c r="G76" s="28" t="n"/>
      <c r="H76" s="28" t="inlineStr">
        <is>
          <t>https://www.dosje.gov.in/home-page/for-student/</t>
        </is>
      </c>
      <c r="I76" s="28" t="inlineStr">
        <is>
          <t>Open</t>
        </is>
      </c>
      <c r="J76" s="28" t="n"/>
      <c r="K76" s="28" t="n"/>
      <c r="L76" s="28" t="inlineStr">
        <is>
          <t>env: live  ·  Scope: Global — fix once, lands everywhere</t>
        </is>
      </c>
      <c r="M76" s="28" t="inlineStr">
        <is>
          <t>Global</t>
        </is>
      </c>
    </row>
    <row r="77">
      <c r="A77" s="27" t="inlineStr">
        <is>
          <t>WEB-SCREEN-012</t>
        </is>
      </c>
      <c r="B77" s="28" t="inlineStr">
        <is>
          <t>About The Division Social Defence · mobile</t>
        </is>
      </c>
      <c r="C77" s="28" t="inlineStr">
        <is>
          <t>Layout &amp; Spacing</t>
        </is>
      </c>
      <c r="D77" s="28" t="inlineStr">
        <is>
          <t>Blocker</t>
        </is>
      </c>
      <c r="E77" s="28" t="inlineStr">
        <is>
          <t>Figma: WCAG 2.2 AA (1.4.10): content reflows to 320 CSS px with no horizontal scrolling.  →  Live: The page scrolls horizontally at 375px: content reaches 446px. WCAG 1.4.10 requires reflow without a horizontal scrollbar down to 320 CSS px. Measured on 2 pages.</t>
        </is>
      </c>
      <c r="F77" s="28" t="inlineStr">
        <is>
          <t>Find the element wider than the viewport and let it wrap or scroll inside itself; the page itself must not scroll sideways.</t>
        </is>
      </c>
      <c r="G77" s="28" t="n"/>
      <c r="H77" s="28" t="inlineStr">
        <is>
          <t>https://www.dosje.gov.in/about-the-division-social-defence/</t>
        </is>
      </c>
      <c r="I77" s="28" t="inlineStr">
        <is>
          <t>Open</t>
        </is>
      </c>
      <c r="J77" s="28" t="n"/>
      <c r="K77" s="28" t="n"/>
      <c r="L77" s="28" t="inlineStr">
        <is>
          <t>env: live</t>
        </is>
      </c>
      <c r="M77" s="28" t="inlineStr">
        <is>
          <t>Screen</t>
        </is>
      </c>
    </row>
    <row r="78">
      <c r="A78" s="27" t="inlineStr">
        <is>
          <t>WEB-SCREEN-001</t>
        </is>
      </c>
      <c r="B78" s="28" t="inlineStr">
        <is>
          <t>About Us · desktop</t>
        </is>
      </c>
      <c r="C78" s="28" t="inlineStr">
        <is>
          <t>Accessibility</t>
        </is>
      </c>
      <c r="D78" s="28" t="inlineStr">
        <is>
          <t>Blocker</t>
        </is>
      </c>
      <c r="E78" s="28" t="inlineStr">
        <is>
          <t>Figma: GIGW 3.0 mandates WCAG 2.2 AA conformance; axe-core tests a subset of it programmatically.  →  Live: Certain ARIA roles must contain particular children — &lt;div class="elementor-loop-container elementor-grid" role="list"&gt; (aria-required-children, wcag2a, wcag131). Also measured on the 375px capture of the same page.</t>
        </is>
      </c>
      <c r="F78" s="28" t="inlineStr">
        <is>
          <t>Correct the markup the rule names; the rule's help page states the accepted fixes.</t>
        </is>
      </c>
      <c r="G78" s="28" t="n"/>
      <c r="H78" s="28" t="inlineStr">
        <is>
          <t>https://www.dosje.gov.in/about-us/</t>
        </is>
      </c>
      <c r="I78" s="28" t="inlineStr">
        <is>
          <t>Open</t>
        </is>
      </c>
      <c r="J78" s="28" t="n"/>
      <c r="K78" s="28" t="n"/>
      <c r="L78" s="28" t="inlineStr">
        <is>
          <t>env: live</t>
        </is>
      </c>
      <c r="M78" s="28" t="inlineStr">
        <is>
          <t>Screen</t>
        </is>
      </c>
    </row>
    <row r="79">
      <c r="A79" s="27" t="inlineStr">
        <is>
          <t>WEB-SCREEN-061</t>
        </is>
      </c>
      <c r="B79" s="28" t="inlineStr">
        <is>
          <t>About Us · desktop</t>
        </is>
      </c>
      <c r="C79" s="28" t="inlineStr">
        <is>
          <t>Content &amp; Iconography</t>
        </is>
      </c>
      <c r="D79" s="28" t="inlineStr">
        <is>
          <t>Major</t>
        </is>
      </c>
      <c r="E79" s="28" t="inlineStr">
        <is>
          <t>Figma: The approved Figma handoff frame for this screen. Design: “discover the initiatives that drive nati” · absent from the build  →  Live: The design frame carries “discover the initiatives that drive national efforts to advance equality, protec” (16px). Nothing with that text renders on the live page. Also measured on the 375px capture of the same page.</t>
        </is>
      </c>
      <c r="F79" s="28" t="inlineStr">
        <is>
          <t>Add the content the design carries, or confirm with the design team that it was dropped deliberately.</t>
        </is>
      </c>
      <c r="G79" s="28" t="n"/>
      <c r="H79" s="28" t="inlineStr">
        <is>
          <t>https://www.dosje.gov.in/about-us/</t>
        </is>
      </c>
      <c r="I79" s="28" t="inlineStr">
        <is>
          <t>Open</t>
        </is>
      </c>
      <c r="J79" s="28" t="n"/>
      <c r="K79" s="28" t="n"/>
      <c r="L79" s="28" t="inlineStr">
        <is>
          <t>env: live</t>
        </is>
      </c>
      <c r="M79" s="28" t="inlineStr">
        <is>
          <t>Screen</t>
        </is>
      </c>
    </row>
    <row r="80">
      <c r="A80" s="27" t="inlineStr">
        <is>
          <t>WEB-SCREEN-072</t>
        </is>
      </c>
      <c r="B80" s="28" t="inlineStr">
        <is>
          <t>About Us · desktop</t>
        </is>
      </c>
      <c r="C80" s="28" t="inlineStr">
        <is>
          <t>Content &amp; Iconography</t>
        </is>
      </c>
      <c r="D80" s="28" t="inlineStr">
        <is>
          <t>Major</t>
        </is>
      </c>
      <c r="E80" s="28" t="inlineStr">
        <is>
          <t>Figma: The approved Figma handoff frame for this screen. Design: “the department of social justice &amp; empow” · absent from the build  →  Live: The design frame carries “the department of social justice &amp; empowerment is entrusted with the empowerment” (16px). Nothing with that text renders on the live page. Measured on 2 pages. Also measured on the 375px capture of the same page.</t>
        </is>
      </c>
      <c r="F80" s="28" t="inlineStr">
        <is>
          <t>Add the content the design carries, or confirm with the design team that it was dropped deliberately.</t>
        </is>
      </c>
      <c r="G80" s="28" t="n"/>
      <c r="H80" s="28" t="inlineStr">
        <is>
          <t>https://www.dosje.gov.in/about-us/</t>
        </is>
      </c>
      <c r="I80" s="28" t="inlineStr">
        <is>
          <t>Open</t>
        </is>
      </c>
      <c r="J80" s="28" t="n"/>
      <c r="K80" s="28" t="n"/>
      <c r="L80" s="28" t="inlineStr">
        <is>
          <t>env: live</t>
        </is>
      </c>
      <c r="M80" s="28" t="inlineStr">
        <is>
          <t>Screen</t>
        </is>
      </c>
    </row>
    <row r="81">
      <c r="A81" s="27" t="inlineStr">
        <is>
          <t>WEB-SCREEN-074</t>
        </is>
      </c>
      <c r="B81" s="28" t="inlineStr">
        <is>
          <t>About Us · desktop</t>
        </is>
      </c>
      <c r="C81" s="28" t="inlineStr">
        <is>
          <t>Content &amp; Iconography</t>
        </is>
      </c>
      <c r="D81" s="28" t="inlineStr">
        <is>
          <t>Major</t>
        </is>
      </c>
      <c r="E81" s="28" t="inlineStr">
        <is>
          <t>Figma: The approved Figma handoff frame for this screen. Design: “the ministry has been implementing vario” · absent from the build  →  Live: The design frame carries “the ministry has been implementing various programmes/schemes for social, educat” (16px). Nothing with that text renders on the live page. Also measured on the 375px capture of the same page.</t>
        </is>
      </c>
      <c r="F81" s="28" t="inlineStr">
        <is>
          <t>Add the content the design carries, or confirm with the design team that it was dropped deliberately.</t>
        </is>
      </c>
      <c r="G81" s="28" t="n"/>
      <c r="H81" s="28" t="inlineStr">
        <is>
          <t>https://www.dosje.gov.in/about-us/</t>
        </is>
      </c>
      <c r="I81" s="28" t="inlineStr">
        <is>
          <t>Open</t>
        </is>
      </c>
      <c r="J81" s="28" t="n"/>
      <c r="K81" s="28" t="n"/>
      <c r="L81" s="28" t="inlineStr">
        <is>
          <t>env: live</t>
        </is>
      </c>
      <c r="M81" s="28" t="inlineStr">
        <is>
          <t>Screen</t>
        </is>
      </c>
    </row>
    <row r="82">
      <c r="A82" s="27" t="inlineStr">
        <is>
          <t>WEB-SCREEN-063</t>
        </is>
      </c>
      <c r="B82" s="28" t="inlineStr">
        <is>
          <t>About Us · desktop</t>
        </is>
      </c>
      <c r="C82" s="28" t="inlineStr">
        <is>
          <t>Content &amp; Iconography</t>
        </is>
      </c>
      <c r="D82" s="28" t="inlineStr">
        <is>
          <t>Major</t>
        </is>
      </c>
      <c r="E82" s="28" t="inlineStr">
        <is>
          <t>Figma: The approved Figma handoff frame for this screen. Design: “in the year 1985-86, the erstwhile minis” · absent from the build  →  Live: The design frame carries “in the year 1985-86, the erstwhile ministry of welfare was bifurcated into the d” (16px). Nothing with that text renders on the live page. Also measured on the 375px capture of the same page.</t>
        </is>
      </c>
      <c r="F82" s="28" t="inlineStr">
        <is>
          <t>Add the content the design carries, or confirm with the design team that it was dropped deliberately.</t>
        </is>
      </c>
      <c r="G82" s="28" t="n"/>
      <c r="H82" s="28" t="inlineStr">
        <is>
          <t>https://www.dosje.gov.in/about-us/</t>
        </is>
      </c>
      <c r="I82" s="28" t="inlineStr">
        <is>
          <t>Open</t>
        </is>
      </c>
      <c r="J82" s="28" t="n"/>
      <c r="K82" s="28" t="n"/>
      <c r="L82" s="28" t="inlineStr">
        <is>
          <t>env: live</t>
        </is>
      </c>
      <c r="M82" s="28" t="inlineStr">
        <is>
          <t>Screen</t>
        </is>
      </c>
    </row>
    <row r="83">
      <c r="A83" s="27" t="inlineStr">
        <is>
          <t>WEB-SCREEN-062</t>
        </is>
      </c>
      <c r="B83" s="28" t="inlineStr">
        <is>
          <t>About Us · desktop</t>
        </is>
      </c>
      <c r="C83" s="28" t="inlineStr">
        <is>
          <t>Content &amp; Iconography</t>
        </is>
      </c>
      <c r="D83" s="28" t="inlineStr">
        <is>
          <t>Major</t>
        </is>
      </c>
      <c r="E83" s="28" t="inlineStr">
        <is>
          <t>Figma: The approved Figma handoff frame for this screen. Design: “in january, 2007, the minorities divisio” · absent from the build  →  Live: The design frame carries “in january, 2007, the minorities division along with wakf unit have been moved o” (16px). Nothing with that text renders on the live page.</t>
        </is>
      </c>
      <c r="F83" s="28" t="inlineStr">
        <is>
          <t>Add the content the design carries, or confirm with the design team that it was dropped deliberately.</t>
        </is>
      </c>
      <c r="G83" s="28" t="n"/>
      <c r="H83" s="28" t="inlineStr">
        <is>
          <t>https://www.dosje.gov.in/about-us/</t>
        </is>
      </c>
      <c r="I83" s="28" t="inlineStr">
        <is>
          <t>Open</t>
        </is>
      </c>
      <c r="J83" s="28" t="n"/>
      <c r="K83" s="28" t="n"/>
      <c r="L83" s="28" t="inlineStr">
        <is>
          <t>env: live</t>
        </is>
      </c>
      <c r="M83" s="28" t="inlineStr">
        <is>
          <t>Screen</t>
        </is>
      </c>
    </row>
    <row r="84">
      <c r="A84" s="27" t="inlineStr">
        <is>
          <t>WEB-SCREEN-014</t>
        </is>
      </c>
      <c r="B84" s="28" t="inlineStr">
        <is>
          <t>About Us · mobile</t>
        </is>
      </c>
      <c r="C84" s="28" t="inlineStr">
        <is>
          <t>Accessibility</t>
        </is>
      </c>
      <c r="D84" s="28" t="inlineStr">
        <is>
          <t>Major</t>
        </is>
      </c>
      <c r="E84" s="28" t="inlineStr">
        <is>
          <t>Figma: GIGW 3.0 mandates WCAG 2.2 AA conformance; axe-core tests a subset of it programmatically.  →  Live: Scrollable region must have keyboard access — &lt;div class="table-responsive w-100"&gt; (scrollable-region-focusable, wcag2a, wcag211, wcag213). Measured on 2 pages.</t>
        </is>
      </c>
      <c r="F84" s="28" t="inlineStr">
        <is>
          <t>Correct the markup the rule names; the rule's help page states the accepted fixes.</t>
        </is>
      </c>
      <c r="G84" s="28" t="n"/>
      <c r="H84" s="28" t="inlineStr">
        <is>
          <t>https://www.dosje.gov.in/about-us/</t>
        </is>
      </c>
      <c r="I84" s="28" t="inlineStr">
        <is>
          <t>Open</t>
        </is>
      </c>
      <c r="J84" s="28" t="n"/>
      <c r="K84" s="28" t="n"/>
      <c r="L84" s="28" t="inlineStr">
        <is>
          <t>env: live</t>
        </is>
      </c>
      <c r="M84" s="28" t="inlineStr">
        <is>
          <t>Screen</t>
        </is>
      </c>
    </row>
    <row r="85">
      <c r="A85" s="27" t="inlineStr">
        <is>
          <t>WEB-SCREEN-065</t>
        </is>
      </c>
      <c r="B85" s="28" t="inlineStr">
        <is>
          <t>About Us · mobile</t>
        </is>
      </c>
      <c r="C85" s="28" t="inlineStr">
        <is>
          <t>Content &amp; Iconography</t>
        </is>
      </c>
      <c r="D85" s="28" t="inlineStr">
        <is>
          <t>Major</t>
        </is>
      </c>
      <c r="E85" s="28" t="inlineStr">
        <is>
          <t>Figma: The approved Figma handoff frame for this screen. Design: “mrs. caralyn khongwar deshmukh, as” · absent from the build  →  Live: The design frame carries “mrs. caralyn khongwar deshmukh, as” (16px). Nothing with that text renders on the live page.</t>
        </is>
      </c>
      <c r="F85" s="28" t="inlineStr">
        <is>
          <t>Add the content the design carries, or confirm with the design team that it was dropped deliberately.</t>
        </is>
      </c>
      <c r="G85" s="28" t="n"/>
      <c r="H85" s="28" t="inlineStr">
        <is>
          <t>https://www.dosje.gov.in/about-us/</t>
        </is>
      </c>
      <c r="I85" s="28" t="inlineStr">
        <is>
          <t>Open</t>
        </is>
      </c>
      <c r="J85" s="28" t="n"/>
      <c r="K85" s="28" t="n"/>
      <c r="L85" s="28" t="inlineStr">
        <is>
          <t>env: live</t>
        </is>
      </c>
      <c r="M85" s="28" t="inlineStr">
        <is>
          <t>Screen</t>
        </is>
      </c>
    </row>
    <row r="86">
      <c r="A86" s="27" t="inlineStr">
        <is>
          <t>WEB-SCREEN-064</t>
        </is>
      </c>
      <c r="B86" s="28" t="inlineStr">
        <is>
          <t>About Us · mobile</t>
        </is>
      </c>
      <c r="C86" s="28" t="inlineStr">
        <is>
          <t>Content &amp; Iconography</t>
        </is>
      </c>
      <c r="D86" s="28" t="inlineStr">
        <is>
          <t>Major</t>
        </is>
      </c>
      <c r="E86" s="28" t="inlineStr">
        <is>
          <t>Figma: The approved Figma handoff frame for this screen. Design: “matters related to the national schedule” · absent from the build  →  Live: The design frame carries “matters related to the national scheduled castes finance and development corpora” (14px). Nothing with that text renders on the live page.</t>
        </is>
      </c>
      <c r="F86" s="28" t="inlineStr">
        <is>
          <t>Add the content the design carries, or confirm with the design team that it was dropped deliberately.</t>
        </is>
      </c>
      <c r="G86" s="28" t="n"/>
      <c r="H86" s="28" t="inlineStr">
        <is>
          <t>https://www.dosje.gov.in/about-us/</t>
        </is>
      </c>
      <c r="I86" s="28" t="inlineStr">
        <is>
          <t>Open</t>
        </is>
      </c>
      <c r="J86" s="28" t="n"/>
      <c r="K86" s="28" t="n"/>
      <c r="L86" s="28" t="inlineStr">
        <is>
          <t>env: live</t>
        </is>
      </c>
      <c r="M86" s="28" t="inlineStr">
        <is>
          <t>Screen</t>
        </is>
      </c>
    </row>
    <row r="87">
      <c r="A87" s="27" t="inlineStr">
        <is>
          <t>WEB-SCREEN-070</t>
        </is>
      </c>
      <c r="B87" s="28" t="inlineStr">
        <is>
          <t>About Us · mobile</t>
        </is>
      </c>
      <c r="C87" s="28" t="inlineStr">
        <is>
          <t>Content &amp; Iconography</t>
        </is>
      </c>
      <c r="D87" s="28" t="inlineStr">
        <is>
          <t>Major</t>
        </is>
      </c>
      <c r="E87" s="28" t="inlineStr">
        <is>
          <t>Figma: The approved Figma handoff frame for this screen. Design: “shri biswaranjan sasmal, as” · absent from the build  →  Live: The design frame carries “shri biswaranjan sasmal, as” (16px). Nothing with that text renders on the live page.</t>
        </is>
      </c>
      <c r="F87" s="28" t="inlineStr">
        <is>
          <t>Add the content the design carries, or confirm with the design team that it was dropped deliberately.</t>
        </is>
      </c>
      <c r="G87" s="28" t="n"/>
      <c r="H87" s="28" t="inlineStr">
        <is>
          <t>https://www.dosje.gov.in/about-us/</t>
        </is>
      </c>
      <c r="I87" s="28" t="inlineStr">
        <is>
          <t>Open</t>
        </is>
      </c>
      <c r="J87" s="28" t="n"/>
      <c r="K87" s="28" t="n"/>
      <c r="L87" s="28" t="inlineStr">
        <is>
          <t>env: live</t>
        </is>
      </c>
      <c r="M87" s="28" t="inlineStr">
        <is>
          <t>Screen</t>
        </is>
      </c>
    </row>
    <row r="88">
      <c r="A88" s="27" t="inlineStr">
        <is>
          <t>WEB-SCREEN-066</t>
        </is>
      </c>
      <c r="B88" s="28" t="inlineStr">
        <is>
          <t>About Us · mobile</t>
        </is>
      </c>
      <c r="C88" s="28" t="inlineStr">
        <is>
          <t>Content &amp; Iconography</t>
        </is>
      </c>
      <c r="D88" s="28" t="inlineStr">
        <is>
          <t>Major</t>
        </is>
      </c>
      <c r="E88" s="28" t="inlineStr">
        <is>
          <t>Figma: The approved Figma handoff frame for this screen. Design: “mrs. yogita swaroop, sr. ea” · absent from the build  →  Live: The design frame carries “mrs. yogita swaroop, sr. ea” (16px). Nothing with that text renders on the live page.</t>
        </is>
      </c>
      <c r="F88" s="28" t="inlineStr">
        <is>
          <t>Add the content the design carries, or confirm with the design team that it was dropped deliberately.</t>
        </is>
      </c>
      <c r="G88" s="28" t="n"/>
      <c r="H88" s="28" t="inlineStr">
        <is>
          <t>https://www.dosje.gov.in/about-us/</t>
        </is>
      </c>
      <c r="I88" s="28" t="inlineStr">
        <is>
          <t>Open</t>
        </is>
      </c>
      <c r="J88" s="28" t="n"/>
      <c r="K88" s="28" t="n"/>
      <c r="L88" s="28" t="inlineStr">
        <is>
          <t>env: live</t>
        </is>
      </c>
      <c r="M88" s="28" t="inlineStr">
        <is>
          <t>Screen</t>
        </is>
      </c>
    </row>
    <row r="89">
      <c r="A89" s="27" t="inlineStr">
        <is>
          <t>WEB-SCREEN-067</t>
        </is>
      </c>
      <c r="B89" s="28" t="inlineStr">
        <is>
          <t>About Us · mobile</t>
        </is>
      </c>
      <c r="C89" s="28" t="inlineStr">
        <is>
          <t>Content &amp; Iconography</t>
        </is>
      </c>
      <c r="D89" s="28" t="inlineStr">
        <is>
          <t>Major</t>
        </is>
      </c>
      <c r="E89" s="28" t="inlineStr">
        <is>
          <t>Figma: The approved Figma handoff frame for this screen. Design: “ms. latha ganapathy, js” · absent from the build  →  Live: The design frame carries “ms. latha ganapathy, js” (16px). Nothing with that text renders on the live page.</t>
        </is>
      </c>
      <c r="F89" s="28" t="inlineStr">
        <is>
          <t>Add the content the design carries, or confirm with the design team that it was dropped deliberately.</t>
        </is>
      </c>
      <c r="G89" s="28" t="n"/>
      <c r="H89" s="28" t="inlineStr">
        <is>
          <t>https://www.dosje.gov.in/about-us/</t>
        </is>
      </c>
      <c r="I89" s="28" t="inlineStr">
        <is>
          <t>Open</t>
        </is>
      </c>
      <c r="J89" s="28" t="n"/>
      <c r="K89" s="28" t="n"/>
      <c r="L89" s="28" t="inlineStr">
        <is>
          <t>env: live</t>
        </is>
      </c>
      <c r="M89" s="28" t="inlineStr">
        <is>
          <t>Screen</t>
        </is>
      </c>
    </row>
    <row r="90">
      <c r="A90" s="27" t="inlineStr">
        <is>
          <t>WEB-SCREEN-025</t>
        </is>
      </c>
      <c r="B90" s="28" t="inlineStr">
        <is>
          <t>Acts Rules · mobile</t>
        </is>
      </c>
      <c r="C90" s="28" t="inlineStr">
        <is>
          <t>Layout &amp; Spacing</t>
        </is>
      </c>
      <c r="D90" s="28" t="inlineStr">
        <is>
          <t>Major</t>
        </is>
      </c>
      <c r="E90" s="28" t="inlineStr">
        <is>
          <t>Figma: UX4G 3.0 §6: interactive targets are at least 44×44px with 8px between them. WCAG 2.5.8 AA sets an absolute floor of 24×24.  →  Live: “NHAA” is 147×20px. UX4G 3.0 §6 sets 44×44px as the minimum interactive size; at 147×20 it is also below the WCAG 2.5.8 AA floor of 24×24.</t>
        </is>
      </c>
      <c r="F90" s="28" t="inlineStr">
        <is>
          <t>Grow the control, or add transparent padding around it, until it measures 44×44px with 8px clear of its neighbours.</t>
        </is>
      </c>
      <c r="G90" s="28" t="n"/>
      <c r="H90" s="28" t="inlineStr">
        <is>
          <t>https://www.dosje.gov.in/acts-rules/</t>
        </is>
      </c>
      <c r="I90" s="28" t="inlineStr">
        <is>
          <t>Open</t>
        </is>
      </c>
      <c r="J90" s="28" t="n"/>
      <c r="K90" s="28" t="n"/>
      <c r="L90" s="28" t="inlineStr">
        <is>
          <t>env: live</t>
        </is>
      </c>
      <c r="M90" s="28" t="inlineStr">
        <is>
          <t>Screen</t>
        </is>
      </c>
    </row>
    <row r="91">
      <c r="A91" s="27" t="inlineStr">
        <is>
          <t>WEB-SCREEN-079</t>
        </is>
      </c>
      <c r="B91" s="28" t="inlineStr">
        <is>
          <t>Annual Reports · desktop</t>
        </is>
      </c>
      <c r="C91" s="28" t="inlineStr">
        <is>
          <t>Content &amp; Iconography</t>
        </is>
      </c>
      <c r="D91" s="28" t="inlineStr">
        <is>
          <t>Major</t>
        </is>
      </c>
      <c r="E91" s="28" t="inlineStr">
        <is>
          <t>Figma: The approved Figma handoff frame for this screen. Design: “access official reports released by the ” · absent from the build  →  Live: The design frame carries “access official reports released by the commission and its associated organisati” (16px). Nothing with that text renders on the live page. Also measured on the 375px capture of the same page.</t>
        </is>
      </c>
      <c r="F91" s="28" t="inlineStr">
        <is>
          <t>Add the content the design carries, or confirm with the design team that it was dropped deliberately.</t>
        </is>
      </c>
      <c r="G91" s="28" t="inlineStr">
        <is>
          <t>https://www.figma.com/design/Ds5qx61QsI0ZkYSrLKxo0A/MoSJE--Handoff-?node-id=3453-12795</t>
        </is>
      </c>
      <c r="H91" s="28" t="n"/>
      <c r="I91" s="28" t="inlineStr">
        <is>
          <t>Open</t>
        </is>
      </c>
      <c r="J91" s="28" t="n"/>
      <c r="K91" s="28" t="n"/>
      <c r="L91" s="28" t="inlineStr">
        <is>
          <t>env: live</t>
        </is>
      </c>
      <c r="M91" s="28" t="inlineStr">
        <is>
          <t>Screen</t>
        </is>
      </c>
    </row>
    <row r="92">
      <c r="A92" s="27" t="inlineStr">
        <is>
          <t>WEB-SCREEN-080</t>
        </is>
      </c>
      <c r="B92" s="28" t="inlineStr">
        <is>
          <t>Annual Reports · desktop</t>
        </is>
      </c>
      <c r="C92" s="28" t="inlineStr">
        <is>
          <t>Content &amp; Iconography</t>
        </is>
      </c>
      <c r="D92" s="28" t="inlineStr">
        <is>
          <t>Major</t>
        </is>
      </c>
      <c r="E92" s="28" t="inlineStr">
        <is>
          <t>Figma: The approved Figma handoff frame for this screen. Design: “download all reports” · absent from the build  →  Live: The design frame carries “download all reports” (14px). Nothing with that text renders on the live page. Also measured on the 375px capture of the same page.</t>
        </is>
      </c>
      <c r="F92" s="28" t="inlineStr">
        <is>
          <t>Add the content the design carries, or confirm with the design team that it was dropped deliberately.</t>
        </is>
      </c>
      <c r="G92" s="28" t="inlineStr">
        <is>
          <t>https://www.figma.com/design/Ds5qx61QsI0ZkYSrLKxo0A/MoSJE--Handoff-?node-id=3453-12795</t>
        </is>
      </c>
      <c r="H92" s="28" t="n"/>
      <c r="I92" s="28" t="inlineStr">
        <is>
          <t>Open</t>
        </is>
      </c>
      <c r="J92" s="28" t="n"/>
      <c r="K92" s="28" t="n"/>
      <c r="L92" s="28" t="inlineStr">
        <is>
          <t>env: live</t>
        </is>
      </c>
      <c r="M92" s="28" t="inlineStr">
        <is>
          <t>Screen</t>
        </is>
      </c>
    </row>
    <row r="93">
      <c r="A93" s="27" t="inlineStr">
        <is>
          <t>WEB-SCREEN-027</t>
        </is>
      </c>
      <c r="B93" s="28" t="inlineStr">
        <is>
          <t>Annual Reports · mobile</t>
        </is>
      </c>
      <c r="C93" s="28" t="inlineStr">
        <is>
          <t>Layout &amp; Spacing</t>
        </is>
      </c>
      <c r="D93" s="28" t="inlineStr">
        <is>
          <t>Major</t>
        </is>
      </c>
      <c r="E93" s="28" t="inlineStr">
        <is>
          <t>Figma: UX4G 3.0 §6: interactive targets are at least 44×44px with 8px between them. WCAG 2.5.8 AA sets an absolute floor of 24×24.  →  Live: “NISD” is 147×20px. UX4G 3.0 §6 sets 44×44px as the minimum interactive size; at 147×20 it is also below the WCAG 2.5.8 AA floor of 24×24.</t>
        </is>
      </c>
      <c r="F93" s="28" t="inlineStr">
        <is>
          <t>Grow the control, or add transparent padding around it, until it measures 44×44px with 8px clear of its neighbours.</t>
        </is>
      </c>
      <c r="G93" s="28" t="n"/>
      <c r="H93" s="28" t="inlineStr">
        <is>
          <t>https://www.dosje.gov.in/annual-reports/</t>
        </is>
      </c>
      <c r="I93" s="28" t="inlineStr">
        <is>
          <t>Open</t>
        </is>
      </c>
      <c r="J93" s="28" t="n"/>
      <c r="K93" s="28" t="n"/>
      <c r="L93" s="28" t="inlineStr">
        <is>
          <t>env: live</t>
        </is>
      </c>
      <c r="M93" s="28" t="inlineStr">
        <is>
          <t>Screen</t>
        </is>
      </c>
    </row>
    <row r="94">
      <c r="A94" s="27" t="inlineStr">
        <is>
          <t>WEB-SCREEN-026</t>
        </is>
      </c>
      <c r="B94" s="28" t="inlineStr">
        <is>
          <t>Annual Reports · mobile</t>
        </is>
      </c>
      <c r="C94" s="28" t="inlineStr">
        <is>
          <t>Layout &amp; Spacing</t>
        </is>
      </c>
      <c r="D94" s="28" t="inlineStr">
        <is>
          <t>Major</t>
        </is>
      </c>
      <c r="E94" s="28" t="inlineStr">
        <is>
          <t>Figma: UX4G 3.0 §6: interactive targets are at least 44×44px with 8px between them. WCAG 2.5.8 AA sets an absolute floor of 24×24.  →  Live: “BJRNF” is 147×20px. UX4G 3.0 §6 sets 44×44px as the minimum interactive size; at 147×20 it is also below the WCAG 2.5.8 AA floor of 24×24. Measured on 2 pages.</t>
        </is>
      </c>
      <c r="F94" s="28" t="inlineStr">
        <is>
          <t>Grow the control, or add transparent padding around it, until it measures 44×44px with 8px clear of its neighbours.</t>
        </is>
      </c>
      <c r="G94" s="28" t="n"/>
      <c r="H94" s="28" t="inlineStr">
        <is>
          <t>https://www.dosje.gov.in/annual-reports/</t>
        </is>
      </c>
      <c r="I94" s="28" t="inlineStr">
        <is>
          <t>Open</t>
        </is>
      </c>
      <c r="J94" s="28" t="n"/>
      <c r="K94" s="28" t="n"/>
      <c r="L94" s="28" t="inlineStr">
        <is>
          <t>env: live</t>
        </is>
      </c>
      <c r="M94" s="28" t="inlineStr">
        <is>
          <t>Screen</t>
        </is>
      </c>
    </row>
    <row r="95">
      <c r="A95" s="27" t="inlineStr">
        <is>
          <t>WEB-SCREEN-254</t>
        </is>
      </c>
      <c r="B95" s="28" t="inlineStr">
        <is>
          <t>Booking  Conference 3 · desktop</t>
        </is>
      </c>
      <c r="C95" s="28" t="inlineStr">
        <is>
          <t>Typography</t>
        </is>
      </c>
      <c r="D95" s="28" t="inlineStr">
        <is>
          <t>Major</t>
        </is>
      </c>
      <c r="E95" s="28" t="inlineStr">
        <is>
          <t>Figma: The approved Figma handoff frame for this screen. Built 400 weight · design 500 · Built #212121 · design #1F2428  →  Live: “government” — weight 500 → 400; colour #1F2428 → #212121. Measured on 2 pages. Also measured on the 375px capture of the same page.</t>
        </is>
      </c>
      <c r="F95" s="28" t="inlineStr">
        <is>
          <t>Set the built value to the design's.</t>
        </is>
      </c>
      <c r="G95" s="28" t="inlineStr">
        <is>
          <t>https://www.figma.com/design/Ds5qx61QsI0ZkYSrLKxo0A/MoSJE--Handoff-?node-id=4743-129775</t>
        </is>
      </c>
      <c r="H95" s="28" t="n"/>
      <c r="I95" s="28" t="inlineStr">
        <is>
          <t>Open</t>
        </is>
      </c>
      <c r="J95" s="28" t="n"/>
      <c r="K95" s="28" t="n"/>
      <c r="L95" s="28" t="inlineStr">
        <is>
          <t>env: live</t>
        </is>
      </c>
      <c r="M95" s="28" t="inlineStr">
        <is>
          <t>Screen</t>
        </is>
      </c>
    </row>
    <row r="96">
      <c r="A96" s="27" t="inlineStr">
        <is>
          <t>WEB-SCREEN-255</t>
        </is>
      </c>
      <c r="B96" s="28" t="inlineStr">
        <is>
          <t>Booking  Vaishali · desktop</t>
        </is>
      </c>
      <c r="C96" s="28" t="inlineStr">
        <is>
          <t>Typography</t>
        </is>
      </c>
      <c r="D96" s="28" t="inlineStr">
        <is>
          <t>Major</t>
        </is>
      </c>
      <c r="E96" s="28" t="inlineStr">
        <is>
          <t>Figma: The approved Figma handoff frame for this screen. Built 400 weight · design 500 · Built #212121 · design #1F2428  →  Live: “government” — weight 500 → 400; colour #1F2428 → #212121. Measured on 2 pages. Also measured on the 375px capture of the same page.</t>
        </is>
      </c>
      <c r="F96" s="28" t="inlineStr">
        <is>
          <t>Set the built value to the design's.</t>
        </is>
      </c>
      <c r="G96" s="28" t="inlineStr">
        <is>
          <t>https://www.figma.com/design/Ds5qx61QsI0ZkYSrLKxo0A/MoSJE--Handoff-?node-id=4743-129775</t>
        </is>
      </c>
      <c r="H96" s="28" t="n"/>
      <c r="I96" s="28" t="inlineStr">
        <is>
          <t>Open</t>
        </is>
      </c>
      <c r="J96" s="28" t="n"/>
      <c r="K96" s="28" t="n"/>
      <c r="L96" s="28" t="inlineStr">
        <is>
          <t>env: live</t>
        </is>
      </c>
      <c r="M96" s="28" t="inlineStr">
        <is>
          <t>Screen</t>
        </is>
      </c>
    </row>
    <row r="97">
      <c r="A97" s="27" t="inlineStr">
        <is>
          <t>WEB-SCREEN-292</t>
        </is>
      </c>
      <c r="B97" s="28" t="inlineStr">
        <is>
          <t>Circulars Notifications · desktop</t>
        </is>
      </c>
      <c r="C97" s="28" t="inlineStr">
        <is>
          <t>Functional</t>
        </is>
      </c>
      <c r="D97" s="28" t="inlineStr">
        <is>
          <t>Blocker</t>
        </is>
      </c>
      <c r="E97" s="28" t="inlineStr">
        <is>
          <t>Figma: GIGW 3.0: every published link resolves; a document a page offers is downloadable.  →  Live: Every internal link on the site was checked (1,248 unique URLs). Two are dead, both on this page: /wp-content/uploads/2026/04/DoPTOM08.06.2018.pdf and /wp-content/uploads/2026/04/dopteng.pdf, each returning HTTP 404 from the Download button on the reservation-for-OBC rows.</t>
        </is>
      </c>
      <c r="F97" s="28" t="inlineStr">
        <is>
          <t>Re-upload the two circulars, or point the rows at the current files. A citizen following a published circular reaches a dead end.</t>
        </is>
      </c>
      <c r="G97" s="28" t="n"/>
      <c r="H97" s="28" t="inlineStr">
        <is>
          <t>https://www.dosje.gov.in/circulars-notifications/</t>
        </is>
      </c>
      <c r="I97" s="28" t="inlineStr">
        <is>
          <t>Open</t>
        </is>
      </c>
      <c r="J97" s="28" t="n"/>
      <c r="K97" s="28" t="n"/>
      <c r="L97" s="28" t="inlineStr">
        <is>
          <t>env: live</t>
        </is>
      </c>
      <c r="M97" s="28" t="inlineStr">
        <is>
          <t>Screen</t>
        </is>
      </c>
    </row>
    <row r="98">
      <c r="A98" s="27" t="inlineStr">
        <is>
          <t>WEB-SCREEN-028</t>
        </is>
      </c>
      <c r="B98" s="28" t="inlineStr">
        <is>
          <t>Circulars Notifications · mobile</t>
        </is>
      </c>
      <c r="C98" s="28" t="inlineStr">
        <is>
          <t>Layout &amp; Spacing</t>
        </is>
      </c>
      <c r="D98" s="28" t="inlineStr">
        <is>
          <t>Major</t>
        </is>
      </c>
      <c r="E98" s="28" t="inlineStr">
        <is>
          <t>Figma: UX4G 3.0 §6: interactive targets are at least 44×44px with 8px between them. WCAG 2.5.8 AA sets an absolute floor of 24×24.  →  Live: “PMAJAY” is 147×20px. UX4G 3.0 §6 sets 44×44px as the minimum interactive size; at 147×20 it is also below the WCAG 2.5.8 AA floor of 24×24. Measured on 2 pages.</t>
        </is>
      </c>
      <c r="F98" s="28" t="inlineStr">
        <is>
          <t>Grow the control, or add transparent padding around it, until it measures 44×44px with 8px clear of its neighbours.</t>
        </is>
      </c>
      <c r="G98" s="28" t="n"/>
      <c r="H98" s="28" t="inlineStr">
        <is>
          <t>https://www.dosje.gov.in/circulars-notifications/</t>
        </is>
      </c>
      <c r="I98" s="28" t="inlineStr">
        <is>
          <t>Open</t>
        </is>
      </c>
      <c r="J98" s="28" t="n"/>
      <c r="K98" s="28" t="n"/>
      <c r="L98" s="28" t="inlineStr">
        <is>
          <t>env: live</t>
        </is>
      </c>
      <c r="M98" s="28" t="inlineStr">
        <is>
          <t>Screen</t>
        </is>
      </c>
    </row>
    <row r="99">
      <c r="A99" s="27" t="inlineStr">
        <is>
          <t>WEB-SCREEN-029</t>
        </is>
      </c>
      <c r="B99" s="28" t="inlineStr">
        <is>
          <t>Circulars Notifications · mobile</t>
        </is>
      </c>
      <c r="C99" s="28" t="inlineStr">
        <is>
          <t>Layout &amp; Spacing</t>
        </is>
      </c>
      <c r="D99" s="28" t="inlineStr">
        <is>
          <t>Major</t>
        </is>
      </c>
      <c r="E99" s="28" t="inlineStr">
        <is>
          <t>Figma: UX4G 3.0 §6: interactive targets are at least 44×44px with 8px between them. WCAG 2.5.8 AA sets an absolute floor of 24×24.  →  Live: “Smile Beggary” is 147×20px. UX4G 3.0 §6 sets 44×44px as the minimum interactive size; at 147×20 it is also below the WCAG 2.5.8 AA floor of 24×24.</t>
        </is>
      </c>
      <c r="F99" s="28" t="inlineStr">
        <is>
          <t>Grow the control, or add transparent padding around it, until it measures 44×44px with 8px clear of its neighbours.</t>
        </is>
      </c>
      <c r="G99" s="28" t="n"/>
      <c r="H99" s="28" t="inlineStr">
        <is>
          <t>https://www.dosje.gov.in/circulars-notifications/</t>
        </is>
      </c>
      <c r="I99" s="28" t="inlineStr">
        <is>
          <t>Open</t>
        </is>
      </c>
      <c r="J99" s="28" t="n"/>
      <c r="K99" s="28" t="n"/>
      <c r="L99" s="28" t="inlineStr">
        <is>
          <t>env: live</t>
        </is>
      </c>
      <c r="M99" s="28" t="inlineStr">
        <is>
          <t>Screen</t>
        </is>
      </c>
    </row>
    <row r="100">
      <c r="A100" s="27" t="inlineStr">
        <is>
          <t>WEB-SCREEN-015</t>
        </is>
      </c>
      <c r="B100" s="28" t="inlineStr">
        <is>
          <t>Contact Person · mobile</t>
        </is>
      </c>
      <c r="C100" s="28" t="inlineStr">
        <is>
          <t>Accessibility</t>
        </is>
      </c>
      <c r="D100" s="28" t="inlineStr">
        <is>
          <t>Major</t>
        </is>
      </c>
      <c r="E100" s="28" t="inlineStr">
        <is>
          <t>Figma: GIGW 3.0 mandates WCAG 2.2 AA conformance; axe-core tests a subset of it programmatically.  →  Live: Scrollable region must have keyboard access — &lt;div class="table-responsive w-100"&gt; (scrollable-region-focusable, wcag2a, wcag211, wcag213). Measured on 2 pages.</t>
        </is>
      </c>
      <c r="F100" s="28" t="inlineStr">
        <is>
          <t>Correct the markup the rule names; the rule's help page states the accepted fixes.</t>
        </is>
      </c>
      <c r="G100" s="28" t="n"/>
      <c r="H100" s="28" t="inlineStr">
        <is>
          <t>https://www.dosje.gov.in/contact-person/</t>
        </is>
      </c>
      <c r="I100" s="28" t="inlineStr">
        <is>
          <t>Open</t>
        </is>
      </c>
      <c r="J100" s="28" t="n"/>
      <c r="K100" s="28" t="n"/>
      <c r="L100" s="28" t="inlineStr">
        <is>
          <t>env: live</t>
        </is>
      </c>
      <c r="M100" s="28" t="inlineStr">
        <is>
          <t>Screen</t>
        </is>
      </c>
    </row>
    <row r="101">
      <c r="A101" s="27" t="inlineStr">
        <is>
          <t>WEB-SCREEN-083</t>
        </is>
      </c>
      <c r="B101" s="28" t="inlineStr">
        <is>
          <t>Contact Us · desktop</t>
        </is>
      </c>
      <c r="C101" s="28" t="inlineStr">
        <is>
          <t>Content &amp; Iconography</t>
        </is>
      </c>
      <c r="D101" s="28" t="inlineStr">
        <is>
          <t>Major</t>
        </is>
      </c>
      <c r="E101" s="28" t="inlineStr">
        <is>
          <t>Figma: The approved Figma handoff frame for this screen. Design: “contact details” · absent from the build  →  Live: The design frame carries “contact details” (40px). Nothing with that text renders on the live page. Also measured on the 375px capture of the same page.</t>
        </is>
      </c>
      <c r="F101" s="28" t="inlineStr">
        <is>
          <t>Add the content the design carries, or confirm with the design team that it was dropped deliberately.</t>
        </is>
      </c>
      <c r="G101" s="28" t="inlineStr">
        <is>
          <t>https://www.figma.com/design/Ds5qx61QsI0ZkYSrLKxo0A/MoSJE--Handoff-?node-id=3453-14626</t>
        </is>
      </c>
      <c r="H101" s="28" t="n"/>
      <c r="I101" s="28" t="inlineStr">
        <is>
          <t>Open</t>
        </is>
      </c>
      <c r="J101" s="28" t="n"/>
      <c r="K101" s="28" t="n"/>
      <c r="L101" s="28" t="inlineStr">
        <is>
          <t>env: live</t>
        </is>
      </c>
      <c r="M101" s="28" t="inlineStr">
        <is>
          <t>Screen</t>
        </is>
      </c>
    </row>
    <row r="102">
      <c r="A102" s="27" t="inlineStr">
        <is>
          <t>WEB-SCREEN-082</t>
        </is>
      </c>
      <c r="B102" s="28" t="inlineStr">
        <is>
          <t>Contact Us · desktop</t>
        </is>
      </c>
      <c r="C102" s="28" t="inlineStr">
        <is>
          <t>Content &amp; Iconography</t>
        </is>
      </c>
      <c r="D102" s="28" t="inlineStr">
        <is>
          <t>Major</t>
        </is>
      </c>
      <c r="E102" s="28" t="inlineStr">
        <is>
          <t>Figma: The approved Figma handoff frame for this screen. Design: “connect directly with the ministry, reac” · absent from the build  →  Live: The design frame carries “connect directly with the ministry, reach the concerned department, office, or o” (16px). Nothing with that text renders on the live page. Also measured on the 375px capture of the same page.</t>
        </is>
      </c>
      <c r="F102" s="28" t="inlineStr">
        <is>
          <t>Add the content the design carries, or confirm with the design team that it was dropped deliberately.</t>
        </is>
      </c>
      <c r="G102" s="28" t="inlineStr">
        <is>
          <t>https://www.figma.com/design/Ds5qx61QsI0ZkYSrLKxo0A/MoSJE--Handoff-?node-id=3453-14626</t>
        </is>
      </c>
      <c r="H102" s="28" t="n"/>
      <c r="I102" s="28" t="inlineStr">
        <is>
          <t>Open</t>
        </is>
      </c>
      <c r="J102" s="28" t="n"/>
      <c r="K102" s="28" t="n"/>
      <c r="L102" s="28" t="inlineStr">
        <is>
          <t>env: live</t>
        </is>
      </c>
      <c r="M102" s="28" t="inlineStr">
        <is>
          <t>Screen</t>
        </is>
      </c>
    </row>
    <row r="103">
      <c r="A103" s="27" t="inlineStr">
        <is>
          <t>WEB-SCREEN-087</t>
        </is>
      </c>
      <c r="B103" s="28" t="inlineStr">
        <is>
          <t>Contact Us · desktop</t>
        </is>
      </c>
      <c r="C103" s="28" t="inlineStr">
        <is>
          <t>Content &amp; Iconography</t>
        </is>
      </c>
      <c r="D103" s="28" t="inlineStr">
        <is>
          <t>Major</t>
        </is>
      </c>
      <c r="E103" s="28" t="inlineStr">
        <is>
          <t>Figma: The approved Figma handoff frame for this screen. Design: “ministry of social justice and empowerme” · absent from the build  →  Live: The design frame carries “ministry of social justice and empowerment (mosje) contact details” (16px). Nothing with that text renders on the live page. Also measured on the 375px capture of the same page.</t>
        </is>
      </c>
      <c r="F103" s="28" t="inlineStr">
        <is>
          <t>Add the content the design carries, or confirm with the design team that it was dropped deliberately.</t>
        </is>
      </c>
      <c r="G103" s="28" t="inlineStr">
        <is>
          <t>https://www.figma.com/design/Ds5qx61QsI0ZkYSrLKxo0A/MoSJE--Handoff-?node-id=3453-14626</t>
        </is>
      </c>
      <c r="H103" s="28" t="n"/>
      <c r="I103" s="28" t="inlineStr">
        <is>
          <t>Open</t>
        </is>
      </c>
      <c r="J103" s="28" t="n"/>
      <c r="K103" s="28" t="n"/>
      <c r="L103" s="28" t="inlineStr">
        <is>
          <t>env: live</t>
        </is>
      </c>
      <c r="M103" s="28" t="inlineStr">
        <is>
          <t>Screen</t>
        </is>
      </c>
    </row>
    <row r="104">
      <c r="A104" s="27" t="inlineStr">
        <is>
          <t>WEB-SCREEN-090</t>
        </is>
      </c>
      <c r="B104" s="28" t="inlineStr">
        <is>
          <t>Contact Us · desktop</t>
        </is>
      </c>
      <c r="C104" s="28" t="inlineStr">
        <is>
          <t>Content &amp; Iconography</t>
        </is>
      </c>
      <c r="D104" s="28" t="inlineStr">
        <is>
          <t>Major</t>
        </is>
      </c>
      <c r="E104" s="28" t="inlineStr">
        <is>
          <t>Figma: The approved Figma handoff frame for this screen. Design: “room no. 631, a-wing, shastri bhawan, ne” · absent from the build  →  Live: The design frame carries “room no. 631, a-wing, shastri bhawan, new delhi - 110001” (14px). Nothing with that text renders on the live page. Also measured on the 375px capture of the same page.</t>
        </is>
      </c>
      <c r="F104" s="28" t="inlineStr">
        <is>
          <t>Add the content the design carries, or confirm with the design team that it was dropped deliberately.</t>
        </is>
      </c>
      <c r="G104" s="28" t="inlineStr">
        <is>
          <t>https://www.figma.com/design/Ds5qx61QsI0ZkYSrLKxo0A/MoSJE--Handoff-?node-id=3453-14626</t>
        </is>
      </c>
      <c r="H104" s="28" t="n"/>
      <c r="I104" s="28" t="inlineStr">
        <is>
          <t>Open</t>
        </is>
      </c>
      <c r="J104" s="28" t="n"/>
      <c r="K104" s="28" t="n"/>
      <c r="L104" s="28" t="inlineStr">
        <is>
          <t>env: live</t>
        </is>
      </c>
      <c r="M104" s="28" t="inlineStr">
        <is>
          <t>Screen</t>
        </is>
      </c>
    </row>
    <row r="105">
      <c r="A105" s="27" t="inlineStr">
        <is>
          <t>WEB-SCREEN-081</t>
        </is>
      </c>
      <c r="B105" s="28" t="inlineStr">
        <is>
          <t>Contact Us · desktop</t>
        </is>
      </c>
      <c r="C105" s="28" t="inlineStr">
        <is>
          <t>Content &amp; Iconography</t>
        </is>
      </c>
      <c r="D105" s="28" t="inlineStr">
        <is>
          <t>Major</t>
        </is>
      </c>
      <c r="E105" s="28" t="inlineStr">
        <is>
          <t>Figma: The approved Figma handoff frame for this screen. Design: “complaint[at]ncsc[dot]gov[dot]in” · absent from the build  →  Live: The design frame carries “complaint[at]ncsc[dot]gov[dot]in” (14px). Nothing with that text renders on the live page. Also measured on the 375px capture of the same page.</t>
        </is>
      </c>
      <c r="F105" s="28" t="inlineStr">
        <is>
          <t>Add the content the design carries, or confirm with the design team that it was dropped deliberately.</t>
        </is>
      </c>
      <c r="G105" s="28" t="inlineStr">
        <is>
          <t>https://www.figma.com/design/Ds5qx61QsI0ZkYSrLKxo0A/MoSJE--Handoff-?node-id=3453-14626</t>
        </is>
      </c>
      <c r="H105" s="28" t="n"/>
      <c r="I105" s="28" t="inlineStr">
        <is>
          <t>Open</t>
        </is>
      </c>
      <c r="J105" s="28" t="n"/>
      <c r="K105" s="28" t="n"/>
      <c r="L105" s="28" t="inlineStr">
        <is>
          <t>env: live</t>
        </is>
      </c>
      <c r="M105" s="28" t="inlineStr">
        <is>
          <t>Screen</t>
        </is>
      </c>
    </row>
    <row r="106">
      <c r="A106" s="27" t="inlineStr">
        <is>
          <t>WEB-SCREEN-088</t>
        </is>
      </c>
      <c r="B106" s="28" t="inlineStr">
        <is>
          <t>Contact Us · desktop</t>
        </is>
      </c>
      <c r="C106" s="28" t="inlineStr">
        <is>
          <t>Content &amp; Iconography</t>
        </is>
      </c>
      <c r="D106" s="28" t="inlineStr">
        <is>
          <t>Major</t>
        </is>
      </c>
      <c r="E106" s="28" t="inlineStr">
        <is>
          <t>Figma: The approved Figma handoff frame for this screen. Design: “national commission for safai karamchari” · absent from the build  →  Live: The design frame carries “national commission for safai karamchari (ncsk)” (16px). Nothing with that text renders on the live page.</t>
        </is>
      </c>
      <c r="F106" s="28" t="inlineStr">
        <is>
          <t>Add the content the design carries, or confirm with the design team that it was dropped deliberately.</t>
        </is>
      </c>
      <c r="G106" s="28" t="inlineStr">
        <is>
          <t>https://www.figma.com/design/Ds5qx61QsI0ZkYSrLKxo0A/MoSJE--Handoff-?node-id=3453-14626</t>
        </is>
      </c>
      <c r="H106" s="28" t="n"/>
      <c r="I106" s="28" t="inlineStr">
        <is>
          <t>Open</t>
        </is>
      </c>
      <c r="J106" s="28" t="n"/>
      <c r="K106" s="28" t="n"/>
      <c r="L106" s="28" t="inlineStr">
        <is>
          <t>env: live</t>
        </is>
      </c>
      <c r="M106" s="28" t="inlineStr">
        <is>
          <t>Screen</t>
        </is>
      </c>
    </row>
    <row r="107">
      <c r="A107" s="27" t="inlineStr">
        <is>
          <t>WEB-SCREEN-002</t>
        </is>
      </c>
      <c r="B107" s="28" t="inlineStr">
        <is>
          <t>Contact Us · mobile</t>
        </is>
      </c>
      <c r="C107" s="28" t="inlineStr">
        <is>
          <t>Accessibility</t>
        </is>
      </c>
      <c r="D107" s="28" t="inlineStr">
        <is>
          <t>Blocker</t>
        </is>
      </c>
      <c r="E107" s="28" t="inlineStr">
        <is>
          <t>Figma: GIGW 3.0 mandates WCAG 2.2 AA conformance; axe-core tests a subset of it programmatically.  →  Live: Select element must have an accessible name — &lt;select class="form-select mobile-tab-select d-block d-lg-none mb-3" id="mobileTabSelect"&gt; (select-name, wcag2a, wcag412).</t>
        </is>
      </c>
      <c r="F107" s="28" t="inlineStr">
        <is>
          <t>Correct the markup the rule names; the rule's help page states the accepted fixes.</t>
        </is>
      </c>
      <c r="G107" s="28" t="n"/>
      <c r="H107" s="28" t="inlineStr">
        <is>
          <t>https://www.dosje.gov.in/contact-us/</t>
        </is>
      </c>
      <c r="I107" s="28" t="inlineStr">
        <is>
          <t>Open</t>
        </is>
      </c>
      <c r="J107" s="28" t="n"/>
      <c r="K107" s="28" t="n"/>
      <c r="L107" s="28" t="inlineStr">
        <is>
          <t>env: live</t>
        </is>
      </c>
      <c r="M107" s="28" t="inlineStr">
        <is>
          <t>Screen</t>
        </is>
      </c>
    </row>
    <row r="108">
      <c r="A108" s="27" t="inlineStr">
        <is>
          <t>WEB-SCREEN-285</t>
        </is>
      </c>
      <c r="B108" s="28" t="inlineStr">
        <is>
          <t>Cookies · desktop</t>
        </is>
      </c>
      <c r="C108" s="28" t="inlineStr">
        <is>
          <t>Color &amp; Token</t>
        </is>
      </c>
      <c r="D108" s="28" t="inlineStr">
        <is>
          <t>Blocker</t>
        </is>
      </c>
      <c r="E108" s="28" t="inlineStr">
        <is>
          <t>Figma: WCAG 2.2 AA (1.4.11): the visible part of a control — its icon, its outline, its indicator — needs 3:1 against what is behind it.  →  Live: Text “Session Cookies always active” (input.form-check-input) renders #545454 on #0373DF at 16px/400 — #FFFFFF on #90BFEC as painted on the capture: 1.94:1 against the 3.0:1 minimum. Also measured on the 375px capture of the same page.</t>
        </is>
      </c>
      <c r="F108" s="28" t="inlineStr">
        <is>
          <t>Darken the icon or its ground until the pair reaches 3:1. The control's accessible name is already correct; only what is drawn needs changing.</t>
        </is>
      </c>
      <c r="G108" s="28" t="n"/>
      <c r="H108" s="28" t="inlineStr">
        <is>
          <t>https://www.dosje.gov.in/cookies/</t>
        </is>
      </c>
      <c r="I108" s="28" t="inlineStr">
        <is>
          <t>Open</t>
        </is>
      </c>
      <c r="J108" s="28" t="n"/>
      <c r="K108" s="28" t="n"/>
      <c r="L108" s="28" t="inlineStr">
        <is>
          <t>env: live</t>
        </is>
      </c>
      <c r="M108" s="28" t="inlineStr">
        <is>
          <t>Screen</t>
        </is>
      </c>
    </row>
    <row r="109">
      <c r="A109" s="27" t="inlineStr">
        <is>
          <t>WEB-SCREEN-018</t>
        </is>
      </c>
      <c r="B109" s="28" t="inlineStr">
        <is>
          <t>Cookies · desktop</t>
        </is>
      </c>
      <c r="C109" s="28" t="inlineStr">
        <is>
          <t>Color &amp; Token</t>
        </is>
      </c>
      <c r="D109" s="28" t="inlineStr">
        <is>
          <t>Major</t>
        </is>
      </c>
      <c r="E109" s="28" t="inlineStr">
        <is>
          <t>Figma: WCAG 2.2 AA (1.4.3), carried into GIGW 3.0: text needs 4.5:1 against its background, or 3:1 at 24px+ / 18.66px+ bold.  →  Live: Text “Ensures user session persistence, allowing seamless navigation on the…” (p.small) renders #938BB6 on #FFFFFF at 12px/400 — #938BB6 on #FFFFFF as painted on the capture: 3.18:1 against the 4.5:1 minimum. Also measured on the 375px capture of the same page.</t>
        </is>
      </c>
      <c r="F109" s="28" t="inlineStr">
        <is>
          <t>Darken the text or lighten its ground until the pair measures at least the required ratio, then re-check every place the pair is used.</t>
        </is>
      </c>
      <c r="G109" s="28" t="n"/>
      <c r="H109" s="28" t="inlineStr">
        <is>
          <t>https://www.dosje.gov.in/cookies/</t>
        </is>
      </c>
      <c r="I109" s="28" t="inlineStr">
        <is>
          <t>Open</t>
        </is>
      </c>
      <c r="J109" s="28" t="n"/>
      <c r="K109" s="28" t="n"/>
      <c r="L109" s="28" t="inlineStr">
        <is>
          <t>env: live</t>
        </is>
      </c>
      <c r="M109" s="28" t="inlineStr">
        <is>
          <t>Screen</t>
        </is>
      </c>
    </row>
    <row r="110">
      <c r="A110" s="27" t="inlineStr">
        <is>
          <t>WEB-SCREEN-104</t>
        </is>
      </c>
      <c r="B110" s="28" t="inlineStr">
        <is>
          <t>Cpio · desktop</t>
        </is>
      </c>
      <c r="C110" s="28" t="inlineStr">
        <is>
          <t>Content &amp; Iconography</t>
        </is>
      </c>
      <c r="D110" s="28" t="inlineStr">
        <is>
          <t>Major</t>
        </is>
      </c>
      <c r="E110" s="28" t="inlineStr">
        <is>
          <t>Figma: The approved Figma handoff frame for this screen. Design: “the designated authority responsible for” · absent from the build  →  Live: The design frame carries “the designated authority responsible for providing timely and transparent inform” (16px). Nothing with that text renders on the live page.</t>
        </is>
      </c>
      <c r="F110" s="28" t="inlineStr">
        <is>
          <t>Add the content the design carries, or confirm with the design team that it was dropped deliberately.</t>
        </is>
      </c>
      <c r="G110" s="28" t="inlineStr">
        <is>
          <t>https://www.figma.com/design/Ds5qx61QsI0ZkYSrLKxo0A/MoSJE--Handoff-?node-id=3453-14262</t>
        </is>
      </c>
      <c r="H110" s="28" t="n"/>
      <c r="I110" s="28" t="inlineStr">
        <is>
          <t>Open</t>
        </is>
      </c>
      <c r="J110" s="28" t="n"/>
      <c r="K110" s="28" t="n"/>
      <c r="L110" s="28" t="inlineStr">
        <is>
          <t>env: live</t>
        </is>
      </c>
      <c r="M110" s="28" t="inlineStr">
        <is>
          <t>Screen</t>
        </is>
      </c>
    </row>
    <row r="111">
      <c r="A111" s="27" t="inlineStr">
        <is>
          <t>WEB-SCREEN-103</t>
        </is>
      </c>
      <c r="B111" s="28" t="inlineStr">
        <is>
          <t>Cpio · desktop</t>
        </is>
      </c>
      <c r="C111" s="28" t="inlineStr">
        <is>
          <t>Content &amp; Iconography</t>
        </is>
      </c>
      <c r="D111" s="28" t="inlineStr">
        <is>
          <t>Major</t>
        </is>
      </c>
      <c r="E111" s="28" t="inlineStr">
        <is>
          <t>Figma: The approved Figma handoff frame for this screen. Design: “sort by recently updated” · absent from the build  →  Live: The design frame carries “sort by recently updated” (14px). Nothing with that text renders on the live page. Measured on 2 pages.</t>
        </is>
      </c>
      <c r="F111" s="28" t="inlineStr">
        <is>
          <t>Add the content the design carries, or confirm with the design team that it was dropped deliberately.</t>
        </is>
      </c>
      <c r="G111" s="28" t="inlineStr">
        <is>
          <t>https://www.figma.com/design/Ds5qx61QsI0ZkYSrLKxo0A/MoSJE--Handoff-?node-id=3453-14262</t>
        </is>
      </c>
      <c r="H111" s="28" t="n"/>
      <c r="I111" s="28" t="inlineStr">
        <is>
          <t>Open</t>
        </is>
      </c>
      <c r="J111" s="28" t="n"/>
      <c r="K111" s="28" t="n"/>
      <c r="L111" s="28" t="inlineStr">
        <is>
          <t>env: live</t>
        </is>
      </c>
      <c r="M111" s="28" t="inlineStr">
        <is>
          <t>Screen</t>
        </is>
      </c>
    </row>
    <row r="112">
      <c r="A112" s="27" t="inlineStr">
        <is>
          <t>WEB-SCREEN-091</t>
        </is>
      </c>
      <c r="B112" s="28" t="inlineStr">
        <is>
          <t>Cpio · desktop</t>
        </is>
      </c>
      <c r="C112" s="28" t="inlineStr">
        <is>
          <t>Content &amp; Iconography</t>
        </is>
      </c>
      <c r="D112" s="28" t="inlineStr">
        <is>
          <t>Major</t>
        </is>
      </c>
      <c r="E112" s="28" t="inlineStr">
        <is>
          <t>Figma: The approved Figma handoff frame for this screen. Design: “designantion” · absent from the build  →  Live: The design frame carries “designantion” (14px). Nothing with that text renders on the live page.</t>
        </is>
      </c>
      <c r="F112" s="28" t="inlineStr">
        <is>
          <t>Add the content the design carries, or confirm with the design team that it was dropped deliberately.</t>
        </is>
      </c>
      <c r="G112" s="28" t="inlineStr">
        <is>
          <t>https://www.figma.com/design/Ds5qx61QsI0ZkYSrLKxo0A/MoSJE--Handoff-?node-id=3453-14262</t>
        </is>
      </c>
      <c r="H112" s="28" t="n"/>
      <c r="I112" s="28" t="inlineStr">
        <is>
          <t>Open</t>
        </is>
      </c>
      <c r="J112" s="28" t="n"/>
      <c r="K112" s="28" t="n"/>
      <c r="L112" s="28" t="inlineStr">
        <is>
          <t>env: live</t>
        </is>
      </c>
      <c r="M112" s="28" t="inlineStr">
        <is>
          <t>Screen</t>
        </is>
      </c>
    </row>
    <row r="113">
      <c r="A113" s="27" t="inlineStr">
        <is>
          <t>WEB-SCREEN-099</t>
        </is>
      </c>
      <c r="B113" s="28" t="inlineStr">
        <is>
          <t>Cpio · desktop</t>
        </is>
      </c>
      <c r="C113" s="28" t="inlineStr">
        <is>
          <t>Content &amp; Iconography</t>
        </is>
      </c>
      <c r="D113" s="28" t="inlineStr">
        <is>
          <t>Major</t>
        </is>
      </c>
      <c r="E113" s="28" t="inlineStr">
        <is>
          <t>Figma: The approved Figma handoff frame for this screen. Design: “shri gulshan kumar pahadia, ad” · absent from the build  →  Live: The design frame carries “shri gulshan kumar pahadia, ad” (14px). Nothing with that text renders on the live page. Also measured on the 375px capture of the same page.</t>
        </is>
      </c>
      <c r="F113" s="28" t="inlineStr">
        <is>
          <t>Add the content the design carries, or confirm with the design team that it was dropped deliberately.</t>
        </is>
      </c>
      <c r="G113" s="28" t="inlineStr">
        <is>
          <t>https://www.figma.com/design/Ds5qx61QsI0ZkYSrLKxo0A/MoSJE--Handoff-?node-id=3453-14262</t>
        </is>
      </c>
      <c r="H113" s="28" t="n"/>
      <c r="I113" s="28" t="inlineStr">
        <is>
          <t>Open</t>
        </is>
      </c>
      <c r="J113" s="28" t="n"/>
      <c r="K113" s="28" t="n"/>
      <c r="L113" s="28" t="inlineStr">
        <is>
          <t>env: live</t>
        </is>
      </c>
      <c r="M113" s="28" t="inlineStr">
        <is>
          <t>Screen</t>
        </is>
      </c>
    </row>
    <row r="114">
      <c r="A114" s="27" t="inlineStr">
        <is>
          <t>WEB-SCREEN-097</t>
        </is>
      </c>
      <c r="B114" s="28" t="inlineStr">
        <is>
          <t>Cpio · desktop</t>
        </is>
      </c>
      <c r="C114" s="28" t="inlineStr">
        <is>
          <t>Content &amp; Iconography</t>
        </is>
      </c>
      <c r="D114" s="28" t="inlineStr">
        <is>
          <t>Major</t>
        </is>
      </c>
      <c r="E114" s="28" t="inlineStr">
        <is>
          <t>Figma: The approved Figma handoff frame for this screen. Design: “ms. sanmeet kaur, dig(p)” · absent from the build  →  Live: The design frame carries “ms. sanmeet kaur, dig(p)” (14px). Nothing with that text renders on the live page. Also measured on the 375px capture of the same page.</t>
        </is>
      </c>
      <c r="F114" s="28" t="inlineStr">
        <is>
          <t>Add the content the design carries, or confirm with the design team that it was dropped deliberately.</t>
        </is>
      </c>
      <c r="G114" s="28" t="inlineStr">
        <is>
          <t>https://www.figma.com/design/Ds5qx61QsI0ZkYSrLKxo0A/MoSJE--Handoff-?node-id=3453-14262</t>
        </is>
      </c>
      <c r="H114" s="28" t="n"/>
      <c r="I114" s="28" t="inlineStr">
        <is>
          <t>Open</t>
        </is>
      </c>
      <c r="J114" s="28" t="n"/>
      <c r="K114" s="28" t="n"/>
      <c r="L114" s="28" t="inlineStr">
        <is>
          <t>env: live</t>
        </is>
      </c>
      <c r="M114" s="28" t="inlineStr">
        <is>
          <t>Screen</t>
        </is>
      </c>
    </row>
    <row r="115">
      <c r="A115" s="27" t="inlineStr">
        <is>
          <t>WEB-SCREEN-098</t>
        </is>
      </c>
      <c r="B115" s="28" t="inlineStr">
        <is>
          <t>Cpio · desktop</t>
        </is>
      </c>
      <c r="C115" s="28" t="inlineStr">
        <is>
          <t>Content &amp; Iconography</t>
        </is>
      </c>
      <c r="D115" s="28" t="inlineStr">
        <is>
          <t>Major</t>
        </is>
      </c>
      <c r="E115" s="28" t="inlineStr">
        <is>
          <t>Figma: The approved Figma handoff frame for this screen. Design: “sanmeet[dot]kaur[at]ips[dot]gov[dot]in” · absent from the build  →  Live: The design frame carries “sanmeet[dot]kaur[at]ips[dot]gov[dot]in” (14px). Nothing with that text renders on the live page. Also measured on the 375px capture of the same page.</t>
        </is>
      </c>
      <c r="F115" s="28" t="inlineStr">
        <is>
          <t>Add the content the design carries, or confirm with the design team that it was dropped deliberately.</t>
        </is>
      </c>
      <c r="G115" s="28" t="inlineStr">
        <is>
          <t>https://www.figma.com/design/Ds5qx61QsI0ZkYSrLKxo0A/MoSJE--Handoff-?node-id=3453-14262</t>
        </is>
      </c>
      <c r="H115" s="28" t="n"/>
      <c r="I115" s="28" t="inlineStr">
        <is>
          <t>Open</t>
        </is>
      </c>
      <c r="J115" s="28" t="n"/>
      <c r="K115" s="28" t="n"/>
      <c r="L115" s="28" t="inlineStr">
        <is>
          <t>env: live</t>
        </is>
      </c>
      <c r="M115" s="28" t="inlineStr">
        <is>
          <t>Screen</t>
        </is>
      </c>
    </row>
    <row r="116">
      <c r="A116" s="27" t="inlineStr">
        <is>
          <t>WEB-SCREEN-093</t>
        </is>
      </c>
      <c r="B116" s="28" t="inlineStr">
        <is>
          <t>Cpio · mobile</t>
        </is>
      </c>
      <c r="C116" s="28" t="inlineStr">
        <is>
          <t>Content &amp; Iconography</t>
        </is>
      </c>
      <c r="D116" s="28" t="inlineStr">
        <is>
          <t>Major</t>
        </is>
      </c>
      <c r="E116" s="28" t="inlineStr">
        <is>
          <t>Figma: The approved Figma handoff frame for this screen. Design: “gk[dot]pahadia[at]gov[dot]in” · absent from the build  →  Live: The design frame carries “gk[dot]pahadia[at]gov[dot]in” (12px). Nothing with that text renders on the live page.</t>
        </is>
      </c>
      <c r="F116" s="28" t="inlineStr">
        <is>
          <t>Add the content the design carries, or confirm with the design team that it was dropped deliberately.</t>
        </is>
      </c>
      <c r="G116" s="28" t="inlineStr">
        <is>
          <t>https://www.figma.com/design/Ds5qx61QsI0ZkYSrLKxo0A/MoSJE--Handoff-?node-id=4626-80865</t>
        </is>
      </c>
      <c r="H116" s="28" t="n"/>
      <c r="I116" s="28" t="inlineStr">
        <is>
          <t>Open</t>
        </is>
      </c>
      <c r="J116" s="28" t="n"/>
      <c r="K116" s="28" t="n"/>
      <c r="L116" s="28" t="inlineStr">
        <is>
          <t>env: live</t>
        </is>
      </c>
      <c r="M116" s="28" t="inlineStr">
        <is>
          <t>Screen</t>
        </is>
      </c>
    </row>
    <row r="117">
      <c r="A117" s="27" t="inlineStr">
        <is>
          <t>WEB-SCREEN-257</t>
        </is>
      </c>
      <c r="B117" s="28" t="inlineStr">
        <is>
          <t>Cpio · mobile</t>
        </is>
      </c>
      <c r="C117" s="28" t="inlineStr">
        <is>
          <t>Typography</t>
        </is>
      </c>
      <c r="D117" s="28" t="inlineStr">
        <is>
          <t>Major</t>
        </is>
      </c>
      <c r="E117" s="28" t="inlineStr">
        <is>
          <t>Figma: The approved Figma handoff frame for this screen. Built 22px · design 20px · Built #1F2937 · design #014B92  →  Live: “list of cpios/aas” — size 20 → 22; colour #014B92 → #1F2937.</t>
        </is>
      </c>
      <c r="F117" s="28" t="inlineStr">
        <is>
          <t>Set the built value to the design's.</t>
        </is>
      </c>
      <c r="G117" s="28" t="inlineStr">
        <is>
          <t>https://www.figma.com/design/Ds5qx61QsI0ZkYSrLKxo0A/MoSJE--Handoff-?node-id=4626-80865</t>
        </is>
      </c>
      <c r="H117" s="28" t="n"/>
      <c r="I117" s="28" t="inlineStr">
        <is>
          <t>Open</t>
        </is>
      </c>
      <c r="J117" s="28" t="n"/>
      <c r="K117" s="28" t="n"/>
      <c r="L117" s="28" t="inlineStr">
        <is>
          <t>env: live</t>
        </is>
      </c>
      <c r="M117" s="28" t="inlineStr">
        <is>
          <t>Screen</t>
        </is>
      </c>
    </row>
    <row r="118">
      <c r="A118" s="27" t="inlineStr">
        <is>
          <t>WEB-SCREEN-019</t>
        </is>
      </c>
      <c r="B118" s="28" t="inlineStr">
        <is>
          <t>Dashboard · desktop</t>
        </is>
      </c>
      <c r="C118" s="28" t="inlineStr">
        <is>
          <t>Color &amp; Token</t>
        </is>
      </c>
      <c r="D118" s="28" t="inlineStr">
        <is>
          <t>Major</t>
        </is>
      </c>
      <c r="E118" s="28" t="inlineStr">
        <is>
          <t>Figma: WCAG 2.2 AA (1.4.3), carried into GIGW 3.0: text needs 4.5:1 against its background, or 3:1 at 24px+ / 18.66px+ bold.  →  Live: Text “Pre-Matric (SCs &amp; Others)” (span.mosje-cat-metric-label) renders #6B6F78 on #EAF2FB at 12px/500 — #6B6F78 on #EAF2FB as painted on the capture: 4.46:1 against the 4.5:1 minimum.</t>
        </is>
      </c>
      <c r="F118" s="28" t="inlineStr">
        <is>
          <t>Darken the text or lighten its ground until the pair measures at least the required ratio, then re-check every place the pair is used.</t>
        </is>
      </c>
      <c r="G118" s="28" t="n"/>
      <c r="H118" s="28" t="inlineStr">
        <is>
          <t>https://www.dosje.gov.in/dashboard/</t>
        </is>
      </c>
      <c r="I118" s="28" t="inlineStr">
        <is>
          <t>Open</t>
        </is>
      </c>
      <c r="J118" s="28" t="n"/>
      <c r="K118" s="28" t="n"/>
      <c r="L118" s="28" t="inlineStr">
        <is>
          <t>env: live</t>
        </is>
      </c>
      <c r="M118" s="28" t="inlineStr">
        <is>
          <t>Screen</t>
        </is>
      </c>
    </row>
    <row r="119">
      <c r="A119" s="27" t="inlineStr">
        <is>
          <t>WEB-SCREEN-117</t>
        </is>
      </c>
      <c r="B119" s="28" t="inlineStr">
        <is>
          <t>Dashboard · desktop</t>
        </is>
      </c>
      <c r="C119" s="28" t="inlineStr">
        <is>
          <t>Content &amp; Iconography</t>
        </is>
      </c>
      <c r="D119" s="28" t="inlineStr">
        <is>
          <t>Major</t>
        </is>
      </c>
      <c r="E119" s="28" t="inlineStr">
        <is>
          <t>Figma: The approved Figma handoff frame for this screen. Design: “total sc/st beneficiary count” · absent from the build  →  Live: The design frame carries “total sc/st beneficiary count” (16px). Nothing with that text renders on the live page. Also measured on the 375px capture of the same page.</t>
        </is>
      </c>
      <c r="F119" s="28" t="inlineStr">
        <is>
          <t>Add the content the design carries, or confirm with the design team that it was dropped deliberately.</t>
        </is>
      </c>
      <c r="G119" s="28" t="n"/>
      <c r="H119" s="28" t="inlineStr">
        <is>
          <t>https://www.dosje.gov.in/dashboard/</t>
        </is>
      </c>
      <c r="I119" s="28" t="inlineStr">
        <is>
          <t>Open</t>
        </is>
      </c>
      <c r="J119" s="28" t="n"/>
      <c r="K119" s="28" t="n"/>
      <c r="L119" s="28" t="inlineStr">
        <is>
          <t>env: live</t>
        </is>
      </c>
      <c r="M119" s="28" t="inlineStr">
        <is>
          <t>Screen</t>
        </is>
      </c>
    </row>
    <row r="120">
      <c r="A120" s="27" t="inlineStr">
        <is>
          <t>WEB-SCREEN-109</t>
        </is>
      </c>
      <c r="B120" s="28" t="inlineStr">
        <is>
          <t>Dashboard · desktop</t>
        </is>
      </c>
      <c r="C120" s="28" t="inlineStr">
        <is>
          <t>Content &amp; Iconography</t>
        </is>
      </c>
      <c r="D120" s="28" t="inlineStr">
        <is>
          <t>Major</t>
        </is>
      </c>
      <c r="E120" s="28" t="inlineStr">
        <is>
          <t>Figma: The approved Figma handoff frame for this screen. Design: “sc/st coverage rate” · absent from the build  →  Live: The design frame carries “sc/st coverage rate” (16px). Nothing with that text renders on the live page. Also measured on the 375px capture of the same page.</t>
        </is>
      </c>
      <c r="F120" s="28" t="inlineStr">
        <is>
          <t>Add the content the design carries, or confirm with the design team that it was dropped deliberately.</t>
        </is>
      </c>
      <c r="G120" s="28" t="n"/>
      <c r="H120" s="28" t="inlineStr">
        <is>
          <t>https://www.dosje.gov.in/dashboard/</t>
        </is>
      </c>
      <c r="I120" s="28" t="inlineStr">
        <is>
          <t>Open</t>
        </is>
      </c>
      <c r="J120" s="28" t="n"/>
      <c r="K120" s="28" t="n"/>
      <c r="L120" s="28" t="inlineStr">
        <is>
          <t>env: live</t>
        </is>
      </c>
      <c r="M120" s="28" t="inlineStr">
        <is>
          <t>Screen</t>
        </is>
      </c>
    </row>
    <row r="121">
      <c r="A121" s="27" t="inlineStr">
        <is>
          <t>WEB-SCREEN-107</t>
        </is>
      </c>
      <c r="B121" s="28" t="inlineStr">
        <is>
          <t>Dashboard · desktop</t>
        </is>
      </c>
      <c r="C121" s="28" t="inlineStr">
        <is>
          <t>Content &amp; Iconography</t>
        </is>
      </c>
      <c r="D121" s="28" t="inlineStr">
        <is>
          <t>Major</t>
        </is>
      </c>
      <c r="E121" s="28" t="inlineStr">
        <is>
          <t>Figma: The approved Figma handoff frame for this screen. Design: “dapsc budget utilization rate” · absent from the build  →  Live: The design frame carries “dapsc budget utilization rate” (16px). Nothing with that text renders on the live page. Also measured on the 375px capture of the same page.</t>
        </is>
      </c>
      <c r="F121" s="28" t="inlineStr">
        <is>
          <t>Add the content the design carries, or confirm with the design team that it was dropped deliberately.</t>
        </is>
      </c>
      <c r="G121" s="28" t="n"/>
      <c r="H121" s="28" t="inlineStr">
        <is>
          <t>https://www.dosje.gov.in/dashboard/</t>
        </is>
      </c>
      <c r="I121" s="28" t="inlineStr">
        <is>
          <t>Open</t>
        </is>
      </c>
      <c r="J121" s="28" t="n"/>
      <c r="K121" s="28" t="n"/>
      <c r="L121" s="28" t="inlineStr">
        <is>
          <t>env: live</t>
        </is>
      </c>
      <c r="M121" s="28" t="inlineStr">
        <is>
          <t>Screen</t>
        </is>
      </c>
    </row>
    <row r="122">
      <c r="A122" s="27" t="inlineStr">
        <is>
          <t>WEB-SCREEN-112</t>
        </is>
      </c>
      <c r="B122" s="28" t="inlineStr">
        <is>
          <t>Dashboard · desktop</t>
        </is>
      </c>
      <c r="C122" s="28" t="inlineStr">
        <is>
          <t>Content &amp; Iconography</t>
        </is>
      </c>
      <c r="D122" s="28" t="inlineStr">
        <is>
          <t>Major</t>
        </is>
      </c>
      <c r="E122" s="28" t="inlineStr">
        <is>
          <t>Figma: The approved Figma handoff frame for this screen. Design: “sc/st women beneficiary percentage” · absent from the build  →  Live: The design frame carries “sc/st women beneficiary percentage” (16px). Nothing with that text renders on the live page. Also measured on the 375px capture of the same page.</t>
        </is>
      </c>
      <c r="F122" s="28" t="inlineStr">
        <is>
          <t>Add the content the design carries, or confirm with the design team that it was dropped deliberately.</t>
        </is>
      </c>
      <c r="G122" s="28" t="n"/>
      <c r="H122" s="28" t="inlineStr">
        <is>
          <t>https://www.dosje.gov.in/dashboard/</t>
        </is>
      </c>
      <c r="I122" s="28" t="inlineStr">
        <is>
          <t>Open</t>
        </is>
      </c>
      <c r="J122" s="28" t="n"/>
      <c r="K122" s="28" t="n"/>
      <c r="L122" s="28" t="inlineStr">
        <is>
          <t>env: live</t>
        </is>
      </c>
      <c r="M122" s="28" t="inlineStr">
        <is>
          <t>Screen</t>
        </is>
      </c>
    </row>
    <row r="123">
      <c r="A123" s="27" t="inlineStr">
        <is>
          <t>WEB-SCREEN-111</t>
        </is>
      </c>
      <c r="B123" s="28" t="inlineStr">
        <is>
          <t>Dashboard · desktop</t>
        </is>
      </c>
      <c r="C123" s="28" t="inlineStr">
        <is>
          <t>Content &amp; Iconography</t>
        </is>
      </c>
      <c r="D123" s="28" t="inlineStr">
        <is>
          <t>Major</t>
        </is>
      </c>
      <c r="E123" s="28" t="inlineStr">
        <is>
          <t>Figma: The approved Figma handoff frame for this screen. Design: “sc/st scholarship beneficiaries” · absent from the build  →  Live: The design frame carries “sc/st scholarship beneficiaries” (16px). Nothing with that text renders on the live page. Also measured on the 375px capture of the same page.</t>
        </is>
      </c>
      <c r="F123" s="28" t="inlineStr">
        <is>
          <t>Add the content the design carries, or confirm with the design team that it was dropped deliberately.</t>
        </is>
      </c>
      <c r="G123" s="28" t="n"/>
      <c r="H123" s="28" t="inlineStr">
        <is>
          <t>https://www.dosje.gov.in/dashboard/</t>
        </is>
      </c>
      <c r="I123" s="28" t="inlineStr">
        <is>
          <t>Open</t>
        </is>
      </c>
      <c r="J123" s="28" t="n"/>
      <c r="K123" s="28" t="n"/>
      <c r="L123" s="28" t="inlineStr">
        <is>
          <t>env: live</t>
        </is>
      </c>
      <c r="M123" s="28" t="inlineStr">
        <is>
          <t>Screen</t>
        </is>
      </c>
    </row>
    <row r="124">
      <c r="A124" s="27" t="inlineStr">
        <is>
          <t>WEB-SCREEN-004</t>
        </is>
      </c>
      <c r="B124" s="28" t="inlineStr">
        <is>
          <t>Dashboard · mobile</t>
        </is>
      </c>
      <c r="C124" s="28" t="inlineStr">
        <is>
          <t>Color &amp; Token</t>
        </is>
      </c>
      <c r="D124" s="28" t="inlineStr">
        <is>
          <t>Blocker</t>
        </is>
      </c>
      <c r="E124" s="28" t="inlineStr">
        <is>
          <t>Figma: WCAG 2.2 AA (1.4.3), carried into GIGW 3.0: text needs 4.5:1 against its background, or 3:1 at 24px+ / 18.66px+ bold.  →  Live: Text “29,015” (div.mosje-hostel-num) renders #2BA84A on #FFFFFF at 20px/600 — #2BA84A on #FFFFFF as painted on the capture: 3.09:1 against the 4.5:1 minimum.</t>
        </is>
      </c>
      <c r="F124" s="28" t="inlineStr">
        <is>
          <t>Darken the text or lighten its ground until the pair measures at least the required ratio, then re-check every place the pair is used.</t>
        </is>
      </c>
      <c r="G124" s="28" t="n"/>
      <c r="H124" s="28" t="inlineStr">
        <is>
          <t>https://www.dosje.gov.in/dashboard/</t>
        </is>
      </c>
      <c r="I124" s="28" t="inlineStr">
        <is>
          <t>Open</t>
        </is>
      </c>
      <c r="J124" s="28" t="n"/>
      <c r="K124" s="28" t="n"/>
      <c r="L124" s="28" t="inlineStr">
        <is>
          <t>env: live</t>
        </is>
      </c>
      <c r="M124" s="28" t="inlineStr">
        <is>
          <t>Screen</t>
        </is>
      </c>
    </row>
    <row r="125">
      <c r="A125" s="27" t="inlineStr">
        <is>
          <t>WEB-SCREEN-122</t>
        </is>
      </c>
      <c r="B125" s="28" t="inlineStr">
        <is>
          <t>Events · desktop</t>
        </is>
      </c>
      <c r="C125" s="28" t="inlineStr">
        <is>
          <t>Content &amp; Iconography</t>
        </is>
      </c>
      <c r="D125" s="28" t="inlineStr">
        <is>
          <t>Major</t>
        </is>
      </c>
      <c r="E125" s="28" t="inlineStr">
        <is>
          <t>Figma: The approved Figma handoff frame for this screen. Design: “discover initiatives, workshops, and awa” · absent from the build  →  Live: The design frame carries “discover initiatives, workshops, and awareness programs that highlight the minis” (16px). Nothing with that text renders on the live page. Also measured on the 375px capture of the same page.</t>
        </is>
      </c>
      <c r="F125" s="28" t="inlineStr">
        <is>
          <t>Add the content the design carries, or confirm with the design team that it was dropped deliberately.</t>
        </is>
      </c>
      <c r="G125" s="28" t="inlineStr">
        <is>
          <t>https://www.figma.com/design/Ds5qx61QsI0ZkYSrLKxo0A/MoSJE--Handoff-?node-id=3453-13841</t>
        </is>
      </c>
      <c r="H125" s="28" t="n"/>
      <c r="I125" s="28" t="inlineStr">
        <is>
          <t>Open</t>
        </is>
      </c>
      <c r="J125" s="28" t="n"/>
      <c r="K125" s="28" t="n"/>
      <c r="L125" s="28" t="inlineStr">
        <is>
          <t>env: live</t>
        </is>
      </c>
      <c r="M125" s="28" t="inlineStr">
        <is>
          <t>Screen</t>
        </is>
      </c>
    </row>
    <row r="126">
      <c r="A126" s="27" t="inlineStr">
        <is>
          <t>WEB-SCREEN-132</t>
        </is>
      </c>
      <c r="B126" s="28" t="inlineStr">
        <is>
          <t>Events · desktop</t>
        </is>
      </c>
      <c r="C126" s="28" t="inlineStr">
        <is>
          <t>Content &amp; Iconography</t>
        </is>
      </c>
      <c r="D126" s="28" t="inlineStr">
        <is>
          <t>Major</t>
        </is>
      </c>
      <c r="E126" s="28" t="inlineStr">
        <is>
          <t>Figma: The approved Figma handoff frame for this screen. Design: “view all” · absent from the build  →  Live: The design frame carries “view all” (14px). Nothing with that text renders on the live page. Also measured on the 375px capture of the same page.</t>
        </is>
      </c>
      <c r="F126" s="28" t="inlineStr">
        <is>
          <t>Add the content the design carries, or confirm with the design team that it was dropped deliberately.</t>
        </is>
      </c>
      <c r="G126" s="28" t="inlineStr">
        <is>
          <t>https://www.figma.com/design/Ds5qx61QsI0ZkYSrLKxo0A/MoSJE--Handoff-?node-id=3453-13841</t>
        </is>
      </c>
      <c r="H126" s="28" t="n"/>
      <c r="I126" s="28" t="inlineStr">
        <is>
          <t>Open</t>
        </is>
      </c>
      <c r="J126" s="28" t="n"/>
      <c r="K126" s="28" t="n"/>
      <c r="L126" s="28" t="inlineStr">
        <is>
          <t>env: live</t>
        </is>
      </c>
      <c r="M126" s="28" t="inlineStr">
        <is>
          <t>Screen</t>
        </is>
      </c>
    </row>
    <row r="127">
      <c r="A127" s="27" t="inlineStr">
        <is>
          <t>WEB-SCREEN-124</t>
        </is>
      </c>
      <c r="B127" s="28" t="inlineStr">
        <is>
          <t>Events · desktop</t>
        </is>
      </c>
      <c r="C127" s="28" t="inlineStr">
        <is>
          <t>Content &amp; Iconography</t>
        </is>
      </c>
      <c r="D127" s="28" t="inlineStr">
        <is>
          <t>Major</t>
        </is>
      </c>
      <c r="E127" s="28" t="inlineStr">
        <is>
          <t>Figma: The approved Figma handoff frame for this screen. Design: “hard to reach population-smile (beggary)” · absent from the build  →  Live: The design frame carries “hard to reach population-smile (beggary)” (16px). Nothing with that text renders on the live page. Also measured on the 375px capture of the same page.</t>
        </is>
      </c>
      <c r="F127" s="28" t="inlineStr">
        <is>
          <t>Add the content the design carries, or confirm with the design team that it was dropped deliberately.</t>
        </is>
      </c>
      <c r="G127" s="28" t="inlineStr">
        <is>
          <t>https://www.figma.com/design/Ds5qx61QsI0ZkYSrLKxo0A/MoSJE--Handoff-?node-id=3453-13841</t>
        </is>
      </c>
      <c r="H127" s="28" t="n"/>
      <c r="I127" s="28" t="inlineStr">
        <is>
          <t>Open</t>
        </is>
      </c>
      <c r="J127" s="28" t="n"/>
      <c r="K127" s="28" t="n"/>
      <c r="L127" s="28" t="inlineStr">
        <is>
          <t>env: live</t>
        </is>
      </c>
      <c r="M127" s="28" t="inlineStr">
        <is>
          <t>Screen</t>
        </is>
      </c>
    </row>
    <row r="128">
      <c r="A128" s="27" t="inlineStr">
        <is>
          <t>WEB-SCREEN-126</t>
        </is>
      </c>
      <c r="B128" s="28" t="inlineStr">
        <is>
          <t>Events · desktop</t>
        </is>
      </c>
      <c r="C128" s="28" t="inlineStr">
        <is>
          <t>Content &amp; Iconography</t>
        </is>
      </c>
      <c r="D128" s="28" t="inlineStr">
        <is>
          <t>Major</t>
        </is>
      </c>
      <c r="E128" s="28" t="inlineStr">
        <is>
          <t>Figma: The approved Figma handoff frame for this screen. Design: “nov 10th, 2025 • 05:00 pm onwards” · absent from the build  →  Live: The design frame carries “nov 10th, 2025 • 05:00 pm onwards” (14px). Nothing with that text renders on the live page. Also measured on the 375px capture of the same page.</t>
        </is>
      </c>
      <c r="F128" s="28" t="inlineStr">
        <is>
          <t>Add the content the design carries, or confirm with the design team that it was dropped deliberately.</t>
        </is>
      </c>
      <c r="G128" s="28" t="inlineStr">
        <is>
          <t>https://www.figma.com/design/Ds5qx61QsI0ZkYSrLKxo0A/MoSJE--Handoff-?node-id=3453-13841</t>
        </is>
      </c>
      <c r="H128" s="28" t="n"/>
      <c r="I128" s="28" t="inlineStr">
        <is>
          <t>Open</t>
        </is>
      </c>
      <c r="J128" s="28" t="n"/>
      <c r="K128" s="28" t="n"/>
      <c r="L128" s="28" t="inlineStr">
        <is>
          <t>env: live</t>
        </is>
      </c>
      <c r="M128" s="28" t="inlineStr">
        <is>
          <t>Screen</t>
        </is>
      </c>
    </row>
    <row r="129">
      <c r="A129" s="27" t="inlineStr">
        <is>
          <t>WEB-SCREEN-123</t>
        </is>
      </c>
      <c r="B129" s="28" t="inlineStr">
        <is>
          <t>Events · desktop</t>
        </is>
      </c>
      <c r="C129" s="28" t="inlineStr">
        <is>
          <t>Content &amp; Iconography</t>
        </is>
      </c>
      <c r="D129" s="28" t="inlineStr">
        <is>
          <t>Major</t>
        </is>
      </c>
      <c r="E129" s="28" t="inlineStr">
        <is>
          <t>Figma: The approved Figma handoff frame for this screen. Design: “dr. ambedkar international centre” · absent from the build  →  Live: The design frame carries “dr. ambedkar international centre” (14px). Nothing with that text renders on the live page. Also measured on the 375px capture of the same page.</t>
        </is>
      </c>
      <c r="F129" s="28" t="inlineStr">
        <is>
          <t>Add the content the design carries, or confirm with the design team that it was dropped deliberately.</t>
        </is>
      </c>
      <c r="G129" s="28" t="inlineStr">
        <is>
          <t>https://www.figma.com/design/Ds5qx61QsI0ZkYSrLKxo0A/MoSJE--Handoff-?node-id=3453-13841</t>
        </is>
      </c>
      <c r="H129" s="28" t="n"/>
      <c r="I129" s="28" t="inlineStr">
        <is>
          <t>Open</t>
        </is>
      </c>
      <c r="J129" s="28" t="n"/>
      <c r="K129" s="28" t="n"/>
      <c r="L129" s="28" t="inlineStr">
        <is>
          <t>env: live</t>
        </is>
      </c>
      <c r="M129" s="28" t="inlineStr">
        <is>
          <t>Screen</t>
        </is>
      </c>
    </row>
    <row r="130">
      <c r="A130" s="27" t="inlineStr">
        <is>
          <t>WEB-SCREEN-120</t>
        </is>
      </c>
      <c r="B130" s="28" t="inlineStr">
        <is>
          <t>Events · desktop</t>
        </is>
      </c>
      <c r="C130" s="28" t="inlineStr">
        <is>
          <t>Content &amp; Iconography</t>
        </is>
      </c>
      <c r="D130" s="28" t="inlineStr">
        <is>
          <t>Major</t>
        </is>
      </c>
      <c r="E130" s="28" t="inlineStr">
        <is>
          <t>Figma: The approved Figma handoff frame for this screen. Design: “"chandalika" - musical dance drama” · absent from the build  →  Live: The design frame carries “"chandalika" - musical dance drama” (16px). Nothing with that text renders on the live page. Also measured on the 375px capture of the same page.</t>
        </is>
      </c>
      <c r="F130" s="28" t="inlineStr">
        <is>
          <t>Add the content the design carries, or confirm with the design team that it was dropped deliberately.</t>
        </is>
      </c>
      <c r="G130" s="28" t="inlineStr">
        <is>
          <t>https://www.figma.com/design/Ds5qx61QsI0ZkYSrLKxo0A/MoSJE--Handoff-?node-id=3453-13841</t>
        </is>
      </c>
      <c r="H130" s="28" t="n"/>
      <c r="I130" s="28" t="inlineStr">
        <is>
          <t>Open</t>
        </is>
      </c>
      <c r="J130" s="28" t="n"/>
      <c r="K130" s="28" t="n"/>
      <c r="L130" s="28" t="inlineStr">
        <is>
          <t>env: live</t>
        </is>
      </c>
      <c r="M130" s="28" t="inlineStr">
        <is>
          <t>Screen</t>
        </is>
      </c>
    </row>
    <row r="131">
      <c r="A131" s="27" t="inlineStr">
        <is>
          <t>WEB-SCREEN-130</t>
        </is>
      </c>
      <c r="B131" s="28" t="inlineStr">
        <is>
          <t>Events · mobile</t>
        </is>
      </c>
      <c r="C131" s="28" t="inlineStr">
        <is>
          <t>Content &amp; Iconography</t>
        </is>
      </c>
      <c r="D131" s="28" t="inlineStr">
        <is>
          <t>Major</t>
        </is>
      </c>
      <c r="E131" s="28" t="inlineStr">
        <is>
          <t>Figma: The approved Figma handoff frame for this screen. Design: “painting exhibition and yamuna sustaibab” · absent from the build  →  Live: The design frame carries “painting exhibition and yamuna sustaibablity run” (16px). Nothing with that text renders on the live page.</t>
        </is>
      </c>
      <c r="F131" s="28" t="inlineStr">
        <is>
          <t>Add the content the design carries, or confirm with the design team that it was dropped deliberately.</t>
        </is>
      </c>
      <c r="G131" s="28" t="inlineStr">
        <is>
          <t>https://www.figma.com/design/Ds5qx61QsI0ZkYSrLKxo0A/MoSJE--Handoff-?node-id=4571-114418</t>
        </is>
      </c>
      <c r="H131" s="28" t="n"/>
      <c r="I131" s="28" t="inlineStr">
        <is>
          <t>Open</t>
        </is>
      </c>
      <c r="J131" s="28" t="n"/>
      <c r="K131" s="28" t="n"/>
      <c r="L131" s="28" t="inlineStr">
        <is>
          <t>env: live</t>
        </is>
      </c>
      <c r="M131" s="28" t="inlineStr">
        <is>
          <t>Screen</t>
        </is>
      </c>
    </row>
    <row r="132">
      <c r="A132" s="27" t="inlineStr">
        <is>
          <t>WEB-SCREEN-020</t>
        </is>
      </c>
      <c r="B132" s="28" t="inlineStr">
        <is>
          <t>Events  Ek Ped Maa Ke Naam 6 · desktop</t>
        </is>
      </c>
      <c r="C132" s="28" t="inlineStr">
        <is>
          <t>Color &amp; Token</t>
        </is>
      </c>
      <c r="D132" s="28" t="inlineStr">
        <is>
          <t>Major</t>
        </is>
      </c>
      <c r="E132" s="28" t="inlineStr">
        <is>
          <t>Figma: WCAG 2.2 AA (1.4.3), carried into GIGW 3.0: text needs 4.5:1 against its background, or 3:1 at 24px+ / 18.66px+ bold.  →  Live: Text “Declared” (span.badge) renders #FFFFFF on #3C9718 at 12px/500 — #FFFFFF on #3C9718 as painted on the capture: 3.73:1 against the 4.5:1 minimum. Measured on 2 pages. Also measured on the 375px capture of the same page.</t>
        </is>
      </c>
      <c r="F132" s="28" t="inlineStr">
        <is>
          <t>Darken the text or lighten its ground until the pair measures at least the required ratio, then re-check every place the pair is used.</t>
        </is>
      </c>
      <c r="G132" s="28" t="n"/>
      <c r="H132" s="28" t="inlineStr">
        <is>
          <t>https://www.dosje.gov.in/events/ek-ped-maa-ke-naam-6/</t>
        </is>
      </c>
      <c r="I132" s="28" t="inlineStr">
        <is>
          <t>Open</t>
        </is>
      </c>
      <c r="J132" s="28" t="n"/>
      <c r="K132" s="28" t="n"/>
      <c r="L132" s="28" t="inlineStr">
        <is>
          <t>env: live</t>
        </is>
      </c>
      <c r="M132" s="28" t="inlineStr">
        <is>
          <t>Screen</t>
        </is>
      </c>
    </row>
    <row r="133">
      <c r="A133" s="27" t="inlineStr">
        <is>
          <t>WEB-SCREEN-260</t>
        </is>
      </c>
      <c r="B133" s="28" t="inlineStr">
        <is>
          <t>Events  Ek Ped Maa Ke Naam 6 · desktop</t>
        </is>
      </c>
      <c r="C133" s="28" t="inlineStr">
        <is>
          <t>Typography</t>
        </is>
      </c>
      <c r="D133" s="28" t="inlineStr">
        <is>
          <t>Major</t>
        </is>
      </c>
      <c r="E133" s="28" t="inlineStr">
        <is>
          <t>Figma: The approved Figma handoff frame for this screen. Built 20px · design 28px · Built #0373DF · design #014B92  →  Live: “description” — size 28 → 20; colour #014B92 → #0373DF. Measured on 2 pages.</t>
        </is>
      </c>
      <c r="F133" s="28" t="inlineStr">
        <is>
          <t>Set the built value to the design's.</t>
        </is>
      </c>
      <c r="G133" s="28" t="n"/>
      <c r="H133" s="28" t="inlineStr">
        <is>
          <t>https://www.dosje.gov.in/events/ek-ped-maa-ke-naam-6/</t>
        </is>
      </c>
      <c r="I133" s="28" t="inlineStr">
        <is>
          <t>Open</t>
        </is>
      </c>
      <c r="J133" s="28" t="n"/>
      <c r="K133" s="28" t="n"/>
      <c r="L133" s="28" t="inlineStr">
        <is>
          <t>env: live</t>
        </is>
      </c>
      <c r="M133" s="28" t="inlineStr">
        <is>
          <t>Screen</t>
        </is>
      </c>
    </row>
    <row r="134">
      <c r="A134" s="27" t="inlineStr">
        <is>
          <t>WEB-SCREEN-258</t>
        </is>
      </c>
      <c r="B134" s="28" t="inlineStr">
        <is>
          <t>Events  Ek Ped Maa Ke Naam 6 · mobile</t>
        </is>
      </c>
      <c r="C134" s="28" t="inlineStr">
        <is>
          <t>Color &amp; Token</t>
        </is>
      </c>
      <c r="D134" s="28" t="inlineStr">
        <is>
          <t>Major</t>
        </is>
      </c>
      <c r="E134" s="28" t="inlineStr">
        <is>
          <t>Figma: The approved Figma handoff frame for this screen. Built #0373DF · design #014B92  →  Live: “description” — colour #014B92 → #0373DF. Measured on 2 pages.</t>
        </is>
      </c>
      <c r="F134" s="28" t="inlineStr">
        <is>
          <t>Set the built value to the design's.</t>
        </is>
      </c>
      <c r="G134" s="28" t="inlineStr">
        <is>
          <t>https://www.figma.com/design/Ds5qx61QsI0ZkYSrLKxo0A/MoSJE--Handoff-?node-id=4571-115254</t>
        </is>
      </c>
      <c r="H134" s="28" t="n"/>
      <c r="I134" s="28" t="inlineStr">
        <is>
          <t>Open</t>
        </is>
      </c>
      <c r="J134" s="28" t="n"/>
      <c r="K134" s="28" t="n"/>
      <c r="L134" s="28" t="inlineStr">
        <is>
          <t>env: live</t>
        </is>
      </c>
      <c r="M134" s="28" t="inlineStr">
        <is>
          <t>Screen</t>
        </is>
      </c>
    </row>
    <row r="135">
      <c r="A135" s="27" t="inlineStr">
        <is>
          <t>WEB-SCREEN-259</t>
        </is>
      </c>
      <c r="B135" s="28" t="inlineStr">
        <is>
          <t>Events  Ek Ped Maa Ke Naam 6 · mobile</t>
        </is>
      </c>
      <c r="C135" s="28" t="inlineStr">
        <is>
          <t>Typography</t>
        </is>
      </c>
      <c r="D135" s="28" t="inlineStr">
        <is>
          <t>Major</t>
        </is>
      </c>
      <c r="E135" s="28" t="inlineStr">
        <is>
          <t>Figma: The approved Figma handoff frame for this screen. Built 12px · design 14px · Built #343A40 · design #1F2937  →  Live: “email” — size 14 → 12; colour #1F2937 → #343A40. Measured on 2 pages.</t>
        </is>
      </c>
      <c r="F135" s="28" t="inlineStr">
        <is>
          <t>Set the built value to the design's.</t>
        </is>
      </c>
      <c r="G135" s="28" t="inlineStr">
        <is>
          <t>https://www.figma.com/design/Ds5qx61QsI0ZkYSrLKxo0A/MoSJE--Handoff-?node-id=4571-115254</t>
        </is>
      </c>
      <c r="H135" s="28" t="n"/>
      <c r="I135" s="28" t="inlineStr">
        <is>
          <t>Open</t>
        </is>
      </c>
      <c r="J135" s="28" t="n"/>
      <c r="K135" s="28" t="n"/>
      <c r="L135" s="28" t="inlineStr">
        <is>
          <t>env: live</t>
        </is>
      </c>
      <c r="M135" s="28" t="inlineStr">
        <is>
          <t>Screen</t>
        </is>
      </c>
    </row>
    <row r="136">
      <c r="A136" s="27" t="inlineStr">
        <is>
          <t>WEB-SCREEN-021</t>
        </is>
      </c>
      <c r="B136" s="28" t="inlineStr">
        <is>
          <t>Events  Ek Ped Maa Ke Naam 7 · desktop</t>
        </is>
      </c>
      <c r="C136" s="28" t="inlineStr">
        <is>
          <t>Color &amp; Token</t>
        </is>
      </c>
      <c r="D136" s="28" t="inlineStr">
        <is>
          <t>Major</t>
        </is>
      </c>
      <c r="E136" s="28" t="inlineStr">
        <is>
          <t>Figma: WCAG 2.2 AA (1.4.3), carried into GIGW 3.0: text needs 4.5:1 against its background, or 3:1 at 24px+ / 18.66px+ bold.  →  Live: Text “Declared” (span.badge) renders #FFFFFF on #3C9718 at 12px/500 — #FFFFFF on #3C9718 as painted on the capture: 3.73:1 against the 4.5:1 minimum. Measured on 2 pages. Also measured on the 375px capture of the same page.</t>
        </is>
      </c>
      <c r="F136" s="28" t="inlineStr">
        <is>
          <t>Darken the text or lighten its ground until the pair measures at least the required ratio, then re-check every place the pair is used.</t>
        </is>
      </c>
      <c r="G136" s="28" t="n"/>
      <c r="H136" s="28" t="inlineStr">
        <is>
          <t>https://www.dosje.gov.in/events/ek-ped-maa-ke-naam-7/</t>
        </is>
      </c>
      <c r="I136" s="28" t="inlineStr">
        <is>
          <t>Open</t>
        </is>
      </c>
      <c r="J136" s="28" t="n"/>
      <c r="K136" s="28" t="n"/>
      <c r="L136" s="28" t="inlineStr">
        <is>
          <t>env: live</t>
        </is>
      </c>
      <c r="M136" s="28" t="inlineStr">
        <is>
          <t>Screen</t>
        </is>
      </c>
    </row>
    <row r="137">
      <c r="A137" s="27" t="inlineStr">
        <is>
          <t>WEB-SCREEN-263</t>
        </is>
      </c>
      <c r="B137" s="28" t="inlineStr">
        <is>
          <t>Events  Ek Ped Maa Ke Naam 7 · desktop</t>
        </is>
      </c>
      <c r="C137" s="28" t="inlineStr">
        <is>
          <t>Typography</t>
        </is>
      </c>
      <c r="D137" s="28" t="inlineStr">
        <is>
          <t>Major</t>
        </is>
      </c>
      <c r="E137" s="28" t="inlineStr">
        <is>
          <t>Figma: The approved Figma handoff frame for this screen. Built 20px · design 28px · Built #0373DF · design #014B92  →  Live: “description” — size 28 → 20; colour #014B92 → #0373DF. Measured on 2 pages.</t>
        </is>
      </c>
      <c r="F137" s="28" t="inlineStr">
        <is>
          <t>Set the built value to the design's.</t>
        </is>
      </c>
      <c r="G137" s="28" t="n"/>
      <c r="H137" s="28" t="inlineStr">
        <is>
          <t>https://www.dosje.gov.in/events/ek-ped-maa-ke-naam-7/</t>
        </is>
      </c>
      <c r="I137" s="28" t="inlineStr">
        <is>
          <t>Open</t>
        </is>
      </c>
      <c r="J137" s="28" t="n"/>
      <c r="K137" s="28" t="n"/>
      <c r="L137" s="28" t="inlineStr">
        <is>
          <t>env: live</t>
        </is>
      </c>
      <c r="M137" s="28" t="inlineStr">
        <is>
          <t>Screen</t>
        </is>
      </c>
    </row>
    <row r="138">
      <c r="A138" s="27" t="inlineStr">
        <is>
          <t>WEB-SCREEN-261</t>
        </is>
      </c>
      <c r="B138" s="28" t="inlineStr">
        <is>
          <t>Events  Ek Ped Maa Ke Naam 7 · mobile</t>
        </is>
      </c>
      <c r="C138" s="28" t="inlineStr">
        <is>
          <t>Color &amp; Token</t>
        </is>
      </c>
      <c r="D138" s="28" t="inlineStr">
        <is>
          <t>Major</t>
        </is>
      </c>
      <c r="E138" s="28" t="inlineStr">
        <is>
          <t>Figma: The approved Figma handoff frame for this screen. Built #0373DF · design #014B92  →  Live: “description” — colour #014B92 → #0373DF. Measured on 2 pages.</t>
        </is>
      </c>
      <c r="F138" s="28" t="inlineStr">
        <is>
          <t>Set the built value to the design's.</t>
        </is>
      </c>
      <c r="G138" s="28" t="inlineStr">
        <is>
          <t>https://www.figma.com/design/Ds5qx61QsI0ZkYSrLKxo0A/MoSJE--Handoff-?node-id=4571-115254</t>
        </is>
      </c>
      <c r="H138" s="28" t="n"/>
      <c r="I138" s="28" t="inlineStr">
        <is>
          <t>Open</t>
        </is>
      </c>
      <c r="J138" s="28" t="n"/>
      <c r="K138" s="28" t="n"/>
      <c r="L138" s="28" t="inlineStr">
        <is>
          <t>env: live</t>
        </is>
      </c>
      <c r="M138" s="28" t="inlineStr">
        <is>
          <t>Screen</t>
        </is>
      </c>
    </row>
    <row r="139">
      <c r="A139" s="27" t="inlineStr">
        <is>
          <t>WEB-SCREEN-262</t>
        </is>
      </c>
      <c r="B139" s="28" t="inlineStr">
        <is>
          <t>Events  Ek Ped Maa Ke Naam 7 · mobile</t>
        </is>
      </c>
      <c r="C139" s="28" t="inlineStr">
        <is>
          <t>Typography</t>
        </is>
      </c>
      <c r="D139" s="28" t="inlineStr">
        <is>
          <t>Major</t>
        </is>
      </c>
      <c r="E139" s="28" t="inlineStr">
        <is>
          <t>Figma: The approved Figma handoff frame for this screen. Built 12px · design 14px · Built #343A40 · design #1F2937  →  Live: “email” — size 14 → 12; colour #1F2937 → #343A40. Measured on 2 pages.</t>
        </is>
      </c>
      <c r="F139" s="28" t="inlineStr">
        <is>
          <t>Set the built value to the design's.</t>
        </is>
      </c>
      <c r="G139" s="28" t="inlineStr">
        <is>
          <t>https://www.figma.com/design/Ds5qx61QsI0ZkYSrLKxo0A/MoSJE--Handoff-?node-id=4571-115254</t>
        </is>
      </c>
      <c r="H139" s="28" t="n"/>
      <c r="I139" s="28" t="inlineStr">
        <is>
          <t>Open</t>
        </is>
      </c>
      <c r="J139" s="28" t="n"/>
      <c r="K139" s="28" t="n"/>
      <c r="L139" s="28" t="inlineStr">
        <is>
          <t>env: live</t>
        </is>
      </c>
      <c r="M139" s="28" t="inlineStr">
        <is>
          <t>Screen</t>
        </is>
      </c>
    </row>
    <row r="140">
      <c r="A140" s="27" t="inlineStr">
        <is>
          <t>WEB-SCREEN-134</t>
        </is>
      </c>
      <c r="B140" s="28" t="inlineStr">
        <is>
          <t>For Researchers · desktop</t>
        </is>
      </c>
      <c r="C140" s="28" t="inlineStr">
        <is>
          <t>Content &amp; Iconography</t>
        </is>
      </c>
      <c r="D140" s="28" t="inlineStr">
        <is>
          <t>Major</t>
        </is>
      </c>
      <c r="E140" s="28" t="inlineStr">
        <is>
          <t>Figma: The approved Figma handoff frame for this screen. Design: “discover all welfare initiatives, social” · absent from the build  →  Live: The design frame carries “discover all welfare initiatives, social justice schemes, and citizen services o” (14px). Nothing with that text renders on the live page. Also measured on the 375px capture of the same page.</t>
        </is>
      </c>
      <c r="F140" s="28" t="inlineStr">
        <is>
          <t>Add the content the design carries, or confirm with the design team that it was dropped deliberately.</t>
        </is>
      </c>
      <c r="G140" s="28" t="inlineStr">
        <is>
          <t>https://www.figma.com/design/Ds5qx61QsI0ZkYSrLKxo0A/MoSJE--Handoff-?node-id=3453-8477</t>
        </is>
      </c>
      <c r="H140" s="28" t="n"/>
      <c r="I140" s="28" t="inlineStr">
        <is>
          <t>Open</t>
        </is>
      </c>
      <c r="J140" s="28" t="n"/>
      <c r="K140" s="28" t="n"/>
      <c r="L140" s="28" t="inlineStr">
        <is>
          <t>env: live</t>
        </is>
      </c>
      <c r="M140" s="28" t="inlineStr">
        <is>
          <t>Screen</t>
        </is>
      </c>
    </row>
    <row r="141">
      <c r="A141" s="27" t="inlineStr">
        <is>
          <t>WEB-SCREEN-133</t>
        </is>
      </c>
      <c r="B141" s="28" t="inlineStr">
        <is>
          <t>For Researchers · desktop</t>
        </is>
      </c>
      <c r="C141" s="28" t="inlineStr">
        <is>
          <t>Content &amp; Iconography</t>
        </is>
      </c>
      <c r="D141" s="28" t="inlineStr">
        <is>
          <t>Major</t>
        </is>
      </c>
      <c r="E141" s="28" t="inlineStr">
        <is>
          <t>Figma: The approved Figma handoff frame for this screen. Design: “browse the key legislations, policy fram” · absent from the build  →  Live: The design frame carries “browse the key legislations, policy frameworks, and government guidelines that p” (14px). Nothing with that text renders on the live page. Also measured on the 375px capture of the same page.</t>
        </is>
      </c>
      <c r="F141" s="28" t="inlineStr">
        <is>
          <t>Add the content the design carries, or confirm with the design team that it was dropped deliberately.</t>
        </is>
      </c>
      <c r="G141" s="28" t="inlineStr">
        <is>
          <t>https://www.figma.com/design/Ds5qx61QsI0ZkYSrLKxo0A/MoSJE--Handoff-?node-id=3453-8477</t>
        </is>
      </c>
      <c r="H141" s="28" t="n"/>
      <c r="I141" s="28" t="inlineStr">
        <is>
          <t>Open</t>
        </is>
      </c>
      <c r="J141" s="28" t="n"/>
      <c r="K141" s="28" t="n"/>
      <c r="L141" s="28" t="inlineStr">
        <is>
          <t>env: live</t>
        </is>
      </c>
      <c r="M141" s="28" t="inlineStr">
        <is>
          <t>Screen</t>
        </is>
      </c>
    </row>
    <row r="142">
      <c r="A142" s="27" t="inlineStr">
        <is>
          <t>WEB-SCREEN-031</t>
        </is>
      </c>
      <c r="B142" s="28" t="inlineStr">
        <is>
          <t>Forms Templates · mobile</t>
        </is>
      </c>
      <c r="C142" s="28" t="inlineStr">
        <is>
          <t>Layout &amp; Spacing</t>
        </is>
      </c>
      <c r="D142" s="28" t="inlineStr">
        <is>
          <t>Major</t>
        </is>
      </c>
      <c r="E142" s="28" t="inlineStr">
        <is>
          <t>Figma: UX4G 3.0 §6: interactive targets are at least 44×44px with 8px between them. WCAG 2.5.8 AA sets an absolute floor of 24×24.  →  Live: “PMAJAY” is 147×20px. UX4G 3.0 §6 sets 44×44px as the minimum interactive size; at 147×20 it is also below the WCAG 2.5.8 AA floor of 24×24. Measured on 2 pages.</t>
        </is>
      </c>
      <c r="F142" s="28" t="inlineStr">
        <is>
          <t>Grow the control, or add transparent padding around it, until it measures 44×44px with 8px clear of its neighbours.</t>
        </is>
      </c>
      <c r="G142" s="28" t="n"/>
      <c r="H142" s="28" t="inlineStr">
        <is>
          <t>https://www.dosje.gov.in/forms-templates/</t>
        </is>
      </c>
      <c r="I142" s="28" t="inlineStr">
        <is>
          <t>Open</t>
        </is>
      </c>
      <c r="J142" s="28" t="n"/>
      <c r="K142" s="28" t="n"/>
      <c r="L142" s="28" t="inlineStr">
        <is>
          <t>env: live</t>
        </is>
      </c>
      <c r="M142" s="28" t="inlineStr">
        <is>
          <t>Screen</t>
        </is>
      </c>
    </row>
    <row r="143">
      <c r="A143" s="27" t="inlineStr">
        <is>
          <t>WEB-SCREEN-030</t>
        </is>
      </c>
      <c r="B143" s="28" t="inlineStr">
        <is>
          <t>Forms Templates · mobile</t>
        </is>
      </c>
      <c r="C143" s="28" t="inlineStr">
        <is>
          <t>Layout &amp; Spacing</t>
        </is>
      </c>
      <c r="D143" s="28" t="inlineStr">
        <is>
          <t>Major</t>
        </is>
      </c>
      <c r="E143" s="28" t="inlineStr">
        <is>
          <t>Figma: UX4G 3.0 §6: interactive targets are at least 44×44px with 8px between them. WCAG 2.5.8 AA sets an absolute floor of 24×24.  →  Live: “NOS” is 147×20px. UX4G 3.0 §6 sets 44×44px as the minimum interactive size; at 147×20 it is also below the WCAG 2.5.8 AA floor of 24×24. Measured on 2 pages.</t>
        </is>
      </c>
      <c r="F143" s="28" t="inlineStr">
        <is>
          <t>Grow the control, or add transparent padding around it, until it measures 44×44px with 8px clear of its neighbours.</t>
        </is>
      </c>
      <c r="G143" s="28" t="n"/>
      <c r="H143" s="28" t="inlineStr">
        <is>
          <t>https://www.dosje.gov.in/forms-templates/</t>
        </is>
      </c>
      <c r="I143" s="28" t="inlineStr">
        <is>
          <t>Open</t>
        </is>
      </c>
      <c r="J143" s="28" t="n"/>
      <c r="K143" s="28" t="n"/>
      <c r="L143" s="28" t="inlineStr">
        <is>
          <t>env: live</t>
        </is>
      </c>
      <c r="M143" s="28" t="inlineStr">
        <is>
          <t>Screen</t>
        </is>
      </c>
    </row>
    <row r="144">
      <c r="A144" s="27" t="inlineStr">
        <is>
          <t>WEB-SCREEN-280</t>
        </is>
      </c>
      <c r="B144" s="28" t="inlineStr">
        <is>
          <t>Forms Templates · mobile</t>
        </is>
      </c>
      <c r="C144" s="28" t="inlineStr">
        <is>
          <t>Typography</t>
        </is>
      </c>
      <c r="D144" s="28" t="inlineStr">
        <is>
          <t>Minor</t>
        </is>
      </c>
      <c r="E144" s="28" t="inlineStr">
        <is>
          <t>Figma: The approved Figma handoff frame for this screen. Built 16px · design 14px  →  Live: “access official reports released by the commission and its associated ” — size 14 → 16. Measured on 2 pages.</t>
        </is>
      </c>
      <c r="F144" s="28" t="inlineStr">
        <is>
          <t>Set the built value to the design's.</t>
        </is>
      </c>
      <c r="G144" s="28" t="n"/>
      <c r="H144" s="28" t="inlineStr">
        <is>
          <t>https://www.dosje.gov.in/forms-templates/</t>
        </is>
      </c>
      <c r="I144" s="28" t="inlineStr">
        <is>
          <t>Open</t>
        </is>
      </c>
      <c r="J144" s="28" t="n"/>
      <c r="K144" s="28" t="n"/>
      <c r="L144" s="28" t="inlineStr">
        <is>
          <t>env: live</t>
        </is>
      </c>
      <c r="M144" s="28" t="inlineStr">
        <is>
          <t>Screen</t>
        </is>
      </c>
    </row>
    <row r="145">
      <c r="A145" s="27" t="inlineStr">
        <is>
          <t>WEB-SCREEN-139</t>
        </is>
      </c>
      <c r="B145" s="28" t="inlineStr">
        <is>
          <t>Gallery · desktop</t>
        </is>
      </c>
      <c r="C145" s="28" t="inlineStr">
        <is>
          <t>Content &amp; Iconography</t>
        </is>
      </c>
      <c r="D145" s="28" t="inlineStr">
        <is>
          <t>Major</t>
        </is>
      </c>
      <c r="E145" s="28" t="inlineStr">
        <is>
          <t>Figma: The approved Figma handoff frame for this screen. Design: “explore photos, videos and news from the” · absent from the build  →  Live: The design frame carries “explore photos, videos and news from the ministry of social justice &amp; empowermen” (16px). Nothing with that text renders on the live page. Also measured on the 375px capture of the same page.</t>
        </is>
      </c>
      <c r="F145" s="28" t="inlineStr">
        <is>
          <t>Add the content the design carries, or confirm with the design team that it was dropped deliberately.</t>
        </is>
      </c>
      <c r="G145" s="28" t="inlineStr">
        <is>
          <t>https://www.figma.com/design/Ds5qx61QsI0ZkYSrLKxo0A/MoSJE--Handoff-?node-id=3453-13281</t>
        </is>
      </c>
      <c r="H145" s="28" t="n"/>
      <c r="I145" s="28" t="inlineStr">
        <is>
          <t>Open</t>
        </is>
      </c>
      <c r="J145" s="28" t="n"/>
      <c r="K145" s="28" t="n"/>
      <c r="L145" s="28" t="inlineStr">
        <is>
          <t>env: live</t>
        </is>
      </c>
      <c r="M145" s="28" t="inlineStr">
        <is>
          <t>Screen</t>
        </is>
      </c>
    </row>
    <row r="146">
      <c r="A146" s="27" t="inlineStr">
        <is>
          <t>WEB-SCREEN-145</t>
        </is>
      </c>
      <c r="B146" s="28" t="inlineStr">
        <is>
          <t>Gallery · desktop</t>
        </is>
      </c>
      <c r="C146" s="28" t="inlineStr">
        <is>
          <t>Content &amp; Iconography</t>
        </is>
      </c>
      <c r="D146" s="28" t="inlineStr">
        <is>
          <t>Major</t>
        </is>
      </c>
      <c r="E146" s="28" t="inlineStr">
        <is>
          <t>Figma: The approved Figma handoff frame for this screen. Design: “search by keyword or event” · absent from the build  →  Live: The design frame carries “search by keyword or event” (16px). Nothing with that text renders on the live page.</t>
        </is>
      </c>
      <c r="F146" s="28" t="inlineStr">
        <is>
          <t>Add the content the design carries, or confirm with the design team that it was dropped deliberately.</t>
        </is>
      </c>
      <c r="G146" s="28" t="inlineStr">
        <is>
          <t>https://www.figma.com/design/Ds5qx61QsI0ZkYSrLKxo0A/MoSJE--Handoff-?node-id=3453-13281</t>
        </is>
      </c>
      <c r="H146" s="28" t="n"/>
      <c r="I146" s="28" t="inlineStr">
        <is>
          <t>Open</t>
        </is>
      </c>
      <c r="J146" s="28" t="n"/>
      <c r="K146" s="28" t="n"/>
      <c r="L146" s="28" t="inlineStr">
        <is>
          <t>env: live</t>
        </is>
      </c>
      <c r="M146" s="28" t="inlineStr">
        <is>
          <t>Screen</t>
        </is>
      </c>
    </row>
    <row r="147">
      <c r="A147" s="27" t="inlineStr">
        <is>
          <t>WEB-SCREEN-135</t>
        </is>
      </c>
      <c r="B147" s="28" t="inlineStr">
        <is>
          <t>Gallery · desktop</t>
        </is>
      </c>
      <c r="C147" s="28" t="inlineStr">
        <is>
          <t>Content &amp; Iconography</t>
        </is>
      </c>
      <c r="D147" s="28" t="inlineStr">
        <is>
          <t>Major</t>
        </is>
      </c>
      <c r="E147" s="28" t="inlineStr">
        <is>
          <t>Figma: The approved Figma handoff frame for this screen. Design: “ambedkar jayanti celebration 2025” · absent from the build  →  Live: The design frame carries “ambedkar jayanti celebration 2025” (16px). Nothing with that text renders on the live page. Also measured on the 375px capture of the same page.</t>
        </is>
      </c>
      <c r="F147" s="28" t="inlineStr">
        <is>
          <t>Add the content the design carries, or confirm with the design team that it was dropped deliberately.</t>
        </is>
      </c>
      <c r="G147" s="28" t="inlineStr">
        <is>
          <t>https://www.figma.com/design/Ds5qx61QsI0ZkYSrLKxo0A/MoSJE--Handoff-?node-id=3453-13281</t>
        </is>
      </c>
      <c r="H147" s="28" t="n"/>
      <c r="I147" s="28" t="inlineStr">
        <is>
          <t>Open</t>
        </is>
      </c>
      <c r="J147" s="28" t="n"/>
      <c r="K147" s="28" t="n"/>
      <c r="L147" s="28" t="inlineStr">
        <is>
          <t>env: live</t>
        </is>
      </c>
      <c r="M147" s="28" t="inlineStr">
        <is>
          <t>Screen</t>
        </is>
      </c>
    </row>
    <row r="148">
      <c r="A148" s="27" t="inlineStr">
        <is>
          <t>WEB-SCREEN-140</t>
        </is>
      </c>
      <c r="B148" s="28" t="inlineStr">
        <is>
          <t>Gallery · desktop</t>
        </is>
      </c>
      <c r="C148" s="28" t="inlineStr">
        <is>
          <t>Content &amp; Iconography</t>
        </is>
      </c>
      <c r="D148" s="28" t="inlineStr">
        <is>
          <t>Major</t>
        </is>
      </c>
      <c r="E148" s="28" t="inlineStr">
        <is>
          <t>Figma: The approved Figma handoff frame for this screen. Design: “glimpses from the national celebration” · absent from the build  →  Live: The design frame carries “glimpses from the national celebration” (12px). Nothing with that text renders on the live page. Also measured on the 375px capture of the same page.</t>
        </is>
      </c>
      <c r="F148" s="28" t="inlineStr">
        <is>
          <t>Add the content the design carries, or confirm with the design team that it was dropped deliberately.</t>
        </is>
      </c>
      <c r="G148" s="28" t="inlineStr">
        <is>
          <t>https://www.figma.com/design/Ds5qx61QsI0ZkYSrLKxo0A/MoSJE--Handoff-?node-id=3453-13281</t>
        </is>
      </c>
      <c r="H148" s="28" t="n"/>
      <c r="I148" s="28" t="inlineStr">
        <is>
          <t>Open</t>
        </is>
      </c>
      <c r="J148" s="28" t="n"/>
      <c r="K148" s="28" t="n"/>
      <c r="L148" s="28" t="inlineStr">
        <is>
          <t>env: live</t>
        </is>
      </c>
      <c r="M148" s="28" t="inlineStr">
        <is>
          <t>Screen</t>
        </is>
      </c>
    </row>
    <row r="149">
      <c r="A149" s="27" t="inlineStr">
        <is>
          <t>WEB-SCREEN-138</t>
        </is>
      </c>
      <c r="B149" s="28" t="inlineStr">
        <is>
          <t>Gallery · desktop</t>
        </is>
      </c>
      <c r="C149" s="28" t="inlineStr">
        <is>
          <t>Content &amp; Iconography</t>
        </is>
      </c>
      <c r="D149" s="28" t="inlineStr">
        <is>
          <t>Major</t>
        </is>
      </c>
      <c r="E149" s="28" t="inlineStr">
        <is>
          <t>Figma: The approved Figma handoff frame for this screen. Design: “elder care workshop” · absent from the build  →  Live: The design frame carries “elder care workshop” (16px). Nothing with that text renders on the live page. Also measured on the 375px capture of the same page.</t>
        </is>
      </c>
      <c r="F149" s="28" t="inlineStr">
        <is>
          <t>Add the content the design carries, or confirm with the design team that it was dropped deliberately.</t>
        </is>
      </c>
      <c r="G149" s="28" t="inlineStr">
        <is>
          <t>https://www.figma.com/design/Ds5qx61QsI0ZkYSrLKxo0A/MoSJE--Handoff-?node-id=3453-13281</t>
        </is>
      </c>
      <c r="H149" s="28" t="n"/>
      <c r="I149" s="28" t="inlineStr">
        <is>
          <t>Open</t>
        </is>
      </c>
      <c r="J149" s="28" t="n"/>
      <c r="K149" s="28" t="n"/>
      <c r="L149" s="28" t="inlineStr">
        <is>
          <t>env: live</t>
        </is>
      </c>
      <c r="M149" s="28" t="inlineStr">
        <is>
          <t>Screen</t>
        </is>
      </c>
    </row>
    <row r="150">
      <c r="A150" s="27" t="inlineStr">
        <is>
          <t>WEB-SCREEN-147</t>
        </is>
      </c>
      <c r="B150" s="28" t="inlineStr">
        <is>
          <t>Gallery · desktop</t>
        </is>
      </c>
      <c r="C150" s="28" t="inlineStr">
        <is>
          <t>Content &amp; Iconography</t>
        </is>
      </c>
      <c r="D150" s="28" t="inlineStr">
        <is>
          <t>Major</t>
        </is>
      </c>
      <c r="E150" s="28" t="inlineStr">
        <is>
          <t>Figma: The approved Figma handoff frame for this screen. Design: “training for caregivers and elder care p” · absent from the build  →  Live: The design frame carries “training for caregivers and elder care professionals” (12px). Nothing with that text renders on the live page. Also measured on the 375px capture of the same page.</t>
        </is>
      </c>
      <c r="F150" s="28" t="inlineStr">
        <is>
          <t>Add the content the design carries, or confirm with the design team that it was dropped deliberately.</t>
        </is>
      </c>
      <c r="G150" s="28" t="inlineStr">
        <is>
          <t>https://www.figma.com/design/Ds5qx61QsI0ZkYSrLKxo0A/MoSJE--Handoff-?node-id=3453-13281</t>
        </is>
      </c>
      <c r="H150" s="28" t="n"/>
      <c r="I150" s="28" t="inlineStr">
        <is>
          <t>Open</t>
        </is>
      </c>
      <c r="J150" s="28" t="n"/>
      <c r="K150" s="28" t="n"/>
      <c r="L150" s="28" t="inlineStr">
        <is>
          <t>env: live</t>
        </is>
      </c>
      <c r="M150" s="28" t="inlineStr">
        <is>
          <t>Screen</t>
        </is>
      </c>
    </row>
    <row r="151">
      <c r="A151" s="27" t="inlineStr">
        <is>
          <t>WEB-SCREEN-032</t>
        </is>
      </c>
      <c r="B151" s="28" t="inlineStr">
        <is>
          <t>Gallery · mobile</t>
        </is>
      </c>
      <c r="C151" s="28" t="inlineStr">
        <is>
          <t>Layout &amp; Spacing</t>
        </is>
      </c>
      <c r="D151" s="28" t="inlineStr">
        <is>
          <t>Major</t>
        </is>
      </c>
      <c r="E151" s="28" t="inlineStr">
        <is>
          <t>Figma: UX4G 3.0 §6: interactive targets are at least 44×44px with 8px between them. WCAG 2.5.8 AA sets an absolute floor of 24×24.  →  Live: ““Ek Ped Maa Ke Naam”” is 177×22px. UX4G 3.0 §6 sets 44×44px as the minimum interactive size; at 177×22 it is also below the WCAG 2.5.8 AA floor of 24×24.</t>
        </is>
      </c>
      <c r="F151" s="28" t="inlineStr">
        <is>
          <t>Grow the control, or add transparent padding around it, until it measures 44×44px with 8px clear of its neighbours.</t>
        </is>
      </c>
      <c r="G151" s="28" t="n"/>
      <c r="H151" s="28" t="inlineStr">
        <is>
          <t>https://www.dosje.gov.in/gallery/</t>
        </is>
      </c>
      <c r="I151" s="28" t="inlineStr">
        <is>
          <t>Open</t>
        </is>
      </c>
      <c r="J151" s="28" t="n"/>
      <c r="K151" s="28" t="n"/>
      <c r="L151" s="28" t="inlineStr">
        <is>
          <t>env: live</t>
        </is>
      </c>
      <c r="M151" s="28" t="inlineStr">
        <is>
          <t>Screen</t>
        </is>
      </c>
    </row>
    <row r="152">
      <c r="A152" s="27" t="inlineStr">
        <is>
          <t>WEB-SCREEN-144</t>
        </is>
      </c>
      <c r="B152" s="28" t="inlineStr">
        <is>
          <t>Gallery · mobile</t>
        </is>
      </c>
      <c r="C152" s="28" t="inlineStr">
        <is>
          <t>Content &amp; Iconography</t>
        </is>
      </c>
      <c r="D152" s="28" t="inlineStr">
        <is>
          <t>Major</t>
        </is>
      </c>
      <c r="E152" s="28" t="inlineStr">
        <is>
          <t>Figma: The approved Figma handoff frame for this screen. Design: “scholars present research on ambedkar st” · absent from the build  →  Live: The design frame carries “scholars present research on ambedkar studies” (12px). Nothing with that text renders on the live page.</t>
        </is>
      </c>
      <c r="F152" s="28" t="inlineStr">
        <is>
          <t>Add the content the design carries, or confirm with the design team that it was dropped deliberately.</t>
        </is>
      </c>
      <c r="G152" s="28" t="n"/>
      <c r="H152" s="28" t="inlineStr">
        <is>
          <t>https://www.dosje.gov.in/gallery/</t>
        </is>
      </c>
      <c r="I152" s="28" t="inlineStr">
        <is>
          <t>Open</t>
        </is>
      </c>
      <c r="J152" s="28" t="n"/>
      <c r="K152" s="28" t="n"/>
      <c r="L152" s="28" t="inlineStr">
        <is>
          <t>env: live</t>
        </is>
      </c>
      <c r="M152" s="28" t="inlineStr">
        <is>
          <t>Screen</t>
        </is>
      </c>
    </row>
    <row r="153">
      <c r="A153" s="27" t="inlineStr">
        <is>
          <t>WEB-SCREEN-326</t>
        </is>
      </c>
      <c r="B153" s="28" t="inlineStr">
        <is>
          <t>Home · desktop</t>
        </is>
      </c>
      <c r="C153" s="28" t="inlineStr">
        <is>
          <t>Components &amp; States</t>
        </is>
      </c>
      <c r="D153" s="28" t="inlineStr">
        <is>
          <t>Blocker</t>
        </is>
      </c>
      <c r="E153" s="28" t="inlineStr">
        <is>
          <t>Figma: WCAG 2.2 AA (2.4.7): every keyboard-focusable control shows a visible focus indicator. DBIM and UX4G both draw a 4px ring.  →  Live: Home hero banner (an unlabelled link): screenshotted focused and then blurred, no pixel changes, so a keyboard user cannot see where focus is.</t>
        </is>
      </c>
      <c r="F153" s="28" t="inlineStr">
        <is>
          <t>Give the control a visible focus style — the estate's 4px ring — and make sure it is not removed by an `outline: none` elsewhere in the stylesheet.</t>
        </is>
      </c>
      <c r="G153" s="28" t="n"/>
      <c r="H153" s="28" t="inlineStr">
        <is>
          <t>https://www.dosje.gov.in/</t>
        </is>
      </c>
      <c r="I153" s="28" t="inlineStr">
        <is>
          <t>Open</t>
        </is>
      </c>
      <c r="J153" s="28" t="n"/>
      <c r="K153" s="28" t="n"/>
      <c r="L153" s="28" t="inlineStr">
        <is>
          <t>env: live</t>
        </is>
      </c>
      <c r="M153" s="28" t="inlineStr">
        <is>
          <t>Screen</t>
        </is>
      </c>
    </row>
    <row r="154">
      <c r="A154" s="27" t="inlineStr">
        <is>
          <t>WEB-SCREEN-152</t>
        </is>
      </c>
      <c r="B154" s="28" t="inlineStr">
        <is>
          <t>Home · desktop</t>
        </is>
      </c>
      <c r="C154" s="28" t="inlineStr">
        <is>
          <t>Content &amp; Iconography</t>
        </is>
      </c>
      <c r="D154" s="28" t="inlineStr">
        <is>
          <t>Major</t>
        </is>
      </c>
      <c r="E154" s="28" t="inlineStr">
        <is>
          <t>Figma: The approved Figma handoff frame for this screen. Design: “empowering india, every day” · absent from the build  →  Live: The design frame carries “empowering india, every day” (56px). Nothing with that text renders on the live page.</t>
        </is>
      </c>
      <c r="F154" s="28" t="inlineStr">
        <is>
          <t>Add the content the design carries, or confirm with the design team that it was dropped deliberately.</t>
        </is>
      </c>
      <c r="G154" s="28" t="n"/>
      <c r="H154" s="28" t="inlineStr">
        <is>
          <t>https://www.dosje.gov.in/</t>
        </is>
      </c>
      <c r="I154" s="28" t="inlineStr">
        <is>
          <t>Open</t>
        </is>
      </c>
      <c r="J154" s="28" t="n"/>
      <c r="K154" s="28" t="n"/>
      <c r="L154" s="28" t="inlineStr">
        <is>
          <t>env: live</t>
        </is>
      </c>
      <c r="M154" s="28" t="inlineStr">
        <is>
          <t>Screen</t>
        </is>
      </c>
    </row>
    <row r="155">
      <c r="A155" s="27" t="inlineStr">
        <is>
          <t>WEB-SCREEN-150</t>
        </is>
      </c>
      <c r="B155" s="28" t="inlineStr">
        <is>
          <t>Home · desktop</t>
        </is>
      </c>
      <c r="C155" s="28" t="inlineStr">
        <is>
          <t>Content &amp; Iconography</t>
        </is>
      </c>
      <c r="D155" s="28" t="inlineStr">
        <is>
          <t>Major</t>
        </is>
      </c>
      <c r="E155" s="28" t="inlineStr">
        <is>
          <t>Figma: The approved Figma handoff frame for this screen. Design: “bringing social justice to every doorste” · absent from the build  →  Live: The design frame carries “bringing social justice to every doorstep through digital access” (22px). Nothing with that text renders on the live page.</t>
        </is>
      </c>
      <c r="F155" s="28" t="inlineStr">
        <is>
          <t>Add the content the design carries, or confirm with the design team that it was dropped deliberately.</t>
        </is>
      </c>
      <c r="G155" s="28" t="n"/>
      <c r="H155" s="28" t="inlineStr">
        <is>
          <t>https://www.dosje.gov.in/</t>
        </is>
      </c>
      <c r="I155" s="28" t="inlineStr">
        <is>
          <t>Open</t>
        </is>
      </c>
      <c r="J155" s="28" t="n"/>
      <c r="K155" s="28" t="n"/>
      <c r="L155" s="28" t="inlineStr">
        <is>
          <t>env: live</t>
        </is>
      </c>
      <c r="M155" s="28" t="inlineStr">
        <is>
          <t>Screen</t>
        </is>
      </c>
    </row>
    <row r="156">
      <c r="A156" s="27" t="inlineStr">
        <is>
          <t>WEB-SCREEN-153</t>
        </is>
      </c>
      <c r="B156" s="28" t="inlineStr">
        <is>
          <t>Home · desktop</t>
        </is>
      </c>
      <c r="C156" s="28" t="inlineStr">
        <is>
          <t>Content &amp; Iconography</t>
        </is>
      </c>
      <c r="D156" s="28" t="inlineStr">
        <is>
          <t>Major</t>
        </is>
      </c>
      <c r="E156" s="28" t="inlineStr">
        <is>
          <t>Figma: The approved Figma handoff frame for this screen. Design: “explore opportunities” · absent from the build  →  Live: The design frame carries “explore opportunities” (16px). Nothing with that text renders on the live page.</t>
        </is>
      </c>
      <c r="F156" s="28" t="inlineStr">
        <is>
          <t>Add the content the design carries, or confirm with the design team that it was dropped deliberately.</t>
        </is>
      </c>
      <c r="G156" s="28" t="n"/>
      <c r="H156" s="28" t="inlineStr">
        <is>
          <t>https://www.dosje.gov.in/</t>
        </is>
      </c>
      <c r="I156" s="28" t="inlineStr">
        <is>
          <t>Open</t>
        </is>
      </c>
      <c r="J156" s="28" t="n"/>
      <c r="K156" s="28" t="n"/>
      <c r="L156" s="28" t="inlineStr">
        <is>
          <t>env: live</t>
        </is>
      </c>
      <c r="M156" s="28" t="inlineStr">
        <is>
          <t>Screen</t>
        </is>
      </c>
    </row>
    <row r="157">
      <c r="A157" s="27" t="inlineStr">
        <is>
          <t>WEB-SCREEN-169</t>
        </is>
      </c>
      <c r="B157" s="28" t="inlineStr">
        <is>
          <t>Home · desktop</t>
        </is>
      </c>
      <c r="C157" s="28" t="inlineStr">
        <is>
          <t>Content &amp; Iconography</t>
        </is>
      </c>
      <c r="D157" s="28" t="inlineStr">
        <is>
          <t>Major</t>
        </is>
      </c>
      <c r="E157" s="28" t="inlineStr">
        <is>
          <t>Figma: The approved Figma handoff frame for this screen. Design: “view schemes” · absent from the build  →  Live: The design frame carries “view schemes” (16px). Nothing with that text renders on the live page.</t>
        </is>
      </c>
      <c r="F157" s="28" t="inlineStr">
        <is>
          <t>Add the content the design carries, or confirm with the design team that it was dropped deliberately.</t>
        </is>
      </c>
      <c r="G157" s="28" t="n"/>
      <c r="H157" s="28" t="inlineStr">
        <is>
          <t>https://www.dosje.gov.in/</t>
        </is>
      </c>
      <c r="I157" s="28" t="inlineStr">
        <is>
          <t>Open</t>
        </is>
      </c>
      <c r="J157" s="28" t="n"/>
      <c r="K157" s="28" t="n"/>
      <c r="L157" s="28" t="inlineStr">
        <is>
          <t>env: live</t>
        </is>
      </c>
      <c r="M157" s="28" t="inlineStr">
        <is>
          <t>Screen</t>
        </is>
      </c>
    </row>
    <row r="158">
      <c r="A158" s="27" t="inlineStr">
        <is>
          <t>WEB-SCREEN-157</t>
        </is>
      </c>
      <c r="B158" s="28" t="inlineStr">
        <is>
          <t>Home · desktop</t>
        </is>
      </c>
      <c r="C158" s="28" t="inlineStr">
        <is>
          <t>Content &amp; Iconography</t>
        </is>
      </c>
      <c r="D158" s="28" t="inlineStr">
        <is>
          <t>Major</t>
        </is>
      </c>
      <c r="E158" s="28" t="inlineStr">
        <is>
          <t>Figma: The approved Figma handoff frame for this screen. Design: “latest updates” · absent from the build  →  Live: The design frame carries “latest updates” (16px). Nothing with that text renders on the live page. Also measured on the 375px capture of the same page.</t>
        </is>
      </c>
      <c r="F158" s="28" t="inlineStr">
        <is>
          <t>Add the content the design carries, or confirm with the design team that it was dropped deliberately.</t>
        </is>
      </c>
      <c r="G158" s="28" t="n"/>
      <c r="H158" s="28" t="inlineStr">
        <is>
          <t>https://www.dosje.gov.in/</t>
        </is>
      </c>
      <c r="I158" s="28" t="inlineStr">
        <is>
          <t>Open</t>
        </is>
      </c>
      <c r="J158" s="28" t="n"/>
      <c r="K158" s="28" t="n"/>
      <c r="L158" s="28" t="inlineStr">
        <is>
          <t>env: live</t>
        </is>
      </c>
      <c r="M158" s="28" t="inlineStr">
        <is>
          <t>Screen</t>
        </is>
      </c>
    </row>
    <row r="159">
      <c r="A159" s="27" t="inlineStr">
        <is>
          <t>WEB-SCREEN-317</t>
        </is>
      </c>
      <c r="B159" s="28" t="inlineStr">
        <is>
          <t>Home · mobile</t>
        </is>
      </c>
      <c r="C159" s="28" t="inlineStr">
        <is>
          <t>Layout &amp; Spacing</t>
        </is>
      </c>
      <c r="D159" s="28" t="inlineStr">
        <is>
          <t>Major</t>
        </is>
      </c>
      <c r="E159" s="28" t="inlineStr">
        <is>
          <t>Figma: UX4G 3.0 §6: interactive targets are at least 44×44px with 8px between them. WCAG 2.5.8 AA sets an absolute floor of 24×24.  →  Live: “Go to slide 1” is 40×12px. UX4G 3.0 §6 sets 44×44px as the minimum interactive size; at 40×12 it is also below the WCAG 2.5.8 AA floor of 24×24. Measured on 2 pages.</t>
        </is>
      </c>
      <c r="F159" s="28" t="inlineStr">
        <is>
          <t>Grow the control, or add transparent padding around it, until it measures 44×44px with 8px clear of its neighbours.</t>
        </is>
      </c>
      <c r="G159" s="28" t="n"/>
      <c r="H159" s="28" t="inlineStr">
        <is>
          <t>https://www.dosje.gov.in/</t>
        </is>
      </c>
      <c r="I159" s="28" t="inlineStr">
        <is>
          <t>Open</t>
        </is>
      </c>
      <c r="J159" s="28" t="n"/>
      <c r="K159" s="28" t="n"/>
      <c r="L159" s="28" t="inlineStr">
        <is>
          <t>env: live</t>
        </is>
      </c>
      <c r="M159" s="28" t="inlineStr">
        <is>
          <t>Screen</t>
        </is>
      </c>
    </row>
    <row r="160">
      <c r="A160" s="27" t="inlineStr">
        <is>
          <t>WEB-SCREEN-316</t>
        </is>
      </c>
      <c r="B160" s="28" t="inlineStr">
        <is>
          <t>Home · mobile</t>
        </is>
      </c>
      <c r="C160" s="28" t="inlineStr">
        <is>
          <t>Layout &amp; Spacing</t>
        </is>
      </c>
      <c r="D160" s="28" t="inlineStr">
        <is>
          <t>Major</t>
        </is>
      </c>
      <c r="E160" s="28" t="inlineStr">
        <is>
          <t>Figma: UX4G 3.0 §6: interactive targets are at least 44×44px with 8px between them. WCAG 2.5.8 AA sets an absolute floor of 24×24.  →  Live: “Go to slide 2” is 12×12px. UX4G 3.0 §6 sets 44×44px as the minimum interactive size; at 12×12 it is also below the WCAG 2.5.8 AA floor of 24×24. Measured on 2 pages.</t>
        </is>
      </c>
      <c r="F160" s="28" t="inlineStr">
        <is>
          <t>Grow the control, or add transparent padding around it, until it measures 44×44px with 8px clear of its neighbours.</t>
        </is>
      </c>
      <c r="G160" s="28" t="n"/>
      <c r="H160" s="28" t="inlineStr">
        <is>
          <t>https://www.dosje.gov.in/</t>
        </is>
      </c>
      <c r="I160" s="28" t="inlineStr">
        <is>
          <t>Open</t>
        </is>
      </c>
      <c r="J160" s="28" t="n"/>
      <c r="K160" s="28" t="n"/>
      <c r="L160" s="28" t="inlineStr">
        <is>
          <t>env: live</t>
        </is>
      </c>
      <c r="M160" s="28" t="inlineStr">
        <is>
          <t>Screen</t>
        </is>
      </c>
    </row>
    <row r="161">
      <c r="A161" s="27" t="inlineStr">
        <is>
          <t>WEB-SCREEN-034</t>
        </is>
      </c>
      <c r="B161" s="28" t="inlineStr">
        <is>
          <t>Home · mobile</t>
        </is>
      </c>
      <c r="C161" s="28" t="inlineStr">
        <is>
          <t>Layout &amp; Spacing</t>
        </is>
      </c>
      <c r="D161" s="28" t="inlineStr">
        <is>
          <t>Major</t>
        </is>
      </c>
      <c r="E161" s="28" t="inlineStr">
        <is>
          <t>Figma: UX4G 3.0 §6: interactive targets are at least 44×44px with 8px between them. WCAG 2.5.8 AA sets an absolute floor of 24×24.  →  Live: “Go to slide 3” is 12×12px. UX4G 3.0 §6 sets 44×44px as the minimum interactive size; at 12×12 it is also below the WCAG 2.5.8 AA floor of 24×24. Measured on 2 pages.</t>
        </is>
      </c>
      <c r="F161" s="28" t="inlineStr">
        <is>
          <t>Grow the control, or add transparent padding around it, until it measures 44×44px with 8px clear of its neighbours.</t>
        </is>
      </c>
      <c r="G161" s="28" t="n"/>
      <c r="H161" s="28" t="inlineStr">
        <is>
          <t>https://www.dosje.gov.in/</t>
        </is>
      </c>
      <c r="I161" s="28" t="inlineStr">
        <is>
          <t>Open</t>
        </is>
      </c>
      <c r="J161" s="28" t="n"/>
      <c r="K161" s="28" t="n"/>
      <c r="L161" s="28" t="inlineStr">
        <is>
          <t>env: live</t>
        </is>
      </c>
      <c r="M161" s="28" t="inlineStr">
        <is>
          <t>Screen</t>
        </is>
      </c>
    </row>
    <row r="162">
      <c r="A162" s="27" t="inlineStr">
        <is>
          <t>WEB-SCREEN-035</t>
        </is>
      </c>
      <c r="B162" s="28" t="inlineStr">
        <is>
          <t>Home · mobile</t>
        </is>
      </c>
      <c r="C162" s="28" t="inlineStr">
        <is>
          <t>Layout &amp; Spacing</t>
        </is>
      </c>
      <c r="D162" s="28" t="inlineStr">
        <is>
          <t>Major</t>
        </is>
      </c>
      <c r="E162" s="28" t="inlineStr">
        <is>
          <t>Figma: UX4G 3.0 §6: interactive targets are at least 44×44px with 8px between them. WCAG 2.5.8 AA sets an absolute floor of 24×24.  →  Live: “Go to slide 4” is 12×12px. UX4G 3.0 §6 sets 44×44px as the minimum interactive size; at 12×12 it is also below the WCAG 2.5.8 AA floor of 24×24. Measured on 2 pages.</t>
        </is>
      </c>
      <c r="F162" s="28" t="inlineStr">
        <is>
          <t>Grow the control, or add transparent padding around it, until it measures 44×44px with 8px clear of its neighbours.</t>
        </is>
      </c>
      <c r="G162" s="28" t="n"/>
      <c r="H162" s="28" t="inlineStr">
        <is>
          <t>https://www.dosje.gov.in/</t>
        </is>
      </c>
      <c r="I162" s="28" t="inlineStr">
        <is>
          <t>Open</t>
        </is>
      </c>
      <c r="J162" s="28" t="n"/>
      <c r="K162" s="28" t="n"/>
      <c r="L162" s="28" t="inlineStr">
        <is>
          <t>env: live</t>
        </is>
      </c>
      <c r="M162" s="28" t="inlineStr">
        <is>
          <t>Screen</t>
        </is>
      </c>
    </row>
    <row r="163">
      <c r="A163" s="27" t="inlineStr">
        <is>
          <t>WEB-SCREEN-163</t>
        </is>
      </c>
      <c r="B163" s="28" t="inlineStr">
        <is>
          <t>Home · mobile</t>
        </is>
      </c>
      <c r="C163" s="28" t="inlineStr">
        <is>
          <t>Content &amp; Iconography</t>
        </is>
      </c>
      <c r="D163" s="28" t="inlineStr">
        <is>
          <t>Major</t>
        </is>
      </c>
      <c r="E163" s="28" t="inlineStr">
        <is>
          <t>Figma: The approved Figma handoff frame for this screen. Design: “smile - support for marginalised individ” · absent from the build  →  Live: The design frame carries “smile - support for marginalised individuals for livelihood &amp; enterprise” (16px). Nothing with that text renders on the live page. Measured on 2 pages.</t>
        </is>
      </c>
      <c r="F163" s="28" t="inlineStr">
        <is>
          <t>Add the content the design carries, or confirm with the design team that it was dropped deliberately.</t>
        </is>
      </c>
      <c r="G163" s="28" t="n"/>
      <c r="H163" s="28" t="inlineStr">
        <is>
          <t>https://www.dosje.gov.in/</t>
        </is>
      </c>
      <c r="I163" s="28" t="inlineStr">
        <is>
          <t>Open</t>
        </is>
      </c>
      <c r="J163" s="28" t="n"/>
      <c r="K163" s="28" t="n"/>
      <c r="L163" s="28" t="inlineStr">
        <is>
          <t>env: live</t>
        </is>
      </c>
      <c r="M163" s="28" t="inlineStr">
        <is>
          <t>Screen</t>
        </is>
      </c>
    </row>
    <row r="164">
      <c r="A164" s="27" t="inlineStr">
        <is>
          <t>WEB-SCREEN-156</t>
        </is>
      </c>
      <c r="B164" s="28" t="inlineStr">
        <is>
          <t>Home · mobile</t>
        </is>
      </c>
      <c r="C164" s="28" t="inlineStr">
        <is>
          <t>Content &amp; Iconography</t>
        </is>
      </c>
      <c r="D164" s="28" t="inlineStr">
        <is>
          <t>Major</t>
        </is>
      </c>
      <c r="E164" s="28" t="inlineStr">
        <is>
          <t>Figma: The approved Figma handoff frame for this screen. Design: “integrated rehabilitation, skills traini” · absent from the build  →  Live: The design frame carries “integrated rehabilitation, skills training and livelihood support for marginalis” (14px). Nothing with that text renders on the live page. Measured on 2 pages.</t>
        </is>
      </c>
      <c r="F164" s="28" t="inlineStr">
        <is>
          <t>Add the content the design carries, or confirm with the design team that it was dropped deliberately.</t>
        </is>
      </c>
      <c r="G164" s="28" t="n"/>
      <c r="H164" s="28" t="inlineStr">
        <is>
          <t>https://www.dosje.gov.in/</t>
        </is>
      </c>
      <c r="I164" s="28" t="inlineStr">
        <is>
          <t>Open</t>
        </is>
      </c>
      <c r="J164" s="28" t="n"/>
      <c r="K164" s="28" t="n"/>
      <c r="L164" s="28" t="inlineStr">
        <is>
          <t>env: live</t>
        </is>
      </c>
      <c r="M164" s="28" t="inlineStr">
        <is>
          <t>Screen</t>
        </is>
      </c>
    </row>
    <row r="165">
      <c r="A165" s="27" t="inlineStr">
        <is>
          <t>WEB-SCREEN-037</t>
        </is>
      </c>
      <c r="B165" s="28" t="inlineStr">
        <is>
          <t>Lok Sabha Question Answer · mobile</t>
        </is>
      </c>
      <c r="C165" s="28" t="inlineStr">
        <is>
          <t>Layout &amp; Spacing</t>
        </is>
      </c>
      <c r="D165" s="28" t="inlineStr">
        <is>
          <t>Major</t>
        </is>
      </c>
      <c r="E165" s="28" t="inlineStr">
        <is>
          <t>Figma: UX4G 3.0 §6: interactive targets are at least 44×44px with 8px between them. WCAG 2.5.8 AA sets an absolute floor of 24×24.  →  Live: “NCSK” is 147×20px. UX4G 3.0 §6 sets 44×44px as the minimum interactive size; at 147×20 it is also below the WCAG 2.5.8 AA floor of 24×24. Measured on 2 pages.</t>
        </is>
      </c>
      <c r="F165" s="28" t="inlineStr">
        <is>
          <t>Grow the control, or add transparent padding around it, until it measures 44×44px with 8px clear of its neighbours.</t>
        </is>
      </c>
      <c r="G165" s="28" t="n"/>
      <c r="H165" s="28" t="inlineStr">
        <is>
          <t>https://www.dosje.gov.in/lok-sabha-question-answer/</t>
        </is>
      </c>
      <c r="I165" s="28" t="inlineStr">
        <is>
          <t>Open</t>
        </is>
      </c>
      <c r="J165" s="28" t="n"/>
      <c r="K165" s="28" t="n"/>
      <c r="L165" s="28" t="inlineStr">
        <is>
          <t>env: live</t>
        </is>
      </c>
      <c r="M165" s="28" t="inlineStr">
        <is>
          <t>Screen</t>
        </is>
      </c>
    </row>
    <row r="166">
      <c r="A166" s="27" t="inlineStr">
        <is>
          <t>WEB-SCREEN-013</t>
        </is>
      </c>
      <c r="B166" s="28" t="inlineStr">
        <is>
          <t>Minutes Of Screening Committees 2 · mobile</t>
        </is>
      </c>
      <c r="C166" s="28" t="inlineStr">
        <is>
          <t>Layout &amp; Spacing</t>
        </is>
      </c>
      <c r="D166" s="28" t="inlineStr">
        <is>
          <t>Blocker</t>
        </is>
      </c>
      <c r="E166" s="28" t="inlineStr">
        <is>
          <t>Figma: WCAG 2.2 AA (1.4.10): content reflows to 320 CSS px with no horizontal scrolling.  →  Live: The page scrolls horizontally at 375px: content reaches 582px. WCAG 1.4.10 requires reflow without a horizontal scrollbar down to 320 CSS px. Measured on 2 pages.</t>
        </is>
      </c>
      <c r="F166" s="28" t="inlineStr">
        <is>
          <t>Find the element wider than the viewport and let it wrap or scroll inside itself; the page itself must not scroll sideways.</t>
        </is>
      </c>
      <c r="G166" s="28" t="n"/>
      <c r="H166" s="28" t="inlineStr">
        <is>
          <t>https://www.dosje.gov.in/minutes-of-screening-committees-2/</t>
        </is>
      </c>
      <c r="I166" s="28" t="inlineStr">
        <is>
          <t>Open</t>
        </is>
      </c>
      <c r="J166" s="28" t="n"/>
      <c r="K166" s="28" t="n"/>
      <c r="L166" s="28" t="inlineStr">
        <is>
          <t>env: live</t>
        </is>
      </c>
      <c r="M166" s="28" t="inlineStr">
        <is>
          <t>Screen</t>
        </is>
      </c>
    </row>
    <row r="167">
      <c r="A167" s="27" t="inlineStr">
        <is>
          <t>WEB-SCREEN-179</t>
        </is>
      </c>
      <c r="B167" s="28" t="inlineStr">
        <is>
          <t>Mosje Directory · desktop</t>
        </is>
      </c>
      <c r="C167" s="28" t="inlineStr">
        <is>
          <t>Content &amp; Iconography</t>
        </is>
      </c>
      <c r="D167" s="28" t="inlineStr">
        <is>
          <t>Major</t>
        </is>
      </c>
      <c r="E167" s="28" t="inlineStr">
        <is>
          <t>Figma: The approved Figma handoff frame for this screen. Design: “discover the commissions, corporations, ” · absent from the build  →  Live: The design frame carries “discover the commissions, corporations, institutes and foundations that work col” (16px). Nothing with that text renders on the live page. Measured on 2 pages.</t>
        </is>
      </c>
      <c r="F167" s="28" t="inlineStr">
        <is>
          <t>Add the content the design carries, or confirm with the design team that it was dropped deliberately.</t>
        </is>
      </c>
      <c r="G167" s="28" t="inlineStr">
        <is>
          <t>https://www.figma.com/design/Ds5qx61QsI0ZkYSrLKxo0A/MoSJE--Handoff-?node-id=3453-9324</t>
        </is>
      </c>
      <c r="H167" s="28" t="n"/>
      <c r="I167" s="28" t="inlineStr">
        <is>
          <t>Open</t>
        </is>
      </c>
      <c r="J167" s="28" t="n"/>
      <c r="K167" s="28" t="n"/>
      <c r="L167" s="28" t="inlineStr">
        <is>
          <t>env: live</t>
        </is>
      </c>
      <c r="M167" s="28" t="inlineStr">
        <is>
          <t>Screen</t>
        </is>
      </c>
    </row>
    <row r="168">
      <c r="A168" s="27" t="inlineStr">
        <is>
          <t>WEB-SCREEN-189</t>
        </is>
      </c>
      <c r="B168" s="28" t="inlineStr">
        <is>
          <t>Mosje Directory · desktop</t>
        </is>
      </c>
      <c r="C168" s="28" t="inlineStr">
        <is>
          <t>Content &amp; Iconography</t>
        </is>
      </c>
      <c r="D168" s="28" t="inlineStr">
        <is>
          <t>Major</t>
        </is>
      </c>
      <c r="E168" s="28" t="inlineStr">
        <is>
          <t>Figma: The approved Figma handoff frame for this screen. Design: “reset filters” · absent from the build  →  Live: The design frame carries “reset filters” (14px). Nothing with that text renders on the live page.</t>
        </is>
      </c>
      <c r="F168" s="28" t="inlineStr">
        <is>
          <t>Add the content the design carries, or confirm with the design team that it was dropped deliberately.</t>
        </is>
      </c>
      <c r="G168" s="28" t="inlineStr">
        <is>
          <t>https://www.figma.com/design/Ds5qx61QsI0ZkYSrLKxo0A/MoSJE--Handoff-?node-id=3453-9324</t>
        </is>
      </c>
      <c r="H168" s="28" t="n"/>
      <c r="I168" s="28" t="inlineStr">
        <is>
          <t>Open</t>
        </is>
      </c>
      <c r="J168" s="28" t="n"/>
      <c r="K168" s="28" t="n"/>
      <c r="L168" s="28" t="inlineStr">
        <is>
          <t>env: live</t>
        </is>
      </c>
      <c r="M168" s="28" t="inlineStr">
        <is>
          <t>Screen</t>
        </is>
      </c>
    </row>
    <row r="169">
      <c r="A169" s="27" t="inlineStr">
        <is>
          <t>WEB-SCREEN-187</t>
        </is>
      </c>
      <c r="B169" s="28" t="inlineStr">
        <is>
          <t>Mosje Directory · desktop</t>
        </is>
      </c>
      <c r="C169" s="28" t="inlineStr">
        <is>
          <t>Content &amp; Iconography</t>
        </is>
      </c>
      <c r="D169" s="28" t="inlineStr">
        <is>
          <t>Major</t>
        </is>
      </c>
      <c r="E169" s="28" t="inlineStr">
        <is>
          <t>Figma: The approved Figma handoff frame for this screen. Design: “organization” · absent from the build  →  Live: The design frame carries “organization” (12px). Nothing with that text renders on the live page.</t>
        </is>
      </c>
      <c r="F169" s="28" t="inlineStr">
        <is>
          <t>Add the content the design carries, or confirm with the design team that it was dropped deliberately.</t>
        </is>
      </c>
      <c r="G169" s="28" t="inlineStr">
        <is>
          <t>https://www.figma.com/design/Ds5qx61QsI0ZkYSrLKxo0A/MoSJE--Handoff-?node-id=3453-9324</t>
        </is>
      </c>
      <c r="H169" s="28" t="n"/>
      <c r="I169" s="28" t="inlineStr">
        <is>
          <t>Open</t>
        </is>
      </c>
      <c r="J169" s="28" t="n"/>
      <c r="K169" s="28" t="n"/>
      <c r="L169" s="28" t="inlineStr">
        <is>
          <t>env: live</t>
        </is>
      </c>
      <c r="M169" s="28" t="inlineStr">
        <is>
          <t>Screen</t>
        </is>
      </c>
    </row>
    <row r="170">
      <c r="A170" s="27" t="inlineStr">
        <is>
          <t>WEB-SCREEN-172</t>
        </is>
      </c>
      <c r="B170" s="28" t="inlineStr">
        <is>
          <t>Mosje Directory · desktop</t>
        </is>
      </c>
      <c r="C170" s="28" t="inlineStr">
        <is>
          <t>Content &amp; Iconography</t>
        </is>
      </c>
      <c r="D170" s="28" t="inlineStr">
        <is>
          <t>Major</t>
        </is>
      </c>
      <c r="E170" s="28" t="inlineStr">
        <is>
          <t>Figma: The approved Figma handoff frame for this screen. Design: “ashutosh niranjan” · absent from the build  →  Live: The design frame carries “ashutosh niranjan” (14px). Nothing with that text renders on the live page.</t>
        </is>
      </c>
      <c r="F170" s="28" t="inlineStr">
        <is>
          <t>Add the content the design carries, or confirm with the design team that it was dropped deliberately.</t>
        </is>
      </c>
      <c r="G170" s="28" t="inlineStr">
        <is>
          <t>https://www.figma.com/design/Ds5qx61QsI0ZkYSrLKxo0A/MoSJE--Handoff-?node-id=3453-9324</t>
        </is>
      </c>
      <c r="H170" s="28" t="n"/>
      <c r="I170" s="28" t="inlineStr">
        <is>
          <t>Open</t>
        </is>
      </c>
      <c r="J170" s="28" t="n"/>
      <c r="K170" s="28" t="n"/>
      <c r="L170" s="28" t="inlineStr">
        <is>
          <t>env: live</t>
        </is>
      </c>
      <c r="M170" s="28" t="inlineStr">
        <is>
          <t>Screen</t>
        </is>
      </c>
    </row>
    <row r="171">
      <c r="A171" s="27" t="inlineStr">
        <is>
          <t>WEB-SCREEN-186</t>
        </is>
      </c>
      <c r="B171" s="28" t="inlineStr">
        <is>
          <t>Mosje Directory · desktop</t>
        </is>
      </c>
      <c r="C171" s="28" t="inlineStr">
        <is>
          <t>Content &amp; Iconography</t>
        </is>
      </c>
      <c r="D171" s="28" t="inlineStr">
        <is>
          <t>Major</t>
        </is>
      </c>
      <c r="E171" s="28" t="inlineStr">
        <is>
          <t>Figma: The approved Figma handoff frame for this screen. Design: “ms. priya sharma” · absent from the build  →  Live: The design frame carries “ms. priya sharma” (14px). Nothing with that text renders on the live page.</t>
        </is>
      </c>
      <c r="F171" s="28" t="inlineStr">
        <is>
          <t>Add the content the design carries, or confirm with the design team that it was dropped deliberately.</t>
        </is>
      </c>
      <c r="G171" s="28" t="inlineStr">
        <is>
          <t>https://www.figma.com/design/Ds5qx61QsI0ZkYSrLKxo0A/MoSJE--Handoff-?node-id=3453-9324</t>
        </is>
      </c>
      <c r="H171" s="28" t="n"/>
      <c r="I171" s="28" t="inlineStr">
        <is>
          <t>Open</t>
        </is>
      </c>
      <c r="J171" s="28" t="n"/>
      <c r="K171" s="28" t="n"/>
      <c r="L171" s="28" t="inlineStr">
        <is>
          <t>env: live</t>
        </is>
      </c>
      <c r="M171" s="28" t="inlineStr">
        <is>
          <t>Screen</t>
        </is>
      </c>
    </row>
    <row r="172">
      <c r="A172" s="27" t="inlineStr">
        <is>
          <t>WEB-SCREEN-188</t>
        </is>
      </c>
      <c r="B172" s="28" t="inlineStr">
        <is>
          <t>Mosje Directory · desktop</t>
        </is>
      </c>
      <c r="C172" s="28" t="inlineStr">
        <is>
          <t>Content &amp; Iconography</t>
        </is>
      </c>
      <c r="D172" s="28" t="inlineStr">
        <is>
          <t>Major</t>
        </is>
      </c>
      <c r="E172" s="28" t="inlineStr">
        <is>
          <t>Figma: The approved Figma handoff frame for this screen. Design: “private secretary to the minister” · absent from the build  →  Live: The design frame carries “private secretary to the minister” (14px). Nothing with that text renders on the live page.</t>
        </is>
      </c>
      <c r="F172" s="28" t="inlineStr">
        <is>
          <t>Add the content the design carries, or confirm with the design team that it was dropped deliberately.</t>
        </is>
      </c>
      <c r="G172" s="28" t="inlineStr">
        <is>
          <t>https://www.figma.com/design/Ds5qx61QsI0ZkYSrLKxo0A/MoSJE--Handoff-?node-id=3453-9324</t>
        </is>
      </c>
      <c r="H172" s="28" t="n"/>
      <c r="I172" s="28" t="inlineStr">
        <is>
          <t>Open</t>
        </is>
      </c>
      <c r="J172" s="28" t="n"/>
      <c r="K172" s="28" t="n"/>
      <c r="L172" s="28" t="inlineStr">
        <is>
          <t>env: live</t>
        </is>
      </c>
      <c r="M172" s="28" t="inlineStr">
        <is>
          <t>Screen</t>
        </is>
      </c>
    </row>
    <row r="173">
      <c r="A173" s="27" t="inlineStr">
        <is>
          <t>WEB-SCREEN-175</t>
        </is>
      </c>
      <c r="B173" s="28" t="inlineStr">
        <is>
          <t>Mosje Directory · mobile</t>
        </is>
      </c>
      <c r="C173" s="28" t="inlineStr">
        <is>
          <t>Content &amp; Iconography</t>
        </is>
      </c>
      <c r="D173" s="28" t="inlineStr">
        <is>
          <t>Major</t>
        </is>
      </c>
      <c r="E173" s="28" t="inlineStr">
        <is>
          <t>Figma: The approved Figma handoff frame for this screen. Design: “browse our directory for key contact inf” · absent from the build  →  Live: The design frame carries “browse our directory for key contact information of commissions, corporations, i” (14px). Nothing with that text renders on the live page.</t>
        </is>
      </c>
      <c r="F173" s="28" t="inlineStr">
        <is>
          <t>Add the content the design carries, or confirm with the design team that it was dropped deliberately.</t>
        </is>
      </c>
      <c r="G173" s="28" t="inlineStr">
        <is>
          <t>https://www.figma.com/design/Ds5qx61QsI0ZkYSrLKxo0A/MoSJE--Handoff-?node-id=4571-89516</t>
        </is>
      </c>
      <c r="H173" s="28" t="n"/>
      <c r="I173" s="28" t="inlineStr">
        <is>
          <t>Open</t>
        </is>
      </c>
      <c r="J173" s="28" t="n"/>
      <c r="K173" s="28" t="n"/>
      <c r="L173" s="28" t="inlineStr">
        <is>
          <t>env: live</t>
        </is>
      </c>
      <c r="M173" s="28" t="inlineStr">
        <is>
          <t>Screen</t>
        </is>
      </c>
    </row>
    <row r="174">
      <c r="A174" s="27" t="inlineStr">
        <is>
          <t>WEB-SCREEN-180</t>
        </is>
      </c>
      <c r="B174" s="28" t="inlineStr">
        <is>
          <t>Mosje Directory · mobile</t>
        </is>
      </c>
      <c r="C174" s="28" t="inlineStr">
        <is>
          <t>Content &amp; Iconography</t>
        </is>
      </c>
      <c r="D174" s="28" t="inlineStr">
        <is>
          <t>Major</t>
        </is>
      </c>
      <c r="E174" s="28" t="inlineStr">
        <is>
          <t>Figma: The approved Figma handoff frame for this screen. Design: “download directory” · absent from the build  →  Live: The design frame carries “download directory” (14px). Nothing with that text renders on the live page.</t>
        </is>
      </c>
      <c r="F174" s="28" t="inlineStr">
        <is>
          <t>Add the content the design carries, or confirm with the design team that it was dropped deliberately.</t>
        </is>
      </c>
      <c r="G174" s="28" t="inlineStr">
        <is>
          <t>https://www.figma.com/design/Ds5qx61QsI0ZkYSrLKxo0A/MoSJE--Handoff-?node-id=4571-89516</t>
        </is>
      </c>
      <c r="H174" s="28" t="n"/>
      <c r="I174" s="28" t="inlineStr">
        <is>
          <t>Open</t>
        </is>
      </c>
      <c r="J174" s="28" t="n"/>
      <c r="K174" s="28" t="n"/>
      <c r="L174" s="28" t="inlineStr">
        <is>
          <t>env: live</t>
        </is>
      </c>
      <c r="M174" s="28" t="inlineStr">
        <is>
          <t>Screen</t>
        </is>
      </c>
    </row>
    <row r="175">
      <c r="A175" s="27" t="inlineStr">
        <is>
          <t>WEB-SCREEN-190</t>
        </is>
      </c>
      <c r="B175" s="28" t="inlineStr">
        <is>
          <t>Mosje Directory · mobile</t>
        </is>
      </c>
      <c r="C175" s="28" t="inlineStr">
        <is>
          <t>Content &amp; Iconography</t>
        </is>
      </c>
      <c r="D175" s="28" t="inlineStr">
        <is>
          <t>Major</t>
        </is>
      </c>
      <c r="E175" s="28" t="inlineStr">
        <is>
          <t>Figma: The approved Figma handoff frame for this screen. Design: “telephone(res./mobile)” · absent from the build  →  Live: The design frame carries “telephone(res./mobile)” (12px). Nothing with that text renders on the live page.</t>
        </is>
      </c>
      <c r="F175" s="28" t="inlineStr">
        <is>
          <t>Add the content the design carries, or confirm with the design team that it was dropped deliberately.</t>
        </is>
      </c>
      <c r="G175" s="28" t="inlineStr">
        <is>
          <t>https://www.figma.com/design/Ds5qx61QsI0ZkYSrLKxo0A/MoSJE--Handoff-?node-id=4571-89516</t>
        </is>
      </c>
      <c r="H175" s="28" t="n"/>
      <c r="I175" s="28" t="inlineStr">
        <is>
          <t>Open</t>
        </is>
      </c>
      <c r="J175" s="28" t="n"/>
      <c r="K175" s="28" t="n"/>
      <c r="L175" s="28" t="inlineStr">
        <is>
          <t>env: live</t>
        </is>
      </c>
      <c r="M175" s="28" t="inlineStr">
        <is>
          <t>Screen</t>
        </is>
      </c>
    </row>
    <row r="176">
      <c r="A176" s="27" t="inlineStr">
        <is>
          <t>WEB-SCREEN-173</t>
        </is>
      </c>
      <c r="B176" s="28" t="inlineStr">
        <is>
          <t>Mosje Directory · mobile</t>
        </is>
      </c>
      <c r="C176" s="28" t="inlineStr">
        <is>
          <t>Content &amp; Iconography</t>
        </is>
      </c>
      <c r="D176" s="28" t="inlineStr">
        <is>
          <t>Major</t>
        </is>
      </c>
      <c r="E176" s="28" t="inlineStr">
        <is>
          <t>Figma: The approved Figma handoff frame for this screen. Design: “ashutosh niranjan, ias” · absent from the build  →  Live: The design frame carries “ashutosh niranjan, ias” (14px). Nothing with that text renders on the live page.</t>
        </is>
      </c>
      <c r="F176" s="28" t="inlineStr">
        <is>
          <t>Add the content the design carries, or confirm with the design team that it was dropped deliberately.</t>
        </is>
      </c>
      <c r="G176" s="28" t="inlineStr">
        <is>
          <t>https://www.figma.com/design/Ds5qx61QsI0ZkYSrLKxo0A/MoSJE--Handoff-?node-id=4571-89516</t>
        </is>
      </c>
      <c r="H176" s="28" t="n"/>
      <c r="I176" s="28" t="inlineStr">
        <is>
          <t>Open</t>
        </is>
      </c>
      <c r="J176" s="28" t="n"/>
      <c r="K176" s="28" t="n"/>
      <c r="L176" s="28" t="inlineStr">
        <is>
          <t>env: live</t>
        </is>
      </c>
      <c r="M176" s="28" t="inlineStr">
        <is>
          <t>Screen</t>
        </is>
      </c>
    </row>
    <row r="177">
      <c r="A177" s="27" t="inlineStr">
        <is>
          <t>WEB-SCREEN-177</t>
        </is>
      </c>
      <c r="B177" s="28" t="inlineStr">
        <is>
          <t>Mosje Directory · mobile</t>
        </is>
      </c>
      <c r="C177" s="28" t="inlineStr">
        <is>
          <t>Content &amp; Iconography</t>
        </is>
      </c>
      <c r="D177" s="28" t="inlineStr">
        <is>
          <t>Major</t>
        </is>
      </c>
      <c r="E177" s="28" t="inlineStr">
        <is>
          <t>Figma: The approved Figma handoff frame for this screen. Design: “devansh wathrey” · absent from the build  →  Live: The design frame carries “devansh wathrey” (14px). Nothing with that text renders on the live page.</t>
        </is>
      </c>
      <c r="F177" s="28" t="inlineStr">
        <is>
          <t>Add the content the design carries, or confirm with the design team that it was dropped deliberately.</t>
        </is>
      </c>
      <c r="G177" s="28" t="inlineStr">
        <is>
          <t>https://www.figma.com/design/Ds5qx61QsI0ZkYSrLKxo0A/MoSJE--Handoff-?node-id=4571-89516</t>
        </is>
      </c>
      <c r="H177" s="28" t="n"/>
      <c r="I177" s="28" t="inlineStr">
        <is>
          <t>Open</t>
        </is>
      </c>
      <c r="J177" s="28" t="n"/>
      <c r="K177" s="28" t="n"/>
      <c r="L177" s="28" t="inlineStr">
        <is>
          <t>env: live</t>
        </is>
      </c>
      <c r="M177" s="28" t="inlineStr">
        <is>
          <t>Screen</t>
        </is>
      </c>
    </row>
    <row r="178">
      <c r="A178" s="27" t="inlineStr">
        <is>
          <t>WEB-SCREEN-191</t>
        </is>
      </c>
      <c r="B178" s="28" t="inlineStr">
        <is>
          <t>Mosje Directory · mobile</t>
        </is>
      </c>
      <c r="C178" s="28" t="inlineStr">
        <is>
          <t>Content &amp; Iconography</t>
        </is>
      </c>
      <c r="D178" s="28" t="inlineStr">
        <is>
          <t>Major</t>
        </is>
      </c>
      <c r="E178" s="28" t="inlineStr">
        <is>
          <t>Figma: The approved Figma handoff frame for this screen. Design: “tripathi[dot]yogesh[at]nic[dot]in” · absent from the build  →  Live: The design frame carries “tripathi[dot]yogesh[at]nic[dot]in” (12px). Nothing with that text renders on the live page.</t>
        </is>
      </c>
      <c r="F178" s="28" t="inlineStr">
        <is>
          <t>Add the content the design carries, or confirm with the design team that it was dropped deliberately.</t>
        </is>
      </c>
      <c r="G178" s="28" t="inlineStr">
        <is>
          <t>https://www.figma.com/design/Ds5qx61QsI0ZkYSrLKxo0A/MoSJE--Handoff-?node-id=4571-89516</t>
        </is>
      </c>
      <c r="H178" s="28" t="n"/>
      <c r="I178" s="28" t="inlineStr">
        <is>
          <t>Open</t>
        </is>
      </c>
      <c r="J178" s="28" t="n"/>
      <c r="K178" s="28" t="n"/>
      <c r="L178" s="28" t="inlineStr">
        <is>
          <t>env: live</t>
        </is>
      </c>
      <c r="M178" s="28" t="inlineStr">
        <is>
          <t>Screen</t>
        </is>
      </c>
    </row>
    <row r="179">
      <c r="A179" s="27" t="inlineStr">
        <is>
          <t>WEB-SCREEN-038</t>
        </is>
      </c>
      <c r="B179" s="28" t="inlineStr">
        <is>
          <t>Notices · mobile</t>
        </is>
      </c>
      <c r="C179" s="28" t="inlineStr">
        <is>
          <t>Layout &amp; Spacing</t>
        </is>
      </c>
      <c r="D179" s="28" t="inlineStr">
        <is>
          <t>Major</t>
        </is>
      </c>
      <c r="E179" s="28" t="inlineStr">
        <is>
          <t>Figma: UX4G 3.0 §6: interactive targets are at least 44×44px with 8px between them. WCAG 2.5.8 AA sets an absolute floor of 24×24.  →  Live: “BJRNF” is 147×20px. UX4G 3.0 §6 sets 44×44px as the minimum interactive size; at 147×20 it is also below the WCAG 2.5.8 AA floor of 24×24. Measured on 2 pages.</t>
        </is>
      </c>
      <c r="F179" s="28" t="inlineStr">
        <is>
          <t>Grow the control, or add transparent padding around it, until it measures 44×44px with 8px clear of its neighbours.</t>
        </is>
      </c>
      <c r="G179" s="28" t="n"/>
      <c r="H179" s="28" t="inlineStr">
        <is>
          <t>https://www.dosje.gov.in/notices/</t>
        </is>
      </c>
      <c r="I179" s="28" t="inlineStr">
        <is>
          <t>Open</t>
        </is>
      </c>
      <c r="J179" s="28" t="n"/>
      <c r="K179" s="28" t="n"/>
      <c r="L179" s="28" t="inlineStr">
        <is>
          <t>env: live</t>
        </is>
      </c>
      <c r="M179" s="28" t="inlineStr">
        <is>
          <t>Screen</t>
        </is>
      </c>
    </row>
    <row r="180">
      <c r="A180" s="27" t="inlineStr">
        <is>
          <t>WEB-SCREEN-039</t>
        </is>
      </c>
      <c r="B180" s="28" t="inlineStr">
        <is>
          <t>Notices · mobile</t>
        </is>
      </c>
      <c r="C180" s="28" t="inlineStr">
        <is>
          <t>Layout &amp; Spacing</t>
        </is>
      </c>
      <c r="D180" s="28" t="inlineStr">
        <is>
          <t>Major</t>
        </is>
      </c>
      <c r="E180" s="28" t="inlineStr">
        <is>
          <t>Figma: UX4G 3.0 §6: interactive targets are at least 44×44px with 8px between them. WCAG 2.5.8 AA sets an absolute floor of 24×24.  →  Live: “E-Anudaan” is 147×20px. UX4G 3.0 §6 sets 44×44px as the minimum interactive size; at 147×20 it is also below the WCAG 2.5.8 AA floor of 24×24.</t>
        </is>
      </c>
      <c r="F180" s="28" t="inlineStr">
        <is>
          <t>Grow the control, or add transparent padding around it, until it measures 44×44px with 8px clear of its neighbours.</t>
        </is>
      </c>
      <c r="G180" s="28" t="n"/>
      <c r="H180" s="28" t="inlineStr">
        <is>
          <t>https://www.dosje.gov.in/notices/</t>
        </is>
      </c>
      <c r="I180" s="28" t="inlineStr">
        <is>
          <t>Open</t>
        </is>
      </c>
      <c r="J180" s="28" t="n"/>
      <c r="K180" s="28" t="n"/>
      <c r="L180" s="28" t="inlineStr">
        <is>
          <t>env: live</t>
        </is>
      </c>
      <c r="M180" s="28" t="inlineStr">
        <is>
          <t>Screen</t>
        </is>
      </c>
    </row>
    <row r="181">
      <c r="A181" s="27" t="inlineStr">
        <is>
          <t>WEB-SCREEN-265</t>
        </is>
      </c>
      <c r="B181" s="28" t="inlineStr">
        <is>
          <t>Official  Dr Swati S Mishra · desktop</t>
        </is>
      </c>
      <c r="C181" s="28" t="inlineStr">
        <is>
          <t>Typography</t>
        </is>
      </c>
      <c r="D181" s="28" t="inlineStr">
        <is>
          <t>Major</t>
        </is>
      </c>
      <c r="E181" s="28" t="inlineStr">
        <is>
          <t>Figma: The approved Figma handoff frame for this screen. Built 16px · design 12px · Built 700 weight · design 400 · Built #1F2937 · design #1F2428  →  Live: “address” — size 12 → 16; weight 400 → 700; colour #1F2428 → #1F2937. Measured on 2 pages.</t>
        </is>
      </c>
      <c r="F181" s="28" t="inlineStr">
        <is>
          <t>Set the built value to the design's.</t>
        </is>
      </c>
      <c r="G181" s="28" t="inlineStr">
        <is>
          <t>https://www.figma.com/design/Ds5qx61QsI0ZkYSrLKxo0A/MoSJE--Handoff-?node-id=3453-9455</t>
        </is>
      </c>
      <c r="H181" s="28" t="n"/>
      <c r="I181" s="28" t="inlineStr">
        <is>
          <t>Open</t>
        </is>
      </c>
      <c r="J181" s="28" t="n"/>
      <c r="K181" s="28" t="n"/>
      <c r="L181" s="28" t="inlineStr">
        <is>
          <t>env: live</t>
        </is>
      </c>
      <c r="M181" s="28" t="inlineStr">
        <is>
          <t>Screen</t>
        </is>
      </c>
    </row>
    <row r="182">
      <c r="A182" s="27" t="inlineStr">
        <is>
          <t>WEB-SCREEN-266</t>
        </is>
      </c>
      <c r="B182" s="28" t="inlineStr">
        <is>
          <t>Official  Shri Shailendra Kumar · desktop</t>
        </is>
      </c>
      <c r="C182" s="28" t="inlineStr">
        <is>
          <t>Typography</t>
        </is>
      </c>
      <c r="D182" s="28" t="inlineStr">
        <is>
          <t>Major</t>
        </is>
      </c>
      <c r="E182" s="28" t="inlineStr">
        <is>
          <t>Figma: The approved Figma handoff frame for this screen. Built 16px · design 12px · Built 700 weight · design 400 · Built #1F2937 · design #1F2428  →  Live: “address” — size 12 → 16; weight 400 → 700; colour #1F2428 → #1F2937. Measured on 2 pages.</t>
        </is>
      </c>
      <c r="F182" s="28" t="inlineStr">
        <is>
          <t>Set the built value to the design's.</t>
        </is>
      </c>
      <c r="G182" s="28" t="inlineStr">
        <is>
          <t>https://www.figma.com/design/Ds5qx61QsI0ZkYSrLKxo0A/MoSJE--Handoff-?node-id=3453-9455</t>
        </is>
      </c>
      <c r="H182" s="28" t="n"/>
      <c r="I182" s="28" t="inlineStr">
        <is>
          <t>Open</t>
        </is>
      </c>
      <c r="J182" s="28" t="n"/>
      <c r="K182" s="28" t="n"/>
      <c r="L182" s="28" t="inlineStr">
        <is>
          <t>env: live</t>
        </is>
      </c>
      <c r="M182" s="28" t="inlineStr">
        <is>
          <t>Screen</t>
        </is>
      </c>
    </row>
    <row r="183">
      <c r="A183" s="27" t="inlineStr">
        <is>
          <t>WEB-SCREEN-267</t>
        </is>
      </c>
      <c r="B183" s="28" t="inlineStr">
        <is>
          <t>Organisation  Contact Us · desktop</t>
        </is>
      </c>
      <c r="C183" s="28" t="inlineStr">
        <is>
          <t>Color &amp; Token</t>
        </is>
      </c>
      <c r="D183" s="28" t="inlineStr">
        <is>
          <t>Major</t>
        </is>
      </c>
      <c r="E183" s="28" t="inlineStr">
        <is>
          <t>Figma: The approved Figma handoff frame for this screen. Built #5E5E5E · design #343A40  →  Live: “indira gandhi international airport” — colour #343A40 → #5E5E5E.</t>
        </is>
      </c>
      <c r="F183" s="28" t="inlineStr">
        <is>
          <t>Set the built value to the design's.</t>
        </is>
      </c>
      <c r="G183" s="28" t="inlineStr">
        <is>
          <t>https://www.figma.com/design/Ds5qx61QsI0ZkYSrLKxo0A/MoSJE--Handoff-?node-id=3453-14723</t>
        </is>
      </c>
      <c r="H183" s="28" t="n"/>
      <c r="I183" s="28" t="inlineStr">
        <is>
          <t>Open</t>
        </is>
      </c>
      <c r="J183" s="28" t="n"/>
      <c r="K183" s="28" t="n"/>
      <c r="L183" s="28" t="inlineStr">
        <is>
          <t>env: live</t>
        </is>
      </c>
      <c r="M183" s="28" t="inlineStr">
        <is>
          <t>Screen</t>
        </is>
      </c>
    </row>
    <row r="184">
      <c r="A184" s="27" t="inlineStr">
        <is>
          <t>WEB-SCREEN-269</t>
        </is>
      </c>
      <c r="B184" s="28" t="inlineStr">
        <is>
          <t>Organisation  Contact Us · mobile</t>
        </is>
      </c>
      <c r="C184" s="28" t="inlineStr">
        <is>
          <t>Typography</t>
        </is>
      </c>
      <c r="D184" s="28" t="inlineStr">
        <is>
          <t>Major</t>
        </is>
      </c>
      <c r="E184" s="28" t="inlineStr">
        <is>
          <t>Figma: The approved Figma handoff frame for this screen. Built 16px · design 14px · Built #1F2937 · design #1F2428  →  Live: “nearest airport” — size 14 → 16; colour #1F2428 → #1F2937.</t>
        </is>
      </c>
      <c r="F184" s="28" t="inlineStr">
        <is>
          <t>Set the built value to the design's.</t>
        </is>
      </c>
      <c r="G184" s="28" t="inlineStr">
        <is>
          <t>https://www.figma.com/design/Ds5qx61QsI0ZkYSrLKxo0A/MoSJE--Handoff-?node-id=4626-81838</t>
        </is>
      </c>
      <c r="H184" s="28" t="n"/>
      <c r="I184" s="28" t="inlineStr">
        <is>
          <t>Open</t>
        </is>
      </c>
      <c r="J184" s="28" t="n"/>
      <c r="K184" s="28" t="n"/>
      <c r="L184" s="28" t="inlineStr">
        <is>
          <t>env: live</t>
        </is>
      </c>
      <c r="M184" s="28" t="inlineStr">
        <is>
          <t>Screen</t>
        </is>
      </c>
    </row>
    <row r="185">
      <c r="A185" s="27" t="inlineStr">
        <is>
          <t>WEB-SCREEN-268</t>
        </is>
      </c>
      <c r="B185" s="28" t="inlineStr">
        <is>
          <t>Organisation  Contact Us · mobile</t>
        </is>
      </c>
      <c r="C185" s="28" t="inlineStr">
        <is>
          <t>Typography</t>
        </is>
      </c>
      <c r="D185" s="28" t="inlineStr">
        <is>
          <t>Major</t>
        </is>
      </c>
      <c r="E185" s="28" t="inlineStr">
        <is>
          <t>Figma: The approved Figma handoff frame for this screen. Built 14px · design 12px · Built #5E5E5E · design #343A40  →  Live: “indira gandhi international airport” — size 12 → 14; colour #343A40 → #5E5E5E.</t>
        </is>
      </c>
      <c r="F185" s="28" t="inlineStr">
        <is>
          <t>Set the built value to the design's.</t>
        </is>
      </c>
      <c r="G185" s="28" t="inlineStr">
        <is>
          <t>https://www.figma.com/design/Ds5qx61QsI0ZkYSrLKxo0A/MoSJE--Handoff-?node-id=4626-81838</t>
        </is>
      </c>
      <c r="H185" s="28" t="n"/>
      <c r="I185" s="28" t="inlineStr">
        <is>
          <t>Open</t>
        </is>
      </c>
      <c r="J185" s="28" t="n"/>
      <c r="K185" s="28" t="n"/>
      <c r="L185" s="28" t="inlineStr">
        <is>
          <t>env: live</t>
        </is>
      </c>
      <c r="M185" s="28" t="inlineStr">
        <is>
          <t>Screen</t>
        </is>
      </c>
    </row>
    <row r="186">
      <c r="A186" s="27" t="inlineStr">
        <is>
          <t>WEB-SCREEN-192</t>
        </is>
      </c>
      <c r="B186" s="28" t="inlineStr">
        <is>
          <t>Policies · desktop</t>
        </is>
      </c>
      <c r="C186" s="28" t="inlineStr">
        <is>
          <t>Content &amp; Iconography</t>
        </is>
      </c>
      <c r="D186" s="28" t="inlineStr">
        <is>
          <t>Major</t>
        </is>
      </c>
      <c r="E186" s="28" t="inlineStr">
        <is>
          <t>Figma: The approved Figma handoff frame for this screen. Design: “1. information collection we do not auto” · absent from the build  →  Live: The design frame carries “1. information collection we do not automatically gather any personally identifi” (16px). Nothing with that text renders on the live page. Also measured on the 375px capture of the same page.</t>
        </is>
      </c>
      <c r="F186" s="28" t="inlineStr">
        <is>
          <t>Add the content the design carries, or confirm with the design team that it was dropped deliberately.</t>
        </is>
      </c>
      <c r="G186" s="28" t="inlineStr">
        <is>
          <t>https://www.figma.com/design/Ds5qx61QsI0ZkYSrLKxo0A/MoSJE--Handoff-?node-id=5243-126087</t>
        </is>
      </c>
      <c r="H186" s="28" t="n"/>
      <c r="I186" s="28" t="inlineStr">
        <is>
          <t>Open</t>
        </is>
      </c>
      <c r="J186" s="28" t="n"/>
      <c r="K186" s="28" t="n"/>
      <c r="L186" s="28" t="inlineStr">
        <is>
          <t>env: live</t>
        </is>
      </c>
      <c r="M186" s="28" t="inlineStr">
        <is>
          <t>Screen</t>
        </is>
      </c>
    </row>
    <row r="187">
      <c r="A187" s="27" t="inlineStr">
        <is>
          <t>WEB-SCREEN-043</t>
        </is>
      </c>
      <c r="B187" s="28" t="inlineStr">
        <is>
          <t>Resources · mobile</t>
        </is>
      </c>
      <c r="C187" s="28" t="inlineStr">
        <is>
          <t>Layout &amp; Spacing</t>
        </is>
      </c>
      <c r="D187" s="28" t="inlineStr">
        <is>
          <t>Major</t>
        </is>
      </c>
      <c r="E187" s="28" t="inlineStr">
        <is>
          <t>Figma: UX4G 3.0 §6: interactive targets are at least 44×44px with 8px between them. WCAG 2.5.8 AA sets an absolute floor of 24×24.  →  Live: “DWBDNC” is 147×20px. UX4G 3.0 §6 sets 44×44px as the minimum interactive size; at 147×20 it is also below the WCAG 2.5.8 AA floor of 24×24.</t>
        </is>
      </c>
      <c r="F187" s="28" t="inlineStr">
        <is>
          <t>Grow the control, or add transparent padding around it, until it measures 44×44px with 8px clear of its neighbours.</t>
        </is>
      </c>
      <c r="G187" s="28" t="n"/>
      <c r="H187" s="28" t="inlineStr">
        <is>
          <t>https://www.dosje.gov.in/resources/</t>
        </is>
      </c>
      <c r="I187" s="28" t="inlineStr">
        <is>
          <t>Open</t>
        </is>
      </c>
      <c r="J187" s="28" t="n"/>
      <c r="K187" s="28" t="n"/>
      <c r="L187" s="28" t="inlineStr">
        <is>
          <t>env: live</t>
        </is>
      </c>
      <c r="M187" s="28" t="inlineStr">
        <is>
          <t>Screen</t>
        </is>
      </c>
    </row>
    <row r="188">
      <c r="A188" s="27" t="inlineStr">
        <is>
          <t>WEB-SCREEN-194</t>
        </is>
      </c>
      <c r="B188" s="28" t="inlineStr">
        <is>
          <t>Rti · desktop</t>
        </is>
      </c>
      <c r="C188" s="28" t="inlineStr">
        <is>
          <t>Content &amp; Iconography</t>
        </is>
      </c>
      <c r="D188" s="28" t="inlineStr">
        <is>
          <t>Major</t>
        </is>
      </c>
      <c r="E188" s="28" t="inlineStr">
        <is>
          <t>Figma: The approved Figma handoff frame for this screen. Design: “suo-moto disclosure” · absent from the build  →  Live: The design frame carries “suo-moto disclosure” (14px). Nothing with that text renders on the live page.</t>
        </is>
      </c>
      <c r="F188" s="28" t="inlineStr">
        <is>
          <t>Add the content the design carries, or confirm with the design team that it was dropped deliberately.</t>
        </is>
      </c>
      <c r="G188" s="28" t="inlineStr">
        <is>
          <t>https://www.figma.com/design/Ds5qx61QsI0ZkYSrLKxo0A/MoSJE--Handoff-?node-id=3453-14221</t>
        </is>
      </c>
      <c r="H188" s="28" t="n"/>
      <c r="I188" s="28" t="inlineStr">
        <is>
          <t>Open</t>
        </is>
      </c>
      <c r="J188" s="28" t="n"/>
      <c r="K188" s="28" t="n"/>
      <c r="L188" s="28" t="inlineStr">
        <is>
          <t>env: live</t>
        </is>
      </c>
      <c r="M188" s="28" t="inlineStr">
        <is>
          <t>Screen</t>
        </is>
      </c>
    </row>
    <row r="189">
      <c r="A189" s="27" t="inlineStr">
        <is>
          <t>WEB-SCREEN-193</t>
        </is>
      </c>
      <c r="B189" s="28" t="inlineStr">
        <is>
          <t>Rti · desktop</t>
        </is>
      </c>
      <c r="C189" s="28" t="inlineStr">
        <is>
          <t>Content &amp; Iconography</t>
        </is>
      </c>
      <c r="D189" s="28" t="inlineStr">
        <is>
          <t>Major</t>
        </is>
      </c>
      <c r="E189" s="28" t="inlineStr">
        <is>
          <t>Figma: The approved Figma handoff frame for this screen. Design: “right to information act 2005” · absent from the build  →  Live: The design frame carries “right to information act 2005” (28px). Nothing with that text renders on the live page. Also measured on the 375px capture of the same page.</t>
        </is>
      </c>
      <c r="F189" s="28" t="inlineStr">
        <is>
          <t>Add the content the design carries, or confirm with the design team that it was dropped deliberately.</t>
        </is>
      </c>
      <c r="G189" s="28" t="inlineStr">
        <is>
          <t>https://www.figma.com/design/Ds5qx61QsI0ZkYSrLKxo0A/MoSJE--Handoff-?node-id=3453-14221</t>
        </is>
      </c>
      <c r="H189" s="28" t="n"/>
      <c r="I189" s="28" t="inlineStr">
        <is>
          <t>Open</t>
        </is>
      </c>
      <c r="J189" s="28" t="n"/>
      <c r="K189" s="28" t="n"/>
      <c r="L189" s="28" t="inlineStr">
        <is>
          <t>env: live</t>
        </is>
      </c>
      <c r="M189" s="28" t="inlineStr">
        <is>
          <t>Screen</t>
        </is>
      </c>
    </row>
    <row r="190">
      <c r="A190" s="27" t="inlineStr">
        <is>
          <t>WEB-SCREEN-195</t>
        </is>
      </c>
      <c r="B190" s="28" t="inlineStr">
        <is>
          <t>Rti · desktop</t>
        </is>
      </c>
      <c r="C190" s="28" t="inlineStr">
        <is>
          <t>Content &amp; Iconography</t>
        </is>
      </c>
      <c r="D190" s="28" t="inlineStr">
        <is>
          <t>Major</t>
        </is>
      </c>
      <c r="E190" s="28" t="inlineStr">
        <is>
          <t>Figma: The approved Figma handoff frame for this screen. Design: “the national commission for scheduled ca” · absent from the build  →  Live: The design frame carries “the national commission for scheduled castes (ncsc) is a constitutional body est” (16px). Nothing with that text renders on the live page. Also measured on the 375px capture of the same page.</t>
        </is>
      </c>
      <c r="F190" s="28" t="inlineStr">
        <is>
          <t>Add the content the design carries, or confirm with the design team that it was dropped deliberately.</t>
        </is>
      </c>
      <c r="G190" s="28" t="inlineStr">
        <is>
          <t>https://www.figma.com/design/Ds5qx61QsI0ZkYSrLKxo0A/MoSJE--Handoff-?node-id=3453-14221</t>
        </is>
      </c>
      <c r="H190" s="28" t="n"/>
      <c r="I190" s="28" t="inlineStr">
        <is>
          <t>Open</t>
        </is>
      </c>
      <c r="J190" s="28" t="n"/>
      <c r="K190" s="28" t="n"/>
      <c r="L190" s="28" t="inlineStr">
        <is>
          <t>env: live</t>
        </is>
      </c>
      <c r="M190" s="28" t="inlineStr">
        <is>
          <t>Screen</t>
        </is>
      </c>
    </row>
    <row r="191">
      <c r="A191" s="27" t="inlineStr">
        <is>
          <t>WEB-SCREEN-270</t>
        </is>
      </c>
      <c r="B191" s="28" t="inlineStr">
        <is>
          <t>Samavesh Admin Portals · desktop</t>
        </is>
      </c>
      <c r="C191" s="28" t="inlineStr">
        <is>
          <t>Typography</t>
        </is>
      </c>
      <c r="D191" s="28" t="inlineStr">
        <is>
          <t>Major</t>
        </is>
      </c>
      <c r="E191" s="28" t="inlineStr">
        <is>
          <t>Figma: The approved Figma handoff frame for this screen. Built 700 weight · design 500 · Built #FF671F · design #1F2428  →  Live: “smile - transgender” — weight 500 → 700; colour #1F2428 → #FF671F. Measured on 2 pages.</t>
        </is>
      </c>
      <c r="F191" s="28" t="inlineStr">
        <is>
          <t>Set the built value to the design's.</t>
        </is>
      </c>
      <c r="G191" s="28" t="inlineStr">
        <is>
          <t>https://www.figma.com/design/Ds5qx61QsI0ZkYSrLKxo0A/MoSJE--Handoff-?node-id=7298-28616</t>
        </is>
      </c>
      <c r="H191" s="28" t="n"/>
      <c r="I191" s="28" t="inlineStr">
        <is>
          <t>Open</t>
        </is>
      </c>
      <c r="J191" s="28" t="n"/>
      <c r="K191" s="28" t="n"/>
      <c r="L191" s="28" t="inlineStr">
        <is>
          <t>env: live</t>
        </is>
      </c>
      <c r="M191" s="28" t="inlineStr">
        <is>
          <t>Screen</t>
        </is>
      </c>
    </row>
    <row r="192">
      <c r="A192" s="27" t="inlineStr">
        <is>
          <t>WEB-SCREEN-271</t>
        </is>
      </c>
      <c r="B192" s="28" t="inlineStr">
        <is>
          <t>Samavesh Citizen Portals · desktop</t>
        </is>
      </c>
      <c r="C192" s="28" t="inlineStr">
        <is>
          <t>Typography</t>
        </is>
      </c>
      <c r="D192" s="28" t="inlineStr">
        <is>
          <t>Major</t>
        </is>
      </c>
      <c r="E192" s="28" t="inlineStr">
        <is>
          <t>Figma: The approved Figma handoff frame for this screen. Built 700 weight · design 500 · Built #FF671F · design #1F2428  →  Live: “smile - transgender” — weight 500 → 700; colour #1F2428 → #FF671F. Measured on 2 pages.</t>
        </is>
      </c>
      <c r="F192" s="28" t="inlineStr">
        <is>
          <t>Set the built value to the design's.</t>
        </is>
      </c>
      <c r="G192" s="28" t="inlineStr">
        <is>
          <t>https://www.figma.com/design/Ds5qx61QsI0ZkYSrLKxo0A/MoSJE--Handoff-?node-id=7116-34665</t>
        </is>
      </c>
      <c r="H192" s="28" t="n"/>
      <c r="I192" s="28" t="inlineStr">
        <is>
          <t>Open</t>
        </is>
      </c>
      <c r="J192" s="28" t="n"/>
      <c r="K192" s="28" t="n"/>
      <c r="L192" s="28" t="inlineStr">
        <is>
          <t>env: live</t>
        </is>
      </c>
      <c r="M192" s="28" t="inlineStr">
        <is>
          <t>Screen</t>
        </is>
      </c>
    </row>
    <row r="193">
      <c r="A193" s="27" t="inlineStr">
        <is>
          <t>WEB-SCREEN-009</t>
        </is>
      </c>
      <c r="B193" s="28" t="inlineStr">
        <is>
          <t>Scheme Documents  Dr Ambedkar National Merit Award Scheme  · desktop</t>
        </is>
      </c>
      <c r="C193" s="28" t="inlineStr">
        <is>
          <t>Color &amp; Token</t>
        </is>
      </c>
      <c r="D193" s="28" t="inlineStr">
        <is>
          <t>Blocker</t>
        </is>
      </c>
      <c r="E193" s="28" t="inlineStr">
        <is>
          <t>Figma: WCAG 2.2 AA (1.4.3), carried into GIGW 3.0: text needs 4.5:1 against its background, or 3:1 at 24px+ / 18.66px+ bold.  →  Live: Text “Scheme: Dr. Ambedkar National Merit Award Scheme for meritorious stud…” (p.mb-0) renders #938BB6 on #F9FAFB at 16px/400 — #938BB6 on #F9FAFB as painted on the capture: 3.04:1 against the 4.5:1 minimum. Measured on 2 pages.</t>
        </is>
      </c>
      <c r="F193" s="28" t="inlineStr">
        <is>
          <t>Darken the text or lighten its ground until the pair measures at least the required ratio, then re-check every place the pair is used.</t>
        </is>
      </c>
      <c r="G193" s="28" t="n"/>
      <c r="H193" s="28" t="inlineStr">
        <is>
          <t>https://www.dosje.gov.in/scheme-documents/dr-ambedkar-national-merit-award-scheme-for-scs-students-for-class-12th-level/</t>
        </is>
      </c>
      <c r="I193" s="28" t="inlineStr">
        <is>
          <t>Open</t>
        </is>
      </c>
      <c r="J193" s="28" t="n"/>
      <c r="K193" s="28" t="n"/>
      <c r="L193" s="28" t="inlineStr">
        <is>
          <t>env: live</t>
        </is>
      </c>
      <c r="M193" s="28" t="inlineStr">
        <is>
          <t>Screen</t>
        </is>
      </c>
    </row>
    <row r="194">
      <c r="A194" s="27" t="inlineStr">
        <is>
          <t>WEB-SCREEN-010</t>
        </is>
      </c>
      <c r="B194" s="28" t="inlineStr">
        <is>
          <t>Scheme Documents  Merger Order · desktop</t>
        </is>
      </c>
      <c r="C194" s="28" t="inlineStr">
        <is>
          <t>Color &amp; Token</t>
        </is>
      </c>
      <c r="D194" s="28" t="inlineStr">
        <is>
          <t>Blocker</t>
        </is>
      </c>
      <c r="E194" s="28" t="inlineStr">
        <is>
          <t>Figma: WCAG 2.2 AA (1.4.3), carried into GIGW 3.0: text needs 4.5:1 against its background, or 3:1 at 24px+ / 18.66px+ bold.  →  Live: Text “Scheme: Dr. Ambedkar Scheme for Social Integration through Inter-Cast…” (p.mb-0) renders #938BB6 on #F9FAFB at 16px/400 — #938BB6 on #F9FAFB as painted on the capture: 3.04:1 against the 4.5:1 minimum. Measured on 2 pages.</t>
        </is>
      </c>
      <c r="F194" s="28" t="inlineStr">
        <is>
          <t>Darken the text or lighten its ground until the pair measures at least the required ratio, then re-check every place the pair is used.</t>
        </is>
      </c>
      <c r="G194" s="28" t="n"/>
      <c r="H194" s="28" t="inlineStr">
        <is>
          <t>https://www.dosje.gov.in/scheme-documents/merger-order/</t>
        </is>
      </c>
      <c r="I194" s="28" t="inlineStr">
        <is>
          <t>Open</t>
        </is>
      </c>
      <c r="J194" s="28" t="n"/>
      <c r="K194" s="28" t="n"/>
      <c r="L194" s="28" t="inlineStr">
        <is>
          <t>env: live</t>
        </is>
      </c>
      <c r="M194" s="28" t="inlineStr">
        <is>
          <t>Screen</t>
        </is>
      </c>
    </row>
    <row r="195">
      <c r="A195" s="27" t="inlineStr">
        <is>
          <t>WEB-SCREEN-044</t>
        </is>
      </c>
      <c r="B195" s="28" t="inlineStr">
        <is>
          <t>Schemes And Services  Geriatric Caregivers Training · mobile</t>
        </is>
      </c>
      <c r="C195" s="28" t="inlineStr">
        <is>
          <t>Layout &amp; Spacing</t>
        </is>
      </c>
      <c r="D195" s="28" t="inlineStr">
        <is>
          <t>Major</t>
        </is>
      </c>
      <c r="E195" s="28" t="inlineStr">
        <is>
          <t>Figma: UX4G 3.0 §6: interactive targets are at least 44×44px with 8px between them. WCAG 2.5.8 AA sets an absolute floor of 24×24.  →  Live: “Senior Citizens Welfare(SCW)” is 203×19px. UX4G 3.0 §6 sets 44×44px as the minimum interactive size; at 203×19 it is also below the WCAG 2.5.8 AA floor of 24×24.</t>
        </is>
      </c>
      <c r="F195" s="28" t="inlineStr">
        <is>
          <t>Grow the control, or add transparent padding around it, until it measures 44×44px with 8px clear of its neighbours.</t>
        </is>
      </c>
      <c r="G195" s="28" t="n"/>
      <c r="H195" s="28" t="inlineStr">
        <is>
          <t>https://www.dosje.gov.in/schemes-and-services/geriatric-caregivers-training/</t>
        </is>
      </c>
      <c r="I195" s="28" t="inlineStr">
        <is>
          <t>Open</t>
        </is>
      </c>
      <c r="J195" s="28" t="n"/>
      <c r="K195" s="28" t="n"/>
      <c r="L195" s="28" t="inlineStr">
        <is>
          <t>env: live</t>
        </is>
      </c>
      <c r="M195" s="28" t="inlineStr">
        <is>
          <t>Screen</t>
        </is>
      </c>
    </row>
    <row r="196">
      <c r="A196" s="27" t="inlineStr">
        <is>
          <t>WEB-SCREEN-272</t>
        </is>
      </c>
      <c r="B196" s="28" t="inlineStr">
        <is>
          <t>Schemes And Services  Geriatric Caregivers Training · mobile</t>
        </is>
      </c>
      <c r="C196" s="28" t="inlineStr">
        <is>
          <t>Typography</t>
        </is>
      </c>
      <c r="D196" s="28" t="inlineStr">
        <is>
          <t>Major</t>
        </is>
      </c>
      <c r="E196" s="28" t="inlineStr">
        <is>
          <t>Figma: The approved Figma handoff frame for this screen. Built 28px · design 20px · Built 500 weight · design 600  →  Live: “about the scheme” — size 20 → 28; weight 600 → 500.</t>
        </is>
      </c>
      <c r="F196" s="28" t="inlineStr">
        <is>
          <t>Set the built value to the design's.</t>
        </is>
      </c>
      <c r="G196" s="28" t="n"/>
      <c r="H196" s="28" t="inlineStr">
        <is>
          <t>https://www.dosje.gov.in/schemes-and-services/geriatric-caregivers-training/</t>
        </is>
      </c>
      <c r="I196" s="28" t="inlineStr">
        <is>
          <t>Open</t>
        </is>
      </c>
      <c r="J196" s="28" t="n"/>
      <c r="K196" s="28" t="n"/>
      <c r="L196" s="28" t="inlineStr">
        <is>
          <t>env: live</t>
        </is>
      </c>
      <c r="M196" s="28" t="inlineStr">
        <is>
          <t>Screen</t>
        </is>
      </c>
    </row>
    <row r="197">
      <c r="A197" s="27" t="inlineStr">
        <is>
          <t>WEB-SCREEN-275</t>
        </is>
      </c>
      <c r="B197" s="28" t="inlineStr">
        <is>
          <t>Schemes And Services  Top Class Education In Colllege For Obc  · desktop</t>
        </is>
      </c>
      <c r="C197" s="28" t="inlineStr">
        <is>
          <t>Typography</t>
        </is>
      </c>
      <c r="D197" s="28" t="inlineStr">
        <is>
          <t>Major</t>
        </is>
      </c>
      <c r="E197" s="28" t="inlineStr">
        <is>
          <t>Figma: The approved Figma handoff frame for this screen. Built 400 weight · design 500 · Built #FFFFFF · design #1F2937  →  Live: “active” — weight 500 → 400; colour #1F2937 → #FFFFFF.</t>
        </is>
      </c>
      <c r="F197" s="28" t="inlineStr">
        <is>
          <t>Set the built value to the design's.</t>
        </is>
      </c>
      <c r="G197" s="28" t="inlineStr">
        <is>
          <t>https://www.figma.com/design/Ds5qx61QsI0ZkYSrLKxo0A/MoSJE--Handoff-?node-id=3453-11885</t>
        </is>
      </c>
      <c r="H197" s="28" t="n"/>
      <c r="I197" s="28" t="inlineStr">
        <is>
          <t>Open</t>
        </is>
      </c>
      <c r="J197" s="28" t="n"/>
      <c r="K197" s="28" t="n"/>
      <c r="L197" s="28" t="inlineStr">
        <is>
          <t>env: live</t>
        </is>
      </c>
      <c r="M197" s="28" t="inlineStr">
        <is>
          <t>Screen</t>
        </is>
      </c>
    </row>
    <row r="198">
      <c r="A198" s="27" t="inlineStr">
        <is>
          <t>WEB-SCREEN-281</t>
        </is>
      </c>
      <c r="B198" s="28" t="inlineStr">
        <is>
          <t>Schemes And Services  Top Class Education In Colllege For Obc  · desktop</t>
        </is>
      </c>
      <c r="C198" s="28" t="inlineStr">
        <is>
          <t>Typography</t>
        </is>
      </c>
      <c r="D198" s="28" t="inlineStr">
        <is>
          <t>Minor</t>
        </is>
      </c>
      <c r="E198" s="28" t="inlineStr">
        <is>
          <t>Figma: The approved Figma handoff frame for this screen. Built 400 weight · design 500  →  Live: “scheme” — weight 500 → 400.</t>
        </is>
      </c>
      <c r="F198" s="28" t="inlineStr">
        <is>
          <t>Set the built value to the design's.</t>
        </is>
      </c>
      <c r="G198" s="28" t="inlineStr">
        <is>
          <t>https://www.figma.com/design/Ds5qx61QsI0ZkYSrLKxo0A/MoSJE--Handoff-?node-id=3453-11885</t>
        </is>
      </c>
      <c r="H198" s="28" t="n"/>
      <c r="I198" s="28" t="inlineStr">
        <is>
          <t>Open</t>
        </is>
      </c>
      <c r="J198" s="28" t="n"/>
      <c r="K198" s="28" t="n"/>
      <c r="L198" s="28" t="inlineStr">
        <is>
          <t>env: live</t>
        </is>
      </c>
      <c r="M198" s="28" t="inlineStr">
        <is>
          <t>Screen</t>
        </is>
      </c>
    </row>
    <row r="199">
      <c r="A199" s="27" t="inlineStr">
        <is>
          <t>WEB-SCREEN-274</t>
        </is>
      </c>
      <c r="B199" s="28" t="inlineStr">
        <is>
          <t>Schemes And Services  Top Class Education In Colllege For Obc  · mobile</t>
        </is>
      </c>
      <c r="C199" s="28" t="inlineStr">
        <is>
          <t>Typography</t>
        </is>
      </c>
      <c r="D199" s="28" t="inlineStr">
        <is>
          <t>Major</t>
        </is>
      </c>
      <c r="E199" s="28" t="inlineStr">
        <is>
          <t>Figma: The approved Figma handoff frame for this screen. Built 400 weight · design 500 · Built #FFFFFF · design #1F2428  →  Live: “active” — weight 500 → 400; colour #1F2428 → #FFFFFF.</t>
        </is>
      </c>
      <c r="F199" s="28" t="inlineStr">
        <is>
          <t>Set the built value to the design's.</t>
        </is>
      </c>
      <c r="G199" s="28" t="inlineStr">
        <is>
          <t>https://www.figma.com/design/Ds5qx61QsI0ZkYSrLKxo0A/MoSJE--Handoff-?node-id=4571-105399</t>
        </is>
      </c>
      <c r="H199" s="28" t="n"/>
      <c r="I199" s="28" t="inlineStr">
        <is>
          <t>Open</t>
        </is>
      </c>
      <c r="J199" s="28" t="n"/>
      <c r="K199" s="28" t="n"/>
      <c r="L199" s="28" t="inlineStr">
        <is>
          <t>env: live</t>
        </is>
      </c>
      <c r="M199" s="28" t="inlineStr">
        <is>
          <t>Screen</t>
        </is>
      </c>
    </row>
    <row r="200">
      <c r="A200" s="27" t="inlineStr">
        <is>
          <t>WEB-SCREEN-276</t>
        </is>
      </c>
      <c r="B200" s="28" t="inlineStr">
        <is>
          <t>Schemes And Services  Top Class Education In Colllege For Obc  · mobile</t>
        </is>
      </c>
      <c r="C200" s="28" t="inlineStr">
        <is>
          <t>Typography</t>
        </is>
      </c>
      <c r="D200" s="28" t="inlineStr">
        <is>
          <t>Major</t>
        </is>
      </c>
      <c r="E200" s="28" t="inlineStr">
        <is>
          <t>Figma: The approved Figma handoff frame for this screen. Built 400 weight · design 500 · Built #374151 · design #343A40  →  Live: “archived” — weight 500 → 400; colour #343A40 → #374151.</t>
        </is>
      </c>
      <c r="F200" s="28" t="inlineStr">
        <is>
          <t>Set the built value to the design's.</t>
        </is>
      </c>
      <c r="G200" s="28" t="inlineStr">
        <is>
          <t>https://www.figma.com/design/Ds5qx61QsI0ZkYSrLKxo0A/MoSJE--Handoff-?node-id=4571-105399</t>
        </is>
      </c>
      <c r="H200" s="28" t="n"/>
      <c r="I200" s="28" t="inlineStr">
        <is>
          <t>Open</t>
        </is>
      </c>
      <c r="J200" s="28" t="n"/>
      <c r="K200" s="28" t="n"/>
      <c r="L200" s="28" t="inlineStr">
        <is>
          <t>env: live</t>
        </is>
      </c>
      <c r="M200" s="28" t="inlineStr">
        <is>
          <t>Screen</t>
        </is>
      </c>
    </row>
    <row r="201">
      <c r="A201" s="27" t="inlineStr">
        <is>
          <t>WEB-SCREEN-273</t>
        </is>
      </c>
      <c r="B201" s="28" t="inlineStr">
        <is>
          <t>Schemes And Services  Top Class Education In Colllege For Obc  · mobile</t>
        </is>
      </c>
      <c r="C201" s="28" t="inlineStr">
        <is>
          <t>Typography</t>
        </is>
      </c>
      <c r="D201" s="28" t="inlineStr">
        <is>
          <t>Major</t>
        </is>
      </c>
      <c r="E201" s="28" t="inlineStr">
        <is>
          <t>Figma: The approved Figma handoff frame for this screen. Built 14px · design 12px · Built 500 weight · design 400 · Built #1F2937 · design #343A40  →  Live: “start publish date” — size 12 → 14; weight 400 → 500; colour #343A40 → #1F2937.</t>
        </is>
      </c>
      <c r="F201" s="28" t="inlineStr">
        <is>
          <t>Set the built value to the design's.</t>
        </is>
      </c>
      <c r="G201" s="28" t="inlineStr">
        <is>
          <t>https://www.figma.com/design/Ds5qx61QsI0ZkYSrLKxo0A/MoSJE--Handoff-?node-id=4571-105399</t>
        </is>
      </c>
      <c r="H201" s="28" t="n"/>
      <c r="I201" s="28" t="inlineStr">
        <is>
          <t>Open</t>
        </is>
      </c>
      <c r="J201" s="28" t="n"/>
      <c r="K201" s="28" t="n"/>
      <c r="L201" s="28" t="inlineStr">
        <is>
          <t>env: live</t>
        </is>
      </c>
      <c r="M201" s="28" t="inlineStr">
        <is>
          <t>Screen</t>
        </is>
      </c>
    </row>
    <row r="202">
      <c r="A202" s="27" t="inlineStr">
        <is>
          <t>WEB-SCREEN-204</t>
        </is>
      </c>
      <c r="B202" s="28" t="inlineStr">
        <is>
          <t>Schemes Services · desktop</t>
        </is>
      </c>
      <c r="C202" s="28" t="inlineStr">
        <is>
          <t>Content &amp; Iconography</t>
        </is>
      </c>
      <c r="D202" s="28" t="inlineStr">
        <is>
          <t>Major</t>
        </is>
      </c>
      <c r="E202" s="28" t="inlineStr">
        <is>
          <t>Figma: The approved Figma handoff frame for this screen. Design: “schemes and services” · absent from the build  →  Live: The design frame carries “schemes and services” (14px). Nothing with that text renders on the live page. Also measured on the 375px capture of the same page.</t>
        </is>
      </c>
      <c r="F202" s="28" t="inlineStr">
        <is>
          <t>Add the content the design carries, or confirm with the design team that it was dropped deliberately.</t>
        </is>
      </c>
      <c r="G202" s="28" t="inlineStr">
        <is>
          <t>https://www.figma.com/design/Ds5qx61QsI0ZkYSrLKxo0A/MoSJE--Handoff-?node-id=3453-12250</t>
        </is>
      </c>
      <c r="H202" s="28" t="n"/>
      <c r="I202" s="28" t="inlineStr">
        <is>
          <t>Open</t>
        </is>
      </c>
      <c r="J202" s="28" t="n"/>
      <c r="K202" s="28" t="n"/>
      <c r="L202" s="28" t="inlineStr">
        <is>
          <t>env: live</t>
        </is>
      </c>
      <c r="M202" s="28" t="inlineStr">
        <is>
          <t>Screen</t>
        </is>
      </c>
    </row>
    <row r="203">
      <c r="A203" s="27" t="inlineStr">
        <is>
          <t>WEB-SCREEN-199</t>
        </is>
      </c>
      <c r="B203" s="28" t="inlineStr">
        <is>
          <t>Schemes Services · desktop</t>
        </is>
      </c>
      <c r="C203" s="28" t="inlineStr">
        <is>
          <t>Content &amp; Iconography</t>
        </is>
      </c>
      <c r="D203" s="28" t="inlineStr">
        <is>
          <t>Major</t>
        </is>
      </c>
      <c r="E203" s="28" t="inlineStr">
        <is>
          <t>Figma: The approved Figma handoff frame for this screen. Design: “explore welfare schemes, social empowerm” · absent from the build  →  Live: The design frame carries “explore welfare schemes, social empowerment programs, and citizen services offer” (16px). Nothing with that text renders on the live page. Also measured on the 375px capture of the same page.</t>
        </is>
      </c>
      <c r="F203" s="28" t="inlineStr">
        <is>
          <t>Add the content the design carries, or confirm with the design team that it was dropped deliberately.</t>
        </is>
      </c>
      <c r="G203" s="28" t="inlineStr">
        <is>
          <t>https://www.figma.com/design/Ds5qx61QsI0ZkYSrLKxo0A/MoSJE--Handoff-?node-id=3453-12250</t>
        </is>
      </c>
      <c r="H203" s="28" t="n"/>
      <c r="I203" s="28" t="inlineStr">
        <is>
          <t>Open</t>
        </is>
      </c>
      <c r="J203" s="28" t="n"/>
      <c r="K203" s="28" t="n"/>
      <c r="L203" s="28" t="inlineStr">
        <is>
          <t>env: live</t>
        </is>
      </c>
      <c r="M203" s="28" t="inlineStr">
        <is>
          <t>Screen</t>
        </is>
      </c>
    </row>
    <row r="204">
      <c r="A204" s="27" t="inlineStr">
        <is>
          <t>WEB-SCREEN-205</t>
        </is>
      </c>
      <c r="B204" s="28" t="inlineStr">
        <is>
          <t>Schemes Services · desktop</t>
        </is>
      </c>
      <c r="C204" s="28" t="inlineStr">
        <is>
          <t>Content &amp; Iconography</t>
        </is>
      </c>
      <c r="D204" s="28" t="inlineStr">
        <is>
          <t>Major</t>
        </is>
      </c>
      <c r="E204" s="28" t="inlineStr">
        <is>
          <t>Figma: The approved Figma handoff frame for this screen. Design: “search by scheme name or keyword” · absent from the build  →  Live: The design frame carries “search by scheme name or keyword” (16px). Nothing with that text renders on the live page. Measured on 2 pages. Also measured on the 375px capture of the same page.</t>
        </is>
      </c>
      <c r="F204" s="28" t="inlineStr">
        <is>
          <t>Add the content the design carries, or confirm with the design team that it was dropped deliberately.</t>
        </is>
      </c>
      <c r="G204" s="28" t="inlineStr">
        <is>
          <t>https://www.figma.com/design/Ds5qx61QsI0ZkYSrLKxo0A/MoSJE--Handoff-?node-id=3453-12250</t>
        </is>
      </c>
      <c r="H204" s="28" t="n"/>
      <c r="I204" s="28" t="inlineStr">
        <is>
          <t>Open</t>
        </is>
      </c>
      <c r="J204" s="28" t="n"/>
      <c r="K204" s="28" t="n"/>
      <c r="L204" s="28" t="inlineStr">
        <is>
          <t>env: live</t>
        </is>
      </c>
      <c r="M204" s="28" t="inlineStr">
        <is>
          <t>Screen</t>
        </is>
      </c>
    </row>
    <row r="205">
      <c r="A205" s="27" t="inlineStr">
        <is>
          <t>WEB-SCREEN-207</t>
        </is>
      </c>
      <c r="B205" s="28" t="inlineStr">
        <is>
          <t>Schemes Services · desktop</t>
        </is>
      </c>
      <c r="C205" s="28" t="inlineStr">
        <is>
          <t>Content &amp; Iconography</t>
        </is>
      </c>
      <c r="D205" s="28" t="inlineStr">
        <is>
          <t>Major</t>
        </is>
      </c>
      <c r="E205" s="28" t="inlineStr">
        <is>
          <t>Figma: The approved Figma handoff frame for this screen. Design: “smile - support for marginalised individ” · absent from the build  →  Live: The design frame carries “smile - support for marginalised individuals for livelihood &amp; enterprise” (16px). Nothing with that text renders on the live page. Measured on 2 pages. Also measured on the 375px capture of the same page.</t>
        </is>
      </c>
      <c r="F205" s="28" t="inlineStr">
        <is>
          <t>Add the content the design carries, or confirm with the design team that it was dropped deliberately.</t>
        </is>
      </c>
      <c r="G205" s="28" t="inlineStr">
        <is>
          <t>https://www.figma.com/design/Ds5qx61QsI0ZkYSrLKxo0A/MoSJE--Handoff-?node-id=3453-12250</t>
        </is>
      </c>
      <c r="H205" s="28" t="n"/>
      <c r="I205" s="28" t="inlineStr">
        <is>
          <t>Open</t>
        </is>
      </c>
      <c r="J205" s="28" t="n"/>
      <c r="K205" s="28" t="n"/>
      <c r="L205" s="28" t="inlineStr">
        <is>
          <t>env: live</t>
        </is>
      </c>
      <c r="M205" s="28" t="inlineStr">
        <is>
          <t>Screen</t>
        </is>
      </c>
    </row>
    <row r="206">
      <c r="A206" s="27" t="inlineStr">
        <is>
          <t>WEB-SCREEN-200</t>
        </is>
      </c>
      <c r="B206" s="28" t="inlineStr">
        <is>
          <t>Schemes Services · desktop</t>
        </is>
      </c>
      <c r="C206" s="28" t="inlineStr">
        <is>
          <t>Content &amp; Iconography</t>
        </is>
      </c>
      <c r="D206" s="28" t="inlineStr">
        <is>
          <t>Major</t>
        </is>
      </c>
      <c r="E206" s="28" t="inlineStr">
        <is>
          <t>Figma: The approved Figma handoff frame for this screen. Design: “integrated rehabilitation, skills traini” · absent from the build  →  Live: The design frame carries “integrated rehabilitation, skills training and livelihood support for marginalis” (14px). Nothing with that text renders on the live page. Measured on 2 pages. Also measured on the 375px capture of the same page.</t>
        </is>
      </c>
      <c r="F206" s="28" t="inlineStr">
        <is>
          <t>Add the content the design carries, or confirm with the design team that it was dropped deliberately.</t>
        </is>
      </c>
      <c r="G206" s="28" t="inlineStr">
        <is>
          <t>https://www.figma.com/design/Ds5qx61QsI0ZkYSrLKxo0A/MoSJE--Handoff-?node-id=3453-12250</t>
        </is>
      </c>
      <c r="H206" s="28" t="n"/>
      <c r="I206" s="28" t="inlineStr">
        <is>
          <t>Open</t>
        </is>
      </c>
      <c r="J206" s="28" t="n"/>
      <c r="K206" s="28" t="n"/>
      <c r="L206" s="28" t="inlineStr">
        <is>
          <t>env: live</t>
        </is>
      </c>
      <c r="M206" s="28" t="inlineStr">
        <is>
          <t>Screen</t>
        </is>
      </c>
    </row>
    <row r="207">
      <c r="A207" s="27" t="inlineStr">
        <is>
          <t>WEB-SCREEN-203</t>
        </is>
      </c>
      <c r="B207" s="28" t="inlineStr">
        <is>
          <t>Schemes Services · desktop</t>
        </is>
      </c>
      <c r="C207" s="28" t="inlineStr">
        <is>
          <t>Content &amp; Iconography</t>
        </is>
      </c>
      <c r="D207" s="28" t="inlineStr">
        <is>
          <t>Major</t>
        </is>
      </c>
      <c r="E207" s="28" t="inlineStr">
        <is>
          <t>Figma: The approved Figma handoff frame for this screen. Design: “scheme for economic empowerment of dnts ” · absent from the build  →  Live: The design frame carries “scheme for economic empowerment of dnts (seed)” (16px). Nothing with that text renders on the live page. Also measured on the 375px capture of the same page.</t>
        </is>
      </c>
      <c r="F207" s="28" t="inlineStr">
        <is>
          <t>Add the content the design carries, or confirm with the design team that it was dropped deliberately.</t>
        </is>
      </c>
      <c r="G207" s="28" t="inlineStr">
        <is>
          <t>https://www.figma.com/design/Ds5qx61QsI0ZkYSrLKxo0A/MoSJE--Handoff-?node-id=3453-12250</t>
        </is>
      </c>
      <c r="H207" s="28" t="n"/>
      <c r="I207" s="28" t="inlineStr">
        <is>
          <t>Open</t>
        </is>
      </c>
      <c r="J207" s="28" t="n"/>
      <c r="K207" s="28" t="n"/>
      <c r="L207" s="28" t="inlineStr">
        <is>
          <t>env: live</t>
        </is>
      </c>
      <c r="M207" s="28" t="inlineStr">
        <is>
          <t>Screen</t>
        </is>
      </c>
    </row>
    <row r="208">
      <c r="A208" s="27" t="inlineStr">
        <is>
          <t>WEB-SCREEN-209</t>
        </is>
      </c>
      <c r="B208" s="28" t="inlineStr">
        <is>
          <t>Schemes Services · mobile</t>
        </is>
      </c>
      <c r="C208" s="28" t="inlineStr">
        <is>
          <t>Content &amp; Iconography</t>
        </is>
      </c>
      <c r="D208" s="28" t="inlineStr">
        <is>
          <t>Major</t>
        </is>
      </c>
      <c r="E208" s="28" t="inlineStr">
        <is>
          <t>Figma: The approved Figma handoff frame for this screen. Design: “venture capital fund for scs &amp; obcs” · absent from the build  →  Live: The design frame carries “venture capital fund for scs &amp; obcs” (16px). Nothing with that text renders on the live page. Measured on 2 pages.</t>
        </is>
      </c>
      <c r="F208" s="28" t="inlineStr">
        <is>
          <t>Add the content the design carries, or confirm with the design team that it was dropped deliberately.</t>
        </is>
      </c>
      <c r="G208" s="28" t="inlineStr">
        <is>
          <t>https://www.figma.com/design/Ds5qx61QsI0ZkYSrLKxo0A/MoSJE--Handoff-?node-id=4571-105022</t>
        </is>
      </c>
      <c r="H208" s="28" t="n"/>
      <c r="I208" s="28" t="inlineStr">
        <is>
          <t>Open</t>
        </is>
      </c>
      <c r="J208" s="28" t="n"/>
      <c r="K208" s="28" t="n"/>
      <c r="L208" s="28" t="inlineStr">
        <is>
          <t>env: live</t>
        </is>
      </c>
      <c r="M208" s="28" t="inlineStr">
        <is>
          <t>Screen</t>
        </is>
      </c>
    </row>
    <row r="209">
      <c r="A209" s="27" t="inlineStr">
        <is>
          <t>WEB-SCREEN-277</t>
        </is>
      </c>
      <c r="B209" s="28" t="inlineStr">
        <is>
          <t>Sitemap · desktop</t>
        </is>
      </c>
      <c r="C209" s="28" t="inlineStr">
        <is>
          <t>Typography</t>
        </is>
      </c>
      <c r="D209" s="28" t="inlineStr">
        <is>
          <t>Major</t>
        </is>
      </c>
      <c r="E209" s="28" t="inlineStr">
        <is>
          <t>Figma: The approved Figma handoff frame for this screen. Built 14px · design 16px · Built #0373DF · design #014B92  →  Live: “dashboard” — size 16 → 14; colour #014B92 → #0373DF.</t>
        </is>
      </c>
      <c r="F209" s="28" t="inlineStr">
        <is>
          <t>Set the built value to the design's.</t>
        </is>
      </c>
      <c r="G209" s="28" t="inlineStr">
        <is>
          <t>https://www.figma.com/design/Ds5qx61QsI0ZkYSrLKxo0A/MoSJE--Handoff-?node-id=5243-134590</t>
        </is>
      </c>
      <c r="H209" s="28" t="n"/>
      <c r="I209" s="28" t="inlineStr">
        <is>
          <t>Open</t>
        </is>
      </c>
      <c r="J209" s="28" t="n"/>
      <c r="K209" s="28" t="n"/>
      <c r="L209" s="28" t="inlineStr">
        <is>
          <t>env: live</t>
        </is>
      </c>
      <c r="M209" s="28" t="inlineStr">
        <is>
          <t>Screen</t>
        </is>
      </c>
    </row>
    <row r="210">
      <c r="A210" s="27" t="inlineStr">
        <is>
          <t>WEB-SCREEN-286</t>
        </is>
      </c>
      <c r="B210" s="28" t="inlineStr">
        <is>
          <t>State · Accessibility Panel Open · desktop</t>
        </is>
      </c>
      <c r="C210" s="28" t="inlineStr">
        <is>
          <t>Accessibility</t>
        </is>
      </c>
      <c r="D210" s="28" t="inlineStr">
        <is>
          <t>Major</t>
        </is>
      </c>
      <c r="E210" s="28" t="inlineStr">
        <is>
          <t>Figma: GIGW 3.0 mandates WCAG 2.2 AA conformance; axe-core tests a subset of it programmatically.  →  Live: Interactive controls must not be nested — &lt;button aria-label="Light Dark Theme" aria-pressed="false" tabindex="9" id="dark-btn" class="uwaw-features__item__i"&gt; (nested-interactive, wcag2a, wcag412).</t>
        </is>
      </c>
      <c r="F210" s="28" t="inlineStr">
        <is>
          <t>Correct the markup the rule names; the rule's help page states the accepted fixes.</t>
        </is>
      </c>
      <c r="G210" s="28" t="n"/>
      <c r="H210" s="28" t="inlineStr">
        <is>
          <t>https://www.dosje.gov.in/</t>
        </is>
      </c>
      <c r="I210" s="28" t="inlineStr">
        <is>
          <t>Open</t>
        </is>
      </c>
      <c r="J210" s="28" t="n"/>
      <c r="K210" s="28" t="n"/>
      <c r="L210" s="28" t="inlineStr">
        <is>
          <t>env: live</t>
        </is>
      </c>
      <c r="M210" s="28" t="inlineStr">
        <is>
          <t>Screen</t>
        </is>
      </c>
    </row>
    <row r="211">
      <c r="A211" s="27" t="inlineStr">
        <is>
          <t>WEB-SCREEN-287</t>
        </is>
      </c>
      <c r="B211" s="28" t="inlineStr">
        <is>
          <t>State · Accessibility Panel Open · desktop</t>
        </is>
      </c>
      <c r="C211" s="28" t="inlineStr">
        <is>
          <t>Accessibility</t>
        </is>
      </c>
      <c r="D211" s="28" t="inlineStr">
        <is>
          <t>Major</t>
        </is>
      </c>
      <c r="E211" s="28" t="inlineStr">
        <is>
          <t>Figma: GIGW 3.0 mandates WCAG 2.2 AA conformance; axe-core tests a subset of it programmatically.  →  Live: Elements should not have tabindex greater than zero — &lt;button type="button" aria-label="Close main navigation panel" class="uwaw-close" tabindex="1"&gt;&lt;/button&gt; (tabindex, ).</t>
        </is>
      </c>
      <c r="F211" s="28" t="inlineStr">
        <is>
          <t>Correct the markup the rule names; the rule's help page states the accepted fixes.</t>
        </is>
      </c>
      <c r="G211" s="28" t="n"/>
      <c r="H211" s="28" t="inlineStr">
        <is>
          <t>https://www.dosje.gov.in/</t>
        </is>
      </c>
      <c r="I211" s="28" t="inlineStr">
        <is>
          <t>Open</t>
        </is>
      </c>
      <c r="J211" s="28" t="n"/>
      <c r="K211" s="28" t="n"/>
      <c r="L211" s="28" t="inlineStr">
        <is>
          <t>env: live</t>
        </is>
      </c>
      <c r="M211" s="28" t="inlineStr">
        <is>
          <t>Screen</t>
        </is>
      </c>
    </row>
    <row r="212">
      <c r="A212" s="27" t="inlineStr">
        <is>
          <t>WEB-SCREEN-291</t>
        </is>
      </c>
      <c r="B212" s="28" t="inlineStr">
        <is>
          <t>State · Accessibility Panel Open · desktop</t>
        </is>
      </c>
      <c r="C212" s="28" t="inlineStr">
        <is>
          <t>Typography</t>
        </is>
      </c>
      <c r="D212" s="28" t="inlineStr">
        <is>
          <t>Minor</t>
        </is>
      </c>
      <c r="E212" s="28" t="inlineStr">
        <is>
          <t>Figma: UX4G 3.0 §2.3: font sizes come from the published type scale (12/14/16/18/20/24/28/32/36/40/52/60), and Body/XS 12px is the minimum.  →  Live: 14 element(s) render at 13px, which is not on the UX4G type scale (12/14/16/18/20/24/28/32/36/40/52/60). Measured on 2 pages.</t>
        </is>
      </c>
      <c r="F212" s="28" t="inlineStr">
        <is>
          <t>Move the size to the nearest step on the UX4G scale, and never below 12px.</t>
        </is>
      </c>
      <c r="G212" s="28" t="n"/>
      <c r="H212" s="28" t="inlineStr">
        <is>
          <t>https://www.dosje.gov.in/</t>
        </is>
      </c>
      <c r="I212" s="28" t="inlineStr">
        <is>
          <t>Open</t>
        </is>
      </c>
      <c r="J212" s="28" t="n"/>
      <c r="K212" s="28" t="n"/>
      <c r="L212" s="28" t="inlineStr">
        <is>
          <t>env: live</t>
        </is>
      </c>
      <c r="M212" s="28" t="inlineStr">
        <is>
          <t>Screen</t>
        </is>
      </c>
    </row>
    <row r="213">
      <c r="A213" s="27" t="inlineStr">
        <is>
          <t>WEB-SCREEN-315</t>
        </is>
      </c>
      <c r="B213" s="28" t="inlineStr">
        <is>
          <t>State · Gallery Card Opens · desktop</t>
        </is>
      </c>
      <c r="C213" s="28" t="inlineStr">
        <is>
          <t>Accessibility</t>
        </is>
      </c>
      <c r="D213" s="28" t="inlineStr">
        <is>
          <t>Major</t>
        </is>
      </c>
      <c r="E213" s="28" t="inlineStr">
        <is>
          <t>Figma: GIGW 3.0 mandates WCAG 2.2 AA conformance; axe-core tests a subset of it programmatically.  →  Live: &lt;svg&gt; elements with an img role must have an alternative text — &lt;svg viewBox="0 0 24 24" role="img" tabindex="-1" xmlns="http://www.w3.org/2000/svg"&gt;&lt;circle cx="10" cy="10" r="7"&gt;&lt;/circle&gt;&lt;path d="M16 16 L21 21"&gt;&lt;/path&gt;&lt;/svg (svg-img-alt, wcag2a, wcag111). Measured on 2 pages.</t>
        </is>
      </c>
      <c r="F213" s="28" t="inlineStr">
        <is>
          <t>Correct the markup the rule names; the rule's help page states the accepted fixes.</t>
        </is>
      </c>
      <c r="G213" s="28" t="n"/>
      <c r="H213" s="28" t="inlineStr">
        <is>
          <t>https://www.dosje.gov.in/gallery/</t>
        </is>
      </c>
      <c r="I213" s="28" t="inlineStr">
        <is>
          <t>Open</t>
        </is>
      </c>
      <c r="J213" s="28" t="n"/>
      <c r="K213" s="28" t="n"/>
      <c r="L213" s="28" t="inlineStr">
        <is>
          <t>env: live</t>
        </is>
      </c>
      <c r="M213" s="28" t="inlineStr">
        <is>
          <t>Screen</t>
        </is>
      </c>
    </row>
    <row r="214">
      <c r="A214" s="27" t="inlineStr">
        <is>
          <t>WEB-SCREEN-016</t>
        </is>
      </c>
      <c r="B214" s="28" t="inlineStr">
        <is>
          <t>State · Gallery Lightbox · desktop</t>
        </is>
      </c>
      <c r="C214" s="28" t="inlineStr">
        <is>
          <t>Accessibility</t>
        </is>
      </c>
      <c r="D214" s="28" t="inlineStr">
        <is>
          <t>Major</t>
        </is>
      </c>
      <c r="E214" s="28" t="inlineStr">
        <is>
          <t>Figma: GIGW 3.0 mandates WCAG 2.2 AA conformance; axe-core tests a subset of it programmatically.  →  Live: &lt;svg&gt; elements with an img role must have an alternative text — &lt;svg viewBox="0 0 24 24" role="img" tabindex="-1" xmlns="http://www.w3.org/2000/svg"&gt;&lt;circle cx="10" cy="10" r="7"&gt;&lt;/circle&gt;&lt;path d="M16 16 L21 21"&gt;&lt;/path&gt;&lt;/svg (svg-img-alt, wcag2a, wcag111). Measured on 2 pages.</t>
        </is>
      </c>
      <c r="F214" s="28" t="inlineStr">
        <is>
          <t>Correct the markup the rule names; the rule's help page states the accepted fixes.</t>
        </is>
      </c>
      <c r="G214" s="28" t="n"/>
      <c r="H214" s="28" t="inlineStr">
        <is>
          <t>https://www.dosje.gov.in/gallery/</t>
        </is>
      </c>
      <c r="I214" s="28" t="inlineStr">
        <is>
          <t>Open</t>
        </is>
      </c>
      <c r="J214" s="28" t="n"/>
      <c r="K214" s="28" t="n"/>
      <c r="L214" s="28" t="inlineStr">
        <is>
          <t>env: live</t>
        </is>
      </c>
      <c r="M214" s="28" t="inlineStr">
        <is>
          <t>Screen</t>
        </is>
      </c>
    </row>
    <row r="215">
      <c r="A215" s="27" t="inlineStr">
        <is>
          <t>WEB-SCREEN-048</t>
        </is>
      </c>
      <c r="B215" s="28" t="inlineStr">
        <is>
          <t>State · Home 320 · mobile320</t>
        </is>
      </c>
      <c r="C215" s="28" t="inlineStr">
        <is>
          <t>Layout &amp; Spacing</t>
        </is>
      </c>
      <c r="D215" s="28" t="inlineStr">
        <is>
          <t>Major</t>
        </is>
      </c>
      <c r="E215" s="28" t="inlineStr">
        <is>
          <t>Figma: UX4G 3.0 §6: interactive targets are at least 44×44px with 8px between them. WCAG 2.5.8 AA sets an absolute floor of 24×24.  →  Live: “Go to slide 1” is 40×12px. UX4G 3.0 §6 sets 44×44px as the minimum interactive size; at 40×12 it is also below the WCAG 2.5.8 AA floor of 24×24. Measured on 2 pages.</t>
        </is>
      </c>
      <c r="F215" s="28" t="inlineStr">
        <is>
          <t>Grow the control, or add transparent padding around it, until it measures 44×44px with 8px clear of its neighbours.</t>
        </is>
      </c>
      <c r="G215" s="28" t="n"/>
      <c r="H215" s="28" t="inlineStr">
        <is>
          <t>https://www.dosje.gov.in/</t>
        </is>
      </c>
      <c r="I215" s="28" t="inlineStr">
        <is>
          <t>Open</t>
        </is>
      </c>
      <c r="J215" s="28" t="n"/>
      <c r="K215" s="28" t="n"/>
      <c r="L215" s="28" t="inlineStr">
        <is>
          <t>env: live</t>
        </is>
      </c>
      <c r="M215" s="28" t="inlineStr">
        <is>
          <t>Screen</t>
        </is>
      </c>
    </row>
    <row r="216">
      <c r="A216" s="27" t="inlineStr">
        <is>
          <t>WEB-SCREEN-045</t>
        </is>
      </c>
      <c r="B216" s="28" t="inlineStr">
        <is>
          <t>State · Home 320 · mobile320</t>
        </is>
      </c>
      <c r="C216" s="28" t="inlineStr">
        <is>
          <t>Layout &amp; Spacing</t>
        </is>
      </c>
      <c r="D216" s="28" t="inlineStr">
        <is>
          <t>Major</t>
        </is>
      </c>
      <c r="E216" s="28" t="inlineStr">
        <is>
          <t>Figma: UX4G 3.0 §6: interactive targets are at least 44×44px with 8px between them. WCAG 2.5.8 AA sets an absolute floor of 24×24.  →  Live: “Go to slide 2” is 12×12px. UX4G 3.0 §6 sets 44×44px as the minimum interactive size; at 12×12 it is also below the WCAG 2.5.8 AA floor of 24×24. Measured on 2 pages.</t>
        </is>
      </c>
      <c r="F216" s="28" t="inlineStr">
        <is>
          <t>Grow the control, or add transparent padding around it, until it measures 44×44px with 8px clear of its neighbours.</t>
        </is>
      </c>
      <c r="G216" s="28" t="n"/>
      <c r="H216" s="28" t="inlineStr">
        <is>
          <t>https://www.dosje.gov.in/</t>
        </is>
      </c>
      <c r="I216" s="28" t="inlineStr">
        <is>
          <t>Open</t>
        </is>
      </c>
      <c r="J216" s="28" t="n"/>
      <c r="K216" s="28" t="n"/>
      <c r="L216" s="28" t="inlineStr">
        <is>
          <t>env: live</t>
        </is>
      </c>
      <c r="M216" s="28" t="inlineStr">
        <is>
          <t>Screen</t>
        </is>
      </c>
    </row>
    <row r="217">
      <c r="A217" s="27" t="inlineStr">
        <is>
          <t>WEB-SCREEN-046</t>
        </is>
      </c>
      <c r="B217" s="28" t="inlineStr">
        <is>
          <t>State · Home 320 · mobile320</t>
        </is>
      </c>
      <c r="C217" s="28" t="inlineStr">
        <is>
          <t>Layout &amp; Spacing</t>
        </is>
      </c>
      <c r="D217" s="28" t="inlineStr">
        <is>
          <t>Major</t>
        </is>
      </c>
      <c r="E217" s="28" t="inlineStr">
        <is>
          <t>Figma: UX4G 3.0 §6: interactive targets are at least 44×44px with 8px between them. WCAG 2.5.8 AA sets an absolute floor of 24×24.  →  Live: “Go to slide 3” is 12×12px. UX4G 3.0 §6 sets 44×44px as the minimum interactive size; at 12×12 it is also below the WCAG 2.5.8 AA floor of 24×24. Measured on 2 pages.</t>
        </is>
      </c>
      <c r="F217" s="28" t="inlineStr">
        <is>
          <t>Grow the control, or add transparent padding around it, until it measures 44×44px with 8px clear of its neighbours.</t>
        </is>
      </c>
      <c r="G217" s="28" t="n"/>
      <c r="H217" s="28" t="inlineStr">
        <is>
          <t>https://www.dosje.gov.in/</t>
        </is>
      </c>
      <c r="I217" s="28" t="inlineStr">
        <is>
          <t>Open</t>
        </is>
      </c>
      <c r="J217" s="28" t="n"/>
      <c r="K217" s="28" t="n"/>
      <c r="L217" s="28" t="inlineStr">
        <is>
          <t>env: live</t>
        </is>
      </c>
      <c r="M217" s="28" t="inlineStr">
        <is>
          <t>Screen</t>
        </is>
      </c>
    </row>
    <row r="218">
      <c r="A218" s="27" t="inlineStr">
        <is>
          <t>WEB-SCREEN-047</t>
        </is>
      </c>
      <c r="B218" s="28" t="inlineStr">
        <is>
          <t>State · Home 320 · mobile320</t>
        </is>
      </c>
      <c r="C218" s="28" t="inlineStr">
        <is>
          <t>Layout &amp; Spacing</t>
        </is>
      </c>
      <c r="D218" s="28" t="inlineStr">
        <is>
          <t>Major</t>
        </is>
      </c>
      <c r="E218" s="28" t="inlineStr">
        <is>
          <t>Figma: UX4G 3.0 §6: interactive targets are at least 44×44px with 8px between them. WCAG 2.5.8 AA sets an absolute floor of 24×24.  →  Live: “Go to slide 4” is 12×12px. UX4G 3.0 §6 sets 44×44px as the minimum interactive size; at 12×12 it is also below the WCAG 2.5.8 AA floor of 24×24. Measured on 2 pages.</t>
        </is>
      </c>
      <c r="F218" s="28" t="inlineStr">
        <is>
          <t>Grow the control, or add transparent padding around it, until it measures 44×44px with 8px clear of its neighbours.</t>
        </is>
      </c>
      <c r="G218" s="28" t="n"/>
      <c r="H218" s="28" t="inlineStr">
        <is>
          <t>https://www.dosje.gov.in/</t>
        </is>
      </c>
      <c r="I218" s="28" t="inlineStr">
        <is>
          <t>Open</t>
        </is>
      </c>
      <c r="J218" s="28" t="n"/>
      <c r="K218" s="28" t="n"/>
      <c r="L218" s="28" t="inlineStr">
        <is>
          <t>env: live</t>
        </is>
      </c>
      <c r="M218" s="28" t="inlineStr">
        <is>
          <t>Screen</t>
        </is>
      </c>
    </row>
    <row r="219">
      <c r="A219" s="27" t="inlineStr">
        <is>
          <t>WEB-SCREEN-049</t>
        </is>
      </c>
      <c r="B219" s="28" t="inlineStr">
        <is>
          <t>State · Home Hindi · desktop</t>
        </is>
      </c>
      <c r="C219" s="28" t="inlineStr">
        <is>
          <t>Layout &amp; Spacing</t>
        </is>
      </c>
      <c r="D219" s="28" t="inlineStr">
        <is>
          <t>Major</t>
        </is>
      </c>
      <c r="E219" s="28" t="inlineStr">
        <is>
          <t>Figma: UX4G 3.0 §6: interactive targets are at least 44×44px with 8px between them. WCAG 2.5.8 AA sets an absolute floor of 24×24.  →  Live: “घर” is 15×21px. UX4G 3.0 §6 sets 44×44px as the minimum interactive size; at 15×21 it is also below the WCAG 2.5.8 AA floor of 24×24.</t>
        </is>
      </c>
      <c r="F219" s="28" t="inlineStr">
        <is>
          <t>Grow the control, or add transparent padding around it, until it measures 44×44px with 8px clear of its neighbours.</t>
        </is>
      </c>
      <c r="G219" s="28" t="n"/>
      <c r="H219" s="28" t="inlineStr">
        <is>
          <t>https://www.dosje.gov.in/</t>
        </is>
      </c>
      <c r="I219" s="28" t="inlineStr">
        <is>
          <t>Open</t>
        </is>
      </c>
      <c r="J219" s="28" t="n"/>
      <c r="K219" s="28" t="n"/>
      <c r="L219" s="28" t="inlineStr">
        <is>
          <t>env: live</t>
        </is>
      </c>
      <c r="M219" s="28" t="inlineStr">
        <is>
          <t>Screen</t>
        </is>
      </c>
    </row>
    <row r="220">
      <c r="A220" s="27" t="inlineStr">
        <is>
          <t>WEB-SCREEN-050</t>
        </is>
      </c>
      <c r="B220" s="28" t="inlineStr">
        <is>
          <t>State · Home Hindi · desktop</t>
        </is>
      </c>
      <c r="C220" s="28" t="inlineStr">
        <is>
          <t>Layout &amp; Spacing</t>
        </is>
      </c>
      <c r="D220" s="28" t="inlineStr">
        <is>
          <t>Major</t>
        </is>
      </c>
      <c r="E220" s="28" t="inlineStr">
        <is>
          <t>Figma: UX4G 3.0 §6: interactive targets are at least 44×44px with 8px between them. WCAG 2.5.8 AA sets an absolute floor of 24×24.  →  Live: “विभाग” is 34×21px. UX4G 3.0 §6 sets 44×44px as the minimum interactive size; at 34×21 it is also below the WCAG 2.5.8 AA floor of 24×24.</t>
        </is>
      </c>
      <c r="F220" s="28" t="inlineStr">
        <is>
          <t>Grow the control, or add transparent padding around it, until it measures 44×44px with 8px clear of its neighbours.</t>
        </is>
      </c>
      <c r="G220" s="28" t="n"/>
      <c r="H220" s="28" t="inlineStr">
        <is>
          <t>https://www.dosje.gov.in/</t>
        </is>
      </c>
      <c r="I220" s="28" t="inlineStr">
        <is>
          <t>Open</t>
        </is>
      </c>
      <c r="J220" s="28" t="n"/>
      <c r="K220" s="28" t="n"/>
      <c r="L220" s="28" t="inlineStr">
        <is>
          <t>env: live</t>
        </is>
      </c>
      <c r="M220" s="28" t="inlineStr">
        <is>
          <t>Screen</t>
        </is>
      </c>
    </row>
    <row r="221">
      <c r="A221" s="27" t="inlineStr">
        <is>
          <t>WEB-SCREEN-051</t>
        </is>
      </c>
      <c r="B221" s="28" t="inlineStr">
        <is>
          <t>State · Home Hindi · desktop</t>
        </is>
      </c>
      <c r="C221" s="28" t="inlineStr">
        <is>
          <t>Layout &amp; Spacing</t>
        </is>
      </c>
      <c r="D221" s="28" t="inlineStr">
        <is>
          <t>Major</t>
        </is>
      </c>
      <c r="E221" s="28" t="inlineStr">
        <is>
          <t>Figma: UX4G 3.0 §6: interactive targets are at least 44×44px with 8px between them. WCAG 2.5.8 AA sets an absolute floor of 24×24.  →  Live: “संबद्ध संगठन” is 68×21px. UX4G 3.0 §6 sets 44×44px as the minimum interactive size; at 68×21 it is also below the WCAG 2.5.8 AA floor of 24×24.</t>
        </is>
      </c>
      <c r="F221" s="28" t="inlineStr">
        <is>
          <t>Grow the control, or add transparent padding around it, until it measures 44×44px with 8px clear of its neighbours.</t>
        </is>
      </c>
      <c r="G221" s="28" t="n"/>
      <c r="H221" s="28" t="inlineStr">
        <is>
          <t>https://www.dosje.gov.in/</t>
        </is>
      </c>
      <c r="I221" s="28" t="inlineStr">
        <is>
          <t>Open</t>
        </is>
      </c>
      <c r="J221" s="28" t="n"/>
      <c r="K221" s="28" t="n"/>
      <c r="L221" s="28" t="inlineStr">
        <is>
          <t>env: live</t>
        </is>
      </c>
      <c r="M221" s="28" t="inlineStr">
        <is>
          <t>Screen</t>
        </is>
      </c>
    </row>
    <row r="222">
      <c r="A222" s="27" t="inlineStr">
        <is>
          <t>WEB-SCREEN-017</t>
        </is>
      </c>
      <c r="B222" s="28" t="inlineStr">
        <is>
          <t>State · Important Links Modal · desktop</t>
        </is>
      </c>
      <c r="C222" s="28" t="inlineStr">
        <is>
          <t>Accessibility</t>
        </is>
      </c>
      <c r="D222" s="28" t="inlineStr">
        <is>
          <t>Major</t>
        </is>
      </c>
      <c r="E222" s="28" t="inlineStr">
        <is>
          <t>Figma: GIGW 3.0 mandates WCAG 2.2 AA conformance; axe-core tests a subset of it programmatically.  →  Live: ARIA dialog and alertdialog nodes should have an accessible name — &lt;div class="modal fade modal-links show" id="exampleModal" tabindex="-1" aria-labelledby="exampleModalLabel" aria-modal="true" role="dialog" style="display: blo (aria-dialog-name, ).</t>
        </is>
      </c>
      <c r="F222" s="28" t="inlineStr">
        <is>
          <t>Correct the markup the rule names; the rule's help page states the accepted fixes.</t>
        </is>
      </c>
      <c r="G222" s="28" t="n"/>
      <c r="H222" s="28" t="inlineStr">
        <is>
          <t>https://www.dosje.gov.in/</t>
        </is>
      </c>
      <c r="I222" s="28" t="inlineStr">
        <is>
          <t>Open</t>
        </is>
      </c>
      <c r="J222" s="28" t="n"/>
      <c r="K222" s="28" t="n"/>
      <c r="L222" s="28" t="inlineStr">
        <is>
          <t>env: live</t>
        </is>
      </c>
      <c r="M222" s="28" t="inlineStr">
        <is>
          <t>Screen</t>
        </is>
      </c>
    </row>
    <row r="223">
      <c r="A223" s="27" t="inlineStr">
        <is>
          <t>WEB-SCREEN-052</t>
        </is>
      </c>
      <c r="B223" s="28" t="inlineStr">
        <is>
          <t>State · Mega Menu Department · desktop</t>
        </is>
      </c>
      <c r="C223" s="28" t="inlineStr">
        <is>
          <t>Layout &amp; Spacing</t>
        </is>
      </c>
      <c r="D223" s="28" t="inlineStr">
        <is>
          <t>Major</t>
        </is>
      </c>
      <c r="E223" s="28" t="inlineStr">
        <is>
          <t>Figma: UX4G 3.0 §6: interactive targets are at least 44×44px with 8px between them. WCAG 2.5.8 AA sets an absolute floor of 24×24.  →  Live: “Close Department” is 14×21px. UX4G 3.0 §6 sets 44×44px as the minimum interactive size; at 14×21 it is also below the WCAG 2.5.8 AA floor of 24×24.</t>
        </is>
      </c>
      <c r="F223" s="28" t="inlineStr">
        <is>
          <t>Grow the control, or add transparent padding around it, until it measures 44×44px with 8px clear of its neighbours.</t>
        </is>
      </c>
      <c r="G223" s="28" t="n"/>
      <c r="H223" s="28" t="inlineStr">
        <is>
          <t>https://www.dosje.gov.in/</t>
        </is>
      </c>
      <c r="I223" s="28" t="inlineStr">
        <is>
          <t>Open</t>
        </is>
      </c>
      <c r="J223" s="28" t="n"/>
      <c r="K223" s="28" t="n"/>
      <c r="L223" s="28" t="inlineStr">
        <is>
          <t>env: live</t>
        </is>
      </c>
      <c r="M223" s="28" t="inlineStr">
        <is>
          <t>Screen</t>
        </is>
      </c>
    </row>
    <row r="224">
      <c r="A224" s="27" t="inlineStr">
        <is>
          <t>WEB-SCREEN-022</t>
        </is>
      </c>
      <c r="B224" s="28" t="inlineStr">
        <is>
          <t>State · Search Scholarship · desktop</t>
        </is>
      </c>
      <c r="C224" s="28" t="inlineStr">
        <is>
          <t>Color &amp; Token</t>
        </is>
      </c>
      <c r="D224" s="28" t="inlineStr">
        <is>
          <t>Major</t>
        </is>
      </c>
      <c r="E224" s="28" t="inlineStr">
        <is>
          <t>Figma: WCAG 2.2 AA (1.4.3), carried into GIGW 3.0: text needs 4.5:1 against its background, or 3:1 at 24px+ / 18.66px+ bold.  →  Live: Text “Scholarship” (mark) renders #0373DF on #FFF3CD at 16px/600 — #0373DF on #FFF3CD as painted on the capture: 4.19:1 against the 4.5:1 minimum.</t>
        </is>
      </c>
      <c r="F224" s="28" t="inlineStr">
        <is>
          <t>Darken the text or lighten its ground until the pair measures at least the required ratio, then re-check every place the pair is used.</t>
        </is>
      </c>
      <c r="G224" s="28" t="n"/>
      <c r="H224" s="28" t="inlineStr">
        <is>
          <t>https://www.dosje.gov.in/?s=scholarship</t>
        </is>
      </c>
      <c r="I224" s="28" t="inlineStr">
        <is>
          <t>Open</t>
        </is>
      </c>
      <c r="J224" s="28" t="n"/>
      <c r="K224" s="28" t="n"/>
      <c r="L224" s="28" t="inlineStr">
        <is>
          <t>env: live</t>
        </is>
      </c>
      <c r="M224" s="28" t="inlineStr">
        <is>
          <t>Screen</t>
        </is>
      </c>
    </row>
    <row r="225">
      <c r="A225" s="27" t="inlineStr">
        <is>
          <t>WEB-SCREEN-023</t>
        </is>
      </c>
      <c r="B225" s="28" t="inlineStr">
        <is>
          <t>State · Search Scholarship · desktop</t>
        </is>
      </c>
      <c r="C225" s="28" t="inlineStr">
        <is>
          <t>Color &amp; Token</t>
        </is>
      </c>
      <c r="D225" s="28" t="inlineStr">
        <is>
          <t>Major</t>
        </is>
      </c>
      <c r="E225" s="28" t="inlineStr">
        <is>
          <t>Figma: WCAG 2.2 AA (1.4.3), carried into GIGW 3.0: text needs 4.5:1 against its background, or 3:1 at 24px+ / 18.66px+ bold.  →  Live: Text “…” (span.page-link) renders #938BB6 on #FFFFFF at 14px/400 — #938BB6 on #FFFFFF as painted on the capture: 3.18:1 against the 4.5:1 minimum.</t>
        </is>
      </c>
      <c r="F225" s="28" t="inlineStr">
        <is>
          <t>Darken the text or lighten its ground until the pair measures at least the required ratio, then re-check every place the pair is used.</t>
        </is>
      </c>
      <c r="G225" s="28" t="n"/>
      <c r="H225" s="28" t="inlineStr">
        <is>
          <t>https://www.dosje.gov.in/?s=scholarship</t>
        </is>
      </c>
      <c r="I225" s="28" t="inlineStr">
        <is>
          <t>Open</t>
        </is>
      </c>
      <c r="J225" s="28" t="n"/>
      <c r="K225" s="28" t="n"/>
      <c r="L225" s="28" t="inlineStr">
        <is>
          <t>env: live</t>
        </is>
      </c>
      <c r="M225" s="28" t="inlineStr">
        <is>
          <t>Screen</t>
        </is>
      </c>
    </row>
    <row r="226">
      <c r="A226" s="27" t="inlineStr">
        <is>
          <t>WEB-SCREEN-212</t>
        </is>
      </c>
      <c r="B226" s="28" t="inlineStr">
        <is>
          <t>Suo Moto Disclosure · desktop</t>
        </is>
      </c>
      <c r="C226" s="28" t="inlineStr">
        <is>
          <t>Content &amp; Iconography</t>
        </is>
      </c>
      <c r="D226" s="28" t="inlineStr">
        <is>
          <t>Major</t>
        </is>
      </c>
      <c r="E226" s="28" t="inlineStr">
        <is>
          <t>Figma: The approved Figma handoff frame for this screen. Design: “government's proactive release of key in” · absent from the build  →  Live: The design frame carries “government's proactive release of key information to ensure transparency without” (16px). Nothing with that text renders on the live page.</t>
        </is>
      </c>
      <c r="F226" s="28" t="inlineStr">
        <is>
          <t>Add the content the design carries, or confirm with the design team that it was dropped deliberately.</t>
        </is>
      </c>
      <c r="G226" s="28" t="inlineStr">
        <is>
          <t>https://www.figma.com/design/Ds5qx61QsI0ZkYSrLKxo0A/MoSJE--Handoff-?node-id=3453-14426</t>
        </is>
      </c>
      <c r="H226" s="28" t="n"/>
      <c r="I226" s="28" t="inlineStr">
        <is>
          <t>Open</t>
        </is>
      </c>
      <c r="J226" s="28" t="n"/>
      <c r="K226" s="28" t="n"/>
      <c r="L226" s="28" t="inlineStr">
        <is>
          <t>env: live</t>
        </is>
      </c>
      <c r="M226" s="28" t="inlineStr">
        <is>
          <t>Screen</t>
        </is>
      </c>
    </row>
    <row r="227">
      <c r="A227" s="27" t="inlineStr">
        <is>
          <t>WEB-SCREEN-221</t>
        </is>
      </c>
      <c r="B227" s="28" t="inlineStr">
        <is>
          <t>Suo Moto Disclosure · desktop</t>
        </is>
      </c>
      <c r="C227" s="28" t="inlineStr">
        <is>
          <t>Content &amp; Iconography</t>
        </is>
      </c>
      <c r="D227" s="28" t="inlineStr">
        <is>
          <t>Major</t>
        </is>
      </c>
      <c r="E227" s="28" t="inlineStr">
        <is>
          <t>Figma: The approved Figma handoff frame for this screen. Design: “sort by recently updated” · absent from the build  →  Live: The design frame carries “sort by recently updated” (14px). Nothing with that text renders on the live page. Measured on 2 pages.</t>
        </is>
      </c>
      <c r="F227" s="28" t="inlineStr">
        <is>
          <t>Add the content the design carries, or confirm with the design team that it was dropped deliberately.</t>
        </is>
      </c>
      <c r="G227" s="28" t="inlineStr">
        <is>
          <t>https://www.figma.com/design/Ds5qx61QsI0ZkYSrLKxo0A/MoSJE--Handoff-?node-id=3453-14426</t>
        </is>
      </c>
      <c r="H227" s="28" t="n"/>
      <c r="I227" s="28" t="inlineStr">
        <is>
          <t>Open</t>
        </is>
      </c>
      <c r="J227" s="28" t="n"/>
      <c r="K227" s="28" t="n"/>
      <c r="L227" s="28" t="inlineStr">
        <is>
          <t>env: live</t>
        </is>
      </c>
      <c r="M227" s="28" t="inlineStr">
        <is>
          <t>Screen</t>
        </is>
      </c>
    </row>
    <row r="228">
      <c r="A228" s="27" t="inlineStr">
        <is>
          <t>WEB-SCREEN-218</t>
        </is>
      </c>
      <c r="B228" s="28" t="inlineStr">
        <is>
          <t>Suo Moto Disclosure · desktop</t>
        </is>
      </c>
      <c r="C228" s="28" t="inlineStr">
        <is>
          <t>Content &amp; Iconography</t>
        </is>
      </c>
      <c r="D228" s="28" t="inlineStr">
        <is>
          <t>Major</t>
        </is>
      </c>
      <c r="E228" s="28" t="inlineStr">
        <is>
          <t>Figma: The approved Figma handoff frame for this screen. Design: “list of faa” · absent from the build  →  Live: The design frame carries “list of faa” (14px). Nothing with that text renders on the live page. Also measured on the 375px capture of the same page.</t>
        </is>
      </c>
      <c r="F228" s="28" t="inlineStr">
        <is>
          <t>Add the content the design carries, or confirm with the design team that it was dropped deliberately.</t>
        </is>
      </c>
      <c r="G228" s="28" t="inlineStr">
        <is>
          <t>https://www.figma.com/design/Ds5qx61QsI0ZkYSrLKxo0A/MoSJE--Handoff-?node-id=3453-14426</t>
        </is>
      </c>
      <c r="H228" s="28" t="n"/>
      <c r="I228" s="28" t="inlineStr">
        <is>
          <t>Open</t>
        </is>
      </c>
      <c r="J228" s="28" t="n"/>
      <c r="K228" s="28" t="n"/>
      <c r="L228" s="28" t="inlineStr">
        <is>
          <t>env: live</t>
        </is>
      </c>
      <c r="M228" s="28" t="inlineStr">
        <is>
          <t>Screen</t>
        </is>
      </c>
    </row>
    <row r="229">
      <c r="A229" s="27" t="inlineStr">
        <is>
          <t>WEB-SCREEN-215</t>
        </is>
      </c>
      <c r="B229" s="28" t="inlineStr">
        <is>
          <t>Suo Moto Disclosure · desktop</t>
        </is>
      </c>
      <c r="C229" s="28" t="inlineStr">
        <is>
          <t>Content &amp; Iconography</t>
        </is>
      </c>
      <c r="D229" s="28" t="inlineStr">
        <is>
          <t>Major</t>
        </is>
      </c>
      <c r="E229" s="28" t="inlineStr">
        <is>
          <t>Figma: The approved Figma handoff frame for this screen. Design: “list of cpio” · absent from the build  →  Live: The design frame carries “list of cpio” (14px). Nothing with that text renders on the live page. Also measured on the 375px capture of the same page.</t>
        </is>
      </c>
      <c r="F229" s="28" t="inlineStr">
        <is>
          <t>Add the content the design carries, or confirm with the design team that it was dropped deliberately.</t>
        </is>
      </c>
      <c r="G229" s="28" t="inlineStr">
        <is>
          <t>https://www.figma.com/design/Ds5qx61QsI0ZkYSrLKxo0A/MoSJE--Handoff-?node-id=3453-14426</t>
        </is>
      </c>
      <c r="H229" s="28" t="n"/>
      <c r="I229" s="28" t="inlineStr">
        <is>
          <t>Open</t>
        </is>
      </c>
      <c r="J229" s="28" t="n"/>
      <c r="K229" s="28" t="n"/>
      <c r="L229" s="28" t="inlineStr">
        <is>
          <t>env: live</t>
        </is>
      </c>
      <c r="M229" s="28" t="inlineStr">
        <is>
          <t>Screen</t>
        </is>
      </c>
    </row>
    <row r="230">
      <c r="A230" s="27" t="inlineStr">
        <is>
          <t>WEB-SCREEN-216</t>
        </is>
      </c>
      <c r="B230" s="28" t="inlineStr">
        <is>
          <t>Suo Moto Disclosure · desktop</t>
        </is>
      </c>
      <c r="C230" s="28" t="inlineStr">
        <is>
          <t>Content &amp; Iconography</t>
        </is>
      </c>
      <c r="D230" s="28" t="inlineStr">
        <is>
          <t>Major</t>
        </is>
      </c>
      <c r="E230" s="28" t="inlineStr">
        <is>
          <t>Figma: The approved Figma handoff frame for this screen. Design: “list of cpio and faa” · absent from the build  →  Live: The design frame carries “list of cpio and faa” (14px). Nothing with that text renders on the live page. Also measured on the 375px capture of the same page.</t>
        </is>
      </c>
      <c r="F230" s="28" t="inlineStr">
        <is>
          <t>Add the content the design carries, or confirm with the design team that it was dropped deliberately.</t>
        </is>
      </c>
      <c r="G230" s="28" t="inlineStr">
        <is>
          <t>https://www.figma.com/design/Ds5qx61QsI0ZkYSrLKxo0A/MoSJE--Handoff-?node-id=3453-14426</t>
        </is>
      </c>
      <c r="H230" s="28" t="n"/>
      <c r="I230" s="28" t="inlineStr">
        <is>
          <t>Open</t>
        </is>
      </c>
      <c r="J230" s="28" t="n"/>
      <c r="K230" s="28" t="n"/>
      <c r="L230" s="28" t="inlineStr">
        <is>
          <t>env: live</t>
        </is>
      </c>
      <c r="M230" s="28" t="inlineStr">
        <is>
          <t>Screen</t>
        </is>
      </c>
    </row>
    <row r="231">
      <c r="A231" s="27" t="inlineStr">
        <is>
          <t>WEB-SCREEN-217</t>
        </is>
      </c>
      <c r="B231" s="28" t="inlineStr">
        <is>
          <t>Suo Moto Disclosure · desktop</t>
        </is>
      </c>
      <c r="C231" s="28" t="inlineStr">
        <is>
          <t>Content &amp; Iconography</t>
        </is>
      </c>
      <c r="D231" s="28" t="inlineStr">
        <is>
          <t>Major</t>
        </is>
      </c>
      <c r="E231" s="28" t="inlineStr">
        <is>
          <t>Figma: The approved Figma handoff frame for this screen. Design: “list of cpios and faas” · absent from the build  →  Live: The design frame carries “list of cpios and faas” (14px). Nothing with that text renders on the live page. Also measured on the 375px capture of the same page.</t>
        </is>
      </c>
      <c r="F231" s="28" t="inlineStr">
        <is>
          <t>Add the content the design carries, or confirm with the design team that it was dropped deliberately.</t>
        </is>
      </c>
      <c r="G231" s="28" t="inlineStr">
        <is>
          <t>https://www.figma.com/design/Ds5qx61QsI0ZkYSrLKxo0A/MoSJE--Handoff-?node-id=3453-14426</t>
        </is>
      </c>
      <c r="H231" s="28" t="n"/>
      <c r="I231" s="28" t="inlineStr">
        <is>
          <t>Open</t>
        </is>
      </c>
      <c r="J231" s="28" t="n"/>
      <c r="K231" s="28" t="n"/>
      <c r="L231" s="28" t="inlineStr">
        <is>
          <t>env: live</t>
        </is>
      </c>
      <c r="M231" s="28" t="inlineStr">
        <is>
          <t>Screen</t>
        </is>
      </c>
    </row>
    <row r="232">
      <c r="A232" s="27" t="inlineStr">
        <is>
          <t>WEB-SCREEN-053</t>
        </is>
      </c>
      <c r="B232" s="28" t="inlineStr">
        <is>
          <t>Supreme Court Judgement · mobile</t>
        </is>
      </c>
      <c r="C232" s="28" t="inlineStr">
        <is>
          <t>Layout &amp; Spacing</t>
        </is>
      </c>
      <c r="D232" s="28" t="inlineStr">
        <is>
          <t>Major</t>
        </is>
      </c>
      <c r="E232" s="28" t="inlineStr">
        <is>
          <t>Figma: UX4G 3.0 §6: interactive targets are at least 44×44px with 8px between them. WCAG 2.5.8 AA sets an absolute floor of 24×24.  →  Live: “NCSK” is 147×20px. UX4G 3.0 §6 sets 44×44px as the minimum interactive size; at 147×20 it is also below the WCAG 2.5.8 AA floor of 24×24. Measured on 2 pages.</t>
        </is>
      </c>
      <c r="F232" s="28" t="inlineStr">
        <is>
          <t>Grow the control, or add transparent padding around it, until it measures 44×44px with 8px clear of its neighbours.</t>
        </is>
      </c>
      <c r="G232" s="28" t="n"/>
      <c r="H232" s="28" t="inlineStr">
        <is>
          <t>https://www.dosje.gov.in/supreme-court-judgement/</t>
        </is>
      </c>
      <c r="I232" s="28" t="inlineStr">
        <is>
          <t>Open</t>
        </is>
      </c>
      <c r="J232" s="28" t="n"/>
      <c r="K232" s="28" t="n"/>
      <c r="L232" s="28" t="inlineStr">
        <is>
          <t>env: live</t>
        </is>
      </c>
      <c r="M232" s="28" t="inlineStr">
        <is>
          <t>Screen</t>
        </is>
      </c>
    </row>
    <row r="233">
      <c r="A233" s="27" t="inlineStr">
        <is>
          <t>WEB-SCREEN-222</t>
        </is>
      </c>
      <c r="B233" s="28" t="inlineStr">
        <is>
          <t>Tenders · desktop</t>
        </is>
      </c>
      <c r="C233" s="28" t="inlineStr">
        <is>
          <t>Content &amp; Iconography</t>
        </is>
      </c>
      <c r="D233" s="28" t="inlineStr">
        <is>
          <t>Major</t>
        </is>
      </c>
      <c r="E233" s="28" t="inlineStr">
        <is>
          <t>Figma: The approved Figma handoff frame for this screen. Design: “search by tender name or keyword” · absent from the build  →  Live: The design frame carries “search by tender name or keyword” (16px). Nothing with that text renders on the live page. Also measured on the 375px capture of the same page.</t>
        </is>
      </c>
      <c r="F233" s="28" t="inlineStr">
        <is>
          <t>Add the content the design carries, or confirm with the design team that it was dropped deliberately.</t>
        </is>
      </c>
      <c r="G233" s="28" t="inlineStr">
        <is>
          <t>https://www.figma.com/design/Ds5qx61QsI0ZkYSrLKxo0A/MoSJE--Handoff-?node-id=3453-12568</t>
        </is>
      </c>
      <c r="H233" s="28" t="n"/>
      <c r="I233" s="28" t="inlineStr">
        <is>
          <t>Open</t>
        </is>
      </c>
      <c r="J233" s="28" t="n"/>
      <c r="K233" s="28" t="n"/>
      <c r="L233" s="28" t="inlineStr">
        <is>
          <t>env: live</t>
        </is>
      </c>
      <c r="M233" s="28" t="inlineStr">
        <is>
          <t>Screen</t>
        </is>
      </c>
    </row>
    <row r="234">
      <c r="A234" s="27" t="inlineStr">
        <is>
          <t>WEB-SCREEN-278</t>
        </is>
      </c>
      <c r="B234" s="28" t="inlineStr">
        <is>
          <t>Tenders · desktop</t>
        </is>
      </c>
      <c r="C234" s="28" t="inlineStr">
        <is>
          <t>Color &amp; Token</t>
        </is>
      </c>
      <c r="D234" s="28" t="inlineStr">
        <is>
          <t>Major</t>
        </is>
      </c>
      <c r="E234" s="28" t="inlineStr">
        <is>
          <t>Figma: The approved Figma handoff frame for this screen. Built #374151 · design #343A40  →  Live: “archived” — colour #343A40 → #374151. Measured on 2 pages. Also measured on the 375px capture of the same page.</t>
        </is>
      </c>
      <c r="F234" s="28" t="inlineStr">
        <is>
          <t>Set the built value to the design's.</t>
        </is>
      </c>
      <c r="G234" s="28" t="inlineStr">
        <is>
          <t>https://www.figma.com/design/Ds5qx61QsI0ZkYSrLKxo0A/MoSJE--Handoff-?node-id=3453-12568</t>
        </is>
      </c>
      <c r="H234" s="28" t="n"/>
      <c r="I234" s="28" t="inlineStr">
        <is>
          <t>Open</t>
        </is>
      </c>
      <c r="J234" s="28" t="n"/>
      <c r="K234" s="28" t="n"/>
      <c r="L234" s="28" t="inlineStr">
        <is>
          <t>env: live</t>
        </is>
      </c>
      <c r="M234" s="28" t="inlineStr">
        <is>
          <t>Screen</t>
        </is>
      </c>
    </row>
    <row r="235">
      <c r="A235" s="27" t="inlineStr">
        <is>
          <t>WEB-SCREEN-054</t>
        </is>
      </c>
      <c r="B235" s="28" t="inlineStr">
        <is>
          <t>Tenders · mobile</t>
        </is>
      </c>
      <c r="C235" s="28" t="inlineStr">
        <is>
          <t>Layout &amp; Spacing</t>
        </is>
      </c>
      <c r="D235" s="28" t="inlineStr">
        <is>
          <t>Major</t>
        </is>
      </c>
      <c r="E235" s="28" t="inlineStr">
        <is>
          <t>Figma: UX4G 3.0 §6: interactive targets are at least 44×44px with 8px between them. WCAG 2.5.8 AA sets an absolute floor of 24×24.  →  Live: “NSFDC” is 47×19px. UX4G 3.0 §6 sets 44×44px as the minimum interactive size; at 47×19 it is also below the WCAG 2.5.8 AA floor of 24×24.</t>
        </is>
      </c>
      <c r="F235" s="28" t="inlineStr">
        <is>
          <t>Grow the control, or add transparent padding around it, until it measures 44×44px with 8px clear of its neighbours.</t>
        </is>
      </c>
      <c r="G235" s="28" t="n"/>
      <c r="H235" s="28" t="inlineStr">
        <is>
          <t>https://www.dosje.gov.in/tenders/</t>
        </is>
      </c>
      <c r="I235" s="28" t="inlineStr">
        <is>
          <t>Open</t>
        </is>
      </c>
      <c r="J235" s="28" t="n"/>
      <c r="K235" s="28" t="n"/>
      <c r="L235" s="28" t="inlineStr">
        <is>
          <t>env: live</t>
        </is>
      </c>
      <c r="M235" s="28" t="inlineStr">
        <is>
          <t>Screen</t>
        </is>
      </c>
    </row>
    <row r="236">
      <c r="A236" s="27" t="inlineStr">
        <is>
          <t>WEB-SCREEN-282</t>
        </is>
      </c>
      <c r="B236" s="28" t="inlineStr">
        <is>
          <t>Tenders · mobile</t>
        </is>
      </c>
      <c r="C236" s="28" t="inlineStr">
        <is>
          <t>Typography</t>
        </is>
      </c>
      <c r="D236" s="28" t="inlineStr">
        <is>
          <t>Minor</t>
        </is>
      </c>
      <c r="E236" s="28" t="inlineStr">
        <is>
          <t>Figma: The approved Figma handoff frame for this screen. Built 16px · design 14px  →  Live: “explore current tender notices, eligibility details, and submission gu” — size 14 → 16. Measured on 2 pages.</t>
        </is>
      </c>
      <c r="F236" s="28" t="inlineStr">
        <is>
          <t>Set the built value to the design's.</t>
        </is>
      </c>
      <c r="G236" s="28" t="n"/>
      <c r="H236" s="28" t="inlineStr">
        <is>
          <t>https://www.dosje.gov.in/tenders/</t>
        </is>
      </c>
      <c r="I236" s="28" t="inlineStr">
        <is>
          <t>Open</t>
        </is>
      </c>
      <c r="J236" s="28" t="n"/>
      <c r="K236" s="28" t="n"/>
      <c r="L236" s="28" t="inlineStr">
        <is>
          <t>env: live</t>
        </is>
      </c>
      <c r="M236" s="28" t="inlineStr">
        <is>
          <t>Screen</t>
        </is>
      </c>
    </row>
    <row r="237">
      <c r="A237" s="27" t="inlineStr">
        <is>
          <t>WEB-SCREEN-283</t>
        </is>
      </c>
      <c r="B237" s="28" t="inlineStr">
        <is>
          <t>Tenders · mobile</t>
        </is>
      </c>
      <c r="C237" s="28" t="inlineStr">
        <is>
          <t>Typography</t>
        </is>
      </c>
      <c r="D237" s="28" t="inlineStr">
        <is>
          <t>Minor</t>
        </is>
      </c>
      <c r="E237" s="28" t="inlineStr">
        <is>
          <t>Figma: The approved Figma handoff frame for this screen. Built 22px · design 20px  →  Live: “active tenders” — size 20 → 22.</t>
        </is>
      </c>
      <c r="F237" s="28" t="inlineStr">
        <is>
          <t>Set the built value to the design's.</t>
        </is>
      </c>
      <c r="G237" s="28" t="n"/>
      <c r="H237" s="28" t="inlineStr">
        <is>
          <t>https://www.dosje.gov.in/tenders/</t>
        </is>
      </c>
      <c r="I237" s="28" t="inlineStr">
        <is>
          <t>Open</t>
        </is>
      </c>
      <c r="J237" s="28" t="n"/>
      <c r="K237" s="28" t="n"/>
      <c r="L237" s="28" t="inlineStr">
        <is>
          <t>env: live</t>
        </is>
      </c>
      <c r="M237" s="28" t="inlineStr">
        <is>
          <t>Screen</t>
        </is>
      </c>
    </row>
    <row r="238">
      <c r="A238" s="27" t="inlineStr">
        <is>
          <t>WEB-SCREEN-055</t>
        </is>
      </c>
      <c r="B238" s="28" t="inlineStr">
        <is>
          <t>Updates · mobile</t>
        </is>
      </c>
      <c r="C238" s="28" t="inlineStr">
        <is>
          <t>Layout &amp; Spacing</t>
        </is>
      </c>
      <c r="D238" s="28" t="inlineStr">
        <is>
          <t>Major</t>
        </is>
      </c>
      <c r="E238" s="28" t="inlineStr">
        <is>
          <t>Figma: UX4G 3.0 §6: interactive targets are at least 44×44px with 8px between them. WCAG 2.5.8 AA sets an absolute floor of 24×24.  →  Live: “NOS” is 147×20px. UX4G 3.0 §6 sets 44×44px as the minimum interactive size; at 147×20 it is also below the WCAG 2.5.8 AA floor of 24×24. Measured on 2 pages.</t>
        </is>
      </c>
      <c r="F238" s="28" t="inlineStr">
        <is>
          <t>Grow the control, or add transparent padding around it, until it measures 44×44px with 8px clear of its neighbours.</t>
        </is>
      </c>
      <c r="G238" s="28" t="n"/>
      <c r="H238" s="28" t="inlineStr">
        <is>
          <t>https://www.dosje.gov.in/updates/</t>
        </is>
      </c>
      <c r="I238" s="28" t="inlineStr">
        <is>
          <t>Open</t>
        </is>
      </c>
      <c r="J238" s="28" t="n"/>
      <c r="K238" s="28" t="n"/>
      <c r="L238" s="28" t="inlineStr">
        <is>
          <t>env: live</t>
        </is>
      </c>
      <c r="M238" s="28" t="inlineStr">
        <is>
          <t>Screen</t>
        </is>
      </c>
    </row>
    <row r="239">
      <c r="A239" s="27" t="inlineStr">
        <is>
          <t>WEB-SCREEN-230</t>
        </is>
      </c>
      <c r="B239" s="28" t="inlineStr">
        <is>
          <t>Vacancies · desktop</t>
        </is>
      </c>
      <c r="C239" s="28" t="inlineStr">
        <is>
          <t>Content &amp; Iconography</t>
        </is>
      </c>
      <c r="D239" s="28" t="inlineStr">
        <is>
          <t>Major</t>
        </is>
      </c>
      <c r="E239" s="28" t="inlineStr">
        <is>
          <t>Figma: The approved Figma handoff frame for this screen. Design: “search by vacancy name or keyword” · absent from the build  →  Live: The design frame carries “search by vacancy name or keyword” (16px). Nothing with that text renders on the live page.</t>
        </is>
      </c>
      <c r="F239" s="28" t="inlineStr">
        <is>
          <t>Add the content the design carries, or confirm with the design team that it was dropped deliberately.</t>
        </is>
      </c>
      <c r="G239" s="28" t="inlineStr">
        <is>
          <t>https://www.figma.com/design/Ds5qx61QsI0ZkYSrLKxo0A/MoSJE--Handoff-?node-id=3453-12427</t>
        </is>
      </c>
      <c r="H239" s="28" t="n"/>
      <c r="I239" s="28" t="inlineStr">
        <is>
          <t>Open</t>
        </is>
      </c>
      <c r="J239" s="28" t="n"/>
      <c r="K239" s="28" t="n"/>
      <c r="L239" s="28" t="inlineStr">
        <is>
          <t>env: live</t>
        </is>
      </c>
      <c r="M239" s="28" t="inlineStr">
        <is>
          <t>Screen</t>
        </is>
      </c>
    </row>
    <row r="240">
      <c r="A240" s="27" t="inlineStr">
        <is>
          <t>WEB-SCREEN-225</t>
        </is>
      </c>
      <c r="B240" s="28" t="inlineStr">
        <is>
          <t>Vacancies · desktop</t>
        </is>
      </c>
      <c r="C240" s="28" t="inlineStr">
        <is>
          <t>Content &amp; Iconography</t>
        </is>
      </c>
      <c r="D240" s="28" t="inlineStr">
        <is>
          <t>Major</t>
        </is>
      </c>
      <c r="E240" s="28" t="inlineStr">
        <is>
          <t>Figma: The approved Figma handoff frame for this screen. Design: “engagement of supervisor/consultant (con” · absent from the build  →  Live: The design frame carries “engagement of supervisor/consultant (contract)” (16px). Nothing with that text renders on the live page. Also measured on the 375px capture of the same page.</t>
        </is>
      </c>
      <c r="F240" s="28" t="inlineStr">
        <is>
          <t>Add the content the design carries, or confirm with the design team that it was dropped deliberately.</t>
        </is>
      </c>
      <c r="G240" s="28" t="inlineStr">
        <is>
          <t>https://www.figma.com/design/Ds5qx61QsI0ZkYSrLKxo0A/MoSJE--Handoff-?node-id=3453-12427</t>
        </is>
      </c>
      <c r="H240" s="28" t="n"/>
      <c r="I240" s="28" t="inlineStr">
        <is>
          <t>Open</t>
        </is>
      </c>
      <c r="J240" s="28" t="n"/>
      <c r="K240" s="28" t="n"/>
      <c r="L240" s="28" t="inlineStr">
        <is>
          <t>env: live</t>
        </is>
      </c>
      <c r="M240" s="28" t="inlineStr">
        <is>
          <t>Screen</t>
        </is>
      </c>
    </row>
    <row r="241">
      <c r="A241" s="27" t="inlineStr">
        <is>
          <t>WEB-SCREEN-227</t>
        </is>
      </c>
      <c r="B241" s="28" t="inlineStr">
        <is>
          <t>Vacancies · desktop</t>
        </is>
      </c>
      <c r="C241" s="28" t="inlineStr">
        <is>
          <t>Content &amp; Iconography</t>
        </is>
      </c>
      <c r="D241" s="28" t="inlineStr">
        <is>
          <t>Major</t>
        </is>
      </c>
      <c r="E241" s="28" t="inlineStr">
        <is>
          <t>Figma: The approved Figma handoff frame for this screen. Design: “new delhi · contract · apply by 30 nov 2” · absent from the build  →  Live: The design frame carries “new delhi · contract · apply by 30 nov 2025” (12px). Nothing with that text renders on the live page. Also measured on the 375px capture of the same page.</t>
        </is>
      </c>
      <c r="F241" s="28" t="inlineStr">
        <is>
          <t>Add the content the design carries, or confirm with the design team that it was dropped deliberately.</t>
        </is>
      </c>
      <c r="G241" s="28" t="inlineStr">
        <is>
          <t>https://www.figma.com/design/Ds5qx61QsI0ZkYSrLKxo0A/MoSJE--Handoff-?node-id=3453-12427</t>
        </is>
      </c>
      <c r="H241" s="28" t="n"/>
      <c r="I241" s="28" t="inlineStr">
        <is>
          <t>Open</t>
        </is>
      </c>
      <c r="J241" s="28" t="n"/>
      <c r="K241" s="28" t="n"/>
      <c r="L241" s="28" t="inlineStr">
        <is>
          <t>env: live</t>
        </is>
      </c>
      <c r="M241" s="28" t="inlineStr">
        <is>
          <t>Screen</t>
        </is>
      </c>
    </row>
    <row r="242">
      <c r="A242" s="27" t="inlineStr">
        <is>
          <t>WEB-SCREEN-233</t>
        </is>
      </c>
      <c r="B242" s="28" t="inlineStr">
        <is>
          <t>Vacancies · desktop</t>
        </is>
      </c>
      <c r="C242" s="28" t="inlineStr">
        <is>
          <t>Content &amp; Iconography</t>
        </is>
      </c>
      <c r="D242" s="28" t="inlineStr">
        <is>
          <t>Major</t>
        </is>
      </c>
      <c r="E242" s="28" t="inlineStr">
        <is>
          <t>Figma: The approved Figma handoff frame for this screen. Design: “supervisory and consultant roles for pro” · absent from the build  →  Live: The design frame carries “supervisory and consultant roles for project implementation and monitoring” (14px). Nothing with that text renders on the live page. Also measured on the 375px capture of the same page.</t>
        </is>
      </c>
      <c r="F242" s="28" t="inlineStr">
        <is>
          <t>Add the content the design carries, or confirm with the design team that it was dropped deliberately.</t>
        </is>
      </c>
      <c r="G242" s="28" t="inlineStr">
        <is>
          <t>https://www.figma.com/design/Ds5qx61QsI0ZkYSrLKxo0A/MoSJE--Handoff-?node-id=3453-12427</t>
        </is>
      </c>
      <c r="H242" s="28" t="n"/>
      <c r="I242" s="28" t="inlineStr">
        <is>
          <t>Open</t>
        </is>
      </c>
      <c r="J242" s="28" t="n"/>
      <c r="K242" s="28" t="n"/>
      <c r="L242" s="28" t="inlineStr">
        <is>
          <t>env: live</t>
        </is>
      </c>
      <c r="M242" s="28" t="inlineStr">
        <is>
          <t>Screen</t>
        </is>
      </c>
    </row>
    <row r="243">
      <c r="A243" s="27" t="inlineStr">
        <is>
          <t>WEB-SCREEN-234</t>
        </is>
      </c>
      <c r="B243" s="28" t="inlineStr">
        <is>
          <t>Vacancies · desktop</t>
        </is>
      </c>
      <c r="C243" s="28" t="inlineStr">
        <is>
          <t>Content &amp; Iconography</t>
        </is>
      </c>
      <c r="D243" s="28" t="inlineStr">
        <is>
          <t>Major</t>
        </is>
      </c>
      <c r="E243" s="28" t="inlineStr">
        <is>
          <t>Figma: The approved Figma handoff frame for this screen. Design: “temporary / short-term consultants” · absent from the build  →  Live: The design frame carries “temporary / short-term consultants” (16px). Nothing with that text renders on the live page. Also measured on the 375px capture of the same page.</t>
        </is>
      </c>
      <c r="F243" s="28" t="inlineStr">
        <is>
          <t>Add the content the design carries, or confirm with the design team that it was dropped deliberately.</t>
        </is>
      </c>
      <c r="G243" s="28" t="inlineStr">
        <is>
          <t>https://www.figma.com/design/Ds5qx61QsI0ZkYSrLKxo0A/MoSJE--Handoff-?node-id=3453-12427</t>
        </is>
      </c>
      <c r="H243" s="28" t="n"/>
      <c r="I243" s="28" t="inlineStr">
        <is>
          <t>Open</t>
        </is>
      </c>
      <c r="J243" s="28" t="n"/>
      <c r="K243" s="28" t="n"/>
      <c r="L243" s="28" t="inlineStr">
        <is>
          <t>env: live</t>
        </is>
      </c>
      <c r="M243" s="28" t="inlineStr">
        <is>
          <t>Screen</t>
        </is>
      </c>
    </row>
    <row r="244">
      <c r="A244" s="27" t="inlineStr">
        <is>
          <t>WEB-SCREEN-226</t>
        </is>
      </c>
      <c r="B244" s="28" t="inlineStr">
        <is>
          <t>Vacancies · desktop</t>
        </is>
      </c>
      <c r="C244" s="28" t="inlineStr">
        <is>
          <t>Content &amp; Iconography</t>
        </is>
      </c>
      <c r="D244" s="28" t="inlineStr">
        <is>
          <t>Major</t>
        </is>
      </c>
      <c r="E244" s="28" t="inlineStr">
        <is>
          <t>Figma: The approved Figma handoff frame for this screen. Design: “multiple locations · contract · ongoing” · absent from the build  →  Live: The design frame carries “multiple locations · contract · ongoing” (12px). Nothing with that text renders on the live page. Also measured on the 375px capture of the same page.</t>
        </is>
      </c>
      <c r="F244" s="28" t="inlineStr">
        <is>
          <t>Add the content the design carries, or confirm with the design team that it was dropped deliberately.</t>
        </is>
      </c>
      <c r="G244" s="28" t="inlineStr">
        <is>
          <t>https://www.figma.com/design/Ds5qx61QsI0ZkYSrLKxo0A/MoSJE--Handoff-?node-id=3453-12427</t>
        </is>
      </c>
      <c r="H244" s="28" t="n"/>
      <c r="I244" s="28" t="inlineStr">
        <is>
          <t>Open</t>
        </is>
      </c>
      <c r="J244" s="28" t="n"/>
      <c r="K244" s="28" t="n"/>
      <c r="L244" s="28" t="inlineStr">
        <is>
          <t>env: live</t>
        </is>
      </c>
      <c r="M244" s="28" t="inlineStr">
        <is>
          <t>Screen</t>
        </is>
      </c>
    </row>
    <row r="245">
      <c r="A245" s="27" t="inlineStr">
        <is>
          <t>WEB-SCREEN-229</t>
        </is>
      </c>
      <c r="B245" s="28" t="inlineStr">
        <is>
          <t>Vacancies · mobile</t>
        </is>
      </c>
      <c r="C245" s="28" t="inlineStr">
        <is>
          <t>Content &amp; Iconography</t>
        </is>
      </c>
      <c r="D245" s="28" t="inlineStr">
        <is>
          <t>Major</t>
        </is>
      </c>
      <c r="E245" s="28" t="inlineStr">
        <is>
          <t>Figma: The approved Figma handoff frame for this screen. Design: “search by scheme name or keyword” · absent from the build  →  Live: The design frame carries “search by scheme name or keyword” (14px). Nothing with that text renders on the live page. Measured on 2 pages.</t>
        </is>
      </c>
      <c r="F245" s="28" t="inlineStr">
        <is>
          <t>Add the content the design carries, or confirm with the design team that it was dropped deliberately.</t>
        </is>
      </c>
      <c r="G245" s="28" t="inlineStr">
        <is>
          <t>https://www.figma.com/design/Ds5qx61QsI0ZkYSrLKxo0A/MoSJE--Handoff-?node-id=4571-105929</t>
        </is>
      </c>
      <c r="H245" s="28" t="n"/>
      <c r="I245" s="28" t="inlineStr">
        <is>
          <t>Open</t>
        </is>
      </c>
      <c r="J245" s="28" t="n"/>
      <c r="K245" s="28" t="n"/>
      <c r="L245" s="28" t="inlineStr">
        <is>
          <t>env: live</t>
        </is>
      </c>
      <c r="M245" s="28" t="inlineStr">
        <is>
          <t>Screen</t>
        </is>
      </c>
    </row>
    <row r="246">
      <c r="A246" s="27" t="inlineStr">
        <is>
          <t>WEB-SCREEN-224</t>
        </is>
      </c>
      <c r="B246" s="28" t="inlineStr">
        <is>
          <t>Vacancies · mobile</t>
        </is>
      </c>
      <c r="C246" s="28" t="inlineStr">
        <is>
          <t>Content &amp; Iconography</t>
        </is>
      </c>
      <c r="D246" s="28" t="inlineStr">
        <is>
          <t>Major</t>
        </is>
      </c>
      <c r="E246" s="28" t="inlineStr">
        <is>
          <t>Figma: The approved Figma handoff frame for this screen. Design: “contact &amp; support” · absent from the build  →  Live: The design frame carries “contact &amp; support” (20px). Nothing with that text renders on the live page.</t>
        </is>
      </c>
      <c r="F246" s="28" t="inlineStr">
        <is>
          <t>Add the content the design carries, or confirm with the design team that it was dropped deliberately.</t>
        </is>
      </c>
      <c r="G246" s="28" t="inlineStr">
        <is>
          <t>https://www.figma.com/design/Ds5qx61QsI0ZkYSrLKxo0A/MoSJE--Handoff-?node-id=4571-105929</t>
        </is>
      </c>
      <c r="H246" s="28" t="n"/>
      <c r="I246" s="28" t="inlineStr">
        <is>
          <t>Open</t>
        </is>
      </c>
      <c r="J246" s="28" t="n"/>
      <c r="K246" s="28" t="n"/>
      <c r="L246" s="28" t="inlineStr">
        <is>
          <t>env: live</t>
        </is>
      </c>
      <c r="M246" s="28" t="inlineStr">
        <is>
          <t>Screen</t>
        </is>
      </c>
    </row>
    <row r="247">
      <c r="A247" s="27" t="inlineStr">
        <is>
          <t>WEB-SCREEN-228</t>
        </is>
      </c>
      <c r="B247" s="28" t="inlineStr">
        <is>
          <t>Vacancies · mobile</t>
        </is>
      </c>
      <c r="C247" s="28" t="inlineStr">
        <is>
          <t>Content &amp; Iconography</t>
        </is>
      </c>
      <c r="D247" s="28" t="inlineStr">
        <is>
          <t>Major</t>
        </is>
      </c>
      <c r="E247" s="28" t="inlineStr">
        <is>
          <t>Figma: The approved Figma handoff frame for this screen. Design: “nodal ministry” · absent from the build  →  Live: The design frame carries “nodal ministry” (14px). Nothing with that text renders on the live page.</t>
        </is>
      </c>
      <c r="F247" s="28" t="inlineStr">
        <is>
          <t>Add the content the design carries, or confirm with the design team that it was dropped deliberately.</t>
        </is>
      </c>
      <c r="G247" s="28" t="inlineStr">
        <is>
          <t>https://www.figma.com/design/Ds5qx61QsI0ZkYSrLKxo0A/MoSJE--Handoff-?node-id=4571-105929</t>
        </is>
      </c>
      <c r="H247" s="28" t="n"/>
      <c r="I247" s="28" t="inlineStr">
        <is>
          <t>Open</t>
        </is>
      </c>
      <c r="J247" s="28" t="n"/>
      <c r="K247" s="28" t="n"/>
      <c r="L247" s="28" t="inlineStr">
        <is>
          <t>env: live</t>
        </is>
      </c>
      <c r="M247" s="28" t="inlineStr">
        <is>
          <t>Screen</t>
        </is>
      </c>
    </row>
    <row r="248">
      <c r="A248" s="27" t="inlineStr">
        <is>
          <t>WEB-SCREEN-232</t>
        </is>
      </c>
      <c r="B248" s="28" t="inlineStr">
        <is>
          <t>Vacancies · mobile</t>
        </is>
      </c>
      <c r="C248" s="28" t="inlineStr">
        <is>
          <t>Content &amp; Iconography</t>
        </is>
      </c>
      <c r="D248" s="28" t="inlineStr">
        <is>
          <t>Major</t>
        </is>
      </c>
      <c r="E248" s="28" t="inlineStr">
        <is>
          <t>Figma: The approved Figma handoff frame for this screen. Design: “shreshta@dosje.gov.in” · absent from the build  →  Live: The design frame carries “shreshta@dosje.gov.in” (12px). Nothing with that text renders on the live page.</t>
        </is>
      </c>
      <c r="F248" s="28" t="inlineStr">
        <is>
          <t>Add the content the design carries, or confirm with the design team that it was dropped deliberately.</t>
        </is>
      </c>
      <c r="G248" s="28" t="inlineStr">
        <is>
          <t>https://www.figma.com/design/Ds5qx61QsI0ZkYSrLKxo0A/MoSJE--Handoff-?node-id=4571-105929</t>
        </is>
      </c>
      <c r="H248" s="28" t="n"/>
      <c r="I248" s="28" t="inlineStr">
        <is>
          <t>Open</t>
        </is>
      </c>
      <c r="J248" s="28" t="n"/>
      <c r="K248" s="28" t="n"/>
      <c r="L248" s="28" t="inlineStr">
        <is>
          <t>env: live</t>
        </is>
      </c>
      <c r="M248" s="28" t="inlineStr">
        <is>
          <t>Screen</t>
        </is>
      </c>
    </row>
    <row r="249">
      <c r="A249" s="27" t="inlineStr">
        <is>
          <t>WEB-SCREEN-223</t>
        </is>
      </c>
      <c r="B249" s="28" t="inlineStr">
        <is>
          <t>Vacancies · mobile</t>
        </is>
      </c>
      <c r="C249" s="28" t="inlineStr">
        <is>
          <t>Content &amp; Iconography</t>
        </is>
      </c>
      <c r="D249" s="28" t="inlineStr">
        <is>
          <t>Major</t>
        </is>
      </c>
      <c r="E249" s="28" t="inlineStr">
        <is>
          <t>Figma: The approved Figma handoff frame for this screen. Design: “5th floor, lok nayak bhawan, khan market” · absent from the build  →  Live: The design frame carries “5th floor, lok nayak bhawan, khan market, new delhi - 110003” (12px). Nothing with that text renders on the live page.</t>
        </is>
      </c>
      <c r="F249" s="28" t="inlineStr">
        <is>
          <t>Add the content the design carries, or confirm with the design team that it was dropped deliberately.</t>
        </is>
      </c>
      <c r="G249" s="28" t="inlineStr">
        <is>
          <t>https://www.figma.com/design/Ds5qx61QsI0ZkYSrLKxo0A/MoSJE--Handoff-?node-id=4571-105929</t>
        </is>
      </c>
      <c r="H249" s="28" t="n"/>
      <c r="I249" s="28" t="inlineStr">
        <is>
          <t>Open</t>
        </is>
      </c>
      <c r="J249" s="28" t="n"/>
      <c r="K249" s="28" t="n"/>
      <c r="L249" s="28" t="inlineStr">
        <is>
          <t>env: live</t>
        </is>
      </c>
      <c r="M249" s="28" t="inlineStr">
        <is>
          <t>Screen</t>
        </is>
      </c>
    </row>
    <row r="250">
      <c r="A250" s="27" t="inlineStr">
        <is>
          <t>WEB-SCREEN-024</t>
        </is>
      </c>
      <c r="B250" s="28" t="inlineStr">
        <is>
          <t>Visitor Analytics · desktop</t>
        </is>
      </c>
      <c r="C250" s="28" t="inlineStr">
        <is>
          <t>Color &amp; Token</t>
        </is>
      </c>
      <c r="D250" s="28" t="inlineStr">
        <is>
          <t>Major</t>
        </is>
      </c>
      <c r="E250" s="28" t="inlineStr">
        <is>
          <t>Figma: WCAG 2.2 AA (1.4.3), carried into GIGW 3.0: text needs 4.5:1 against its background, or 3:1 at 24px+ / 18.66px+ bold.  →  Live: Text “Previous” (a.page-link) renders #938BB6 on #FFFFFF at 16px/400 — #938BB6 on #FFFFFF as painted on the capture: 3.18:1 against the 4.5:1 minimum. Also measured on the 375px capture of the same page.</t>
        </is>
      </c>
      <c r="F250" s="28" t="inlineStr">
        <is>
          <t>Darken the text or lighten its ground until the pair measures at least the required ratio, then re-check every place the pair is used.</t>
        </is>
      </c>
      <c r="G250" s="28" t="n"/>
      <c r="H250" s="28" t="inlineStr">
        <is>
          <t>https://www.dosje.gov.in/visitor-analytics/</t>
        </is>
      </c>
      <c r="I250" s="28" t="inlineStr">
        <is>
          <t>Open</t>
        </is>
      </c>
      <c r="J250" s="28" t="n"/>
      <c r="K250" s="28" t="n"/>
      <c r="L250" s="28" t="inlineStr">
        <is>
          <t>env: live</t>
        </is>
      </c>
      <c r="M250" s="28" t="inlineStr">
        <is>
          <t>Screen</t>
        </is>
      </c>
    </row>
    <row r="251">
      <c r="A251" s="27" t="inlineStr">
        <is>
          <t>WEB-SCREEN-240</t>
        </is>
      </c>
      <c r="B251" s="28" t="inlineStr">
        <is>
          <t>Whos Who · desktop</t>
        </is>
      </c>
      <c r="C251" s="28" t="inlineStr">
        <is>
          <t>Content &amp; Iconography</t>
        </is>
      </c>
      <c r="D251" s="28" t="inlineStr">
        <is>
          <t>Major</t>
        </is>
      </c>
      <c r="E251" s="28" t="inlineStr">
        <is>
          <t>Figma: The approved Figma handoff frame for this screen. Design: “discover the commissions, corporations, ” · absent from the build  →  Live: The design frame carries “discover the commissions, corporations, institutes and foundations that work col” (16px). Nothing with that text renders on the live page. Measured on 2 pages. Also measured on the 375px capture of the same page.</t>
        </is>
      </c>
      <c r="F251" s="28" t="inlineStr">
        <is>
          <t>Add the content the design carries, or confirm with the design team that it was dropped deliberately.</t>
        </is>
      </c>
      <c r="G251" s="28" t="inlineStr">
        <is>
          <t>https://www.figma.com/design/Ds5qx61QsI0ZkYSrLKxo0A/MoSJE--Handoff-?node-id=3453-8801</t>
        </is>
      </c>
      <c r="H251" s="28" t="n"/>
      <c r="I251" s="28" t="inlineStr">
        <is>
          <t>Open</t>
        </is>
      </c>
      <c r="J251" s="28" t="n"/>
      <c r="K251" s="28" t="n"/>
      <c r="L251" s="28" t="inlineStr">
        <is>
          <t>env: live</t>
        </is>
      </c>
      <c r="M251" s="28" t="inlineStr">
        <is>
          <t>Screen</t>
        </is>
      </c>
    </row>
    <row r="252">
      <c r="A252" s="27" t="inlineStr">
        <is>
          <t>WEB-SCREEN-245</t>
        </is>
      </c>
      <c r="B252" s="28" t="inlineStr">
        <is>
          <t>Whos Who · desktop</t>
        </is>
      </c>
      <c r="C252" s="28" t="inlineStr">
        <is>
          <t>Content &amp; Iconography</t>
        </is>
      </c>
      <c r="D252" s="28" t="inlineStr">
        <is>
          <t>Major</t>
        </is>
      </c>
      <c r="E252" s="28" t="inlineStr">
        <is>
          <t>Figma: The approved Figma handoff frame for this screen. Design: “mosje officials” · absent from the build  →  Live: The design frame carries “mosje officials” (28px). Nothing with that text renders on the live page. Also measured on the 375px capture of the same page.</t>
        </is>
      </c>
      <c r="F252" s="28" t="inlineStr">
        <is>
          <t>Add the content the design carries, or confirm with the design team that it was dropped deliberately.</t>
        </is>
      </c>
      <c r="G252" s="28" t="inlineStr">
        <is>
          <t>https://www.figma.com/design/Ds5qx61QsI0ZkYSrLKxo0A/MoSJE--Handoff-?node-id=3453-8801</t>
        </is>
      </c>
      <c r="H252" s="28" t="n"/>
      <c r="I252" s="28" t="inlineStr">
        <is>
          <t>Open</t>
        </is>
      </c>
      <c r="J252" s="28" t="n"/>
      <c r="K252" s="28" t="n"/>
      <c r="L252" s="28" t="inlineStr">
        <is>
          <t>env: live</t>
        </is>
      </c>
      <c r="M252" s="28" t="inlineStr">
        <is>
          <t>Screen</t>
        </is>
      </c>
    </row>
    <row r="253">
      <c r="A253" s="27" t="inlineStr">
        <is>
          <t>WEB-SCREEN-243</t>
        </is>
      </c>
      <c r="B253" s="28" t="inlineStr">
        <is>
          <t>Whos Who · desktop</t>
        </is>
      </c>
      <c r="C253" s="28" t="inlineStr">
        <is>
          <t>Content &amp; Iconography</t>
        </is>
      </c>
      <c r="D253" s="28" t="inlineStr">
        <is>
          <t>Major</t>
        </is>
      </c>
      <c r="E253" s="28" t="inlineStr">
        <is>
          <t>Figma: The approved Figma handoff frame for this screen. Design: “min-sje@nic.in” · absent from the build  →  Live: The design frame carries “min-sje@nic.in” (14px). Nothing with that text renders on the live page. Also measured on the 375px capture of the same page.</t>
        </is>
      </c>
      <c r="F253" s="28" t="inlineStr">
        <is>
          <t>Add the content the design carries, or confirm with the design team that it was dropped deliberately.</t>
        </is>
      </c>
      <c r="G253" s="28" t="inlineStr">
        <is>
          <t>https://www.figma.com/design/Ds5qx61QsI0ZkYSrLKxo0A/MoSJE--Handoff-?node-id=3453-8801</t>
        </is>
      </c>
      <c r="H253" s="28" t="n"/>
      <c r="I253" s="28" t="inlineStr">
        <is>
          <t>Open</t>
        </is>
      </c>
      <c r="J253" s="28" t="n"/>
      <c r="K253" s="28" t="n"/>
      <c r="L253" s="28" t="inlineStr">
        <is>
          <t>env: live</t>
        </is>
      </c>
      <c r="M253" s="28" t="inlineStr">
        <is>
          <t>Screen</t>
        </is>
      </c>
    </row>
    <row r="254">
      <c r="A254" s="27" t="inlineStr">
        <is>
          <t>WEB-SCREEN-236</t>
        </is>
      </c>
      <c r="B254" s="28" t="inlineStr">
        <is>
          <t>Whos Who · desktop</t>
        </is>
      </c>
      <c r="C254" s="28" t="inlineStr">
        <is>
          <t>Content &amp; Iconography</t>
        </is>
      </c>
      <c r="D254" s="28" t="inlineStr">
        <is>
          <t>Major</t>
        </is>
      </c>
      <c r="E254" s="28" t="inlineStr">
        <is>
          <t>Figma: The approved Figma handoff frame for this screen. Design: “201 c-wing, shastri bhawan, new delhi” · absent from the build  →  Live: The design frame carries “201 c-wing, shastri bhawan, new delhi” (14px). Nothing with that text renders on the live page. Also measured on the 375px capture of the same page.</t>
        </is>
      </c>
      <c r="F254" s="28" t="inlineStr">
        <is>
          <t>Add the content the design carries, or confirm with the design team that it was dropped deliberately.</t>
        </is>
      </c>
      <c r="G254" s="28" t="inlineStr">
        <is>
          <t>https://www.figma.com/design/Ds5qx61QsI0ZkYSrLKxo0A/MoSJE--Handoff-?node-id=3453-8801</t>
        </is>
      </c>
      <c r="H254" s="28" t="n"/>
      <c r="I254" s="28" t="inlineStr">
        <is>
          <t>Open</t>
        </is>
      </c>
      <c r="J254" s="28" t="n"/>
      <c r="K254" s="28" t="n"/>
      <c r="L254" s="28" t="inlineStr">
        <is>
          <t>env: live</t>
        </is>
      </c>
      <c r="M254" s="28" t="inlineStr">
        <is>
          <t>Screen</t>
        </is>
      </c>
    </row>
    <row r="255">
      <c r="A255" s="27" t="inlineStr">
        <is>
          <t>WEB-SCREEN-244</t>
        </is>
      </c>
      <c r="B255" s="28" t="inlineStr">
        <is>
          <t>Whos Who · desktop</t>
        </is>
      </c>
      <c r="C255" s="28" t="inlineStr">
        <is>
          <t>Content &amp; Iconography</t>
        </is>
      </c>
      <c r="D255" s="28" t="inlineStr">
        <is>
          <t>Major</t>
        </is>
      </c>
      <c r="E255" s="28" t="inlineStr">
        <is>
          <t>Figma: The approved Figma handoff frame for this screen. Design: “mosathawale@gmail.com” · absent from the build  →  Live: The design frame carries “mosathawale@gmail.com” (14px). Nothing with that text renders on the live page.</t>
        </is>
      </c>
      <c r="F255" s="28" t="inlineStr">
        <is>
          <t>Add the content the design carries, or confirm with the design team that it was dropped deliberately.</t>
        </is>
      </c>
      <c r="G255" s="28" t="inlineStr">
        <is>
          <t>https://www.figma.com/design/Ds5qx61QsI0ZkYSrLKxo0A/MoSJE--Handoff-?node-id=3453-8801</t>
        </is>
      </c>
      <c r="H255" s="28" t="n"/>
      <c r="I255" s="28" t="inlineStr">
        <is>
          <t>Open</t>
        </is>
      </c>
      <c r="J255" s="28" t="n"/>
      <c r="K255" s="28" t="n"/>
      <c r="L255" s="28" t="inlineStr">
        <is>
          <t>env: live</t>
        </is>
      </c>
      <c r="M255" s="28" t="inlineStr">
        <is>
          <t>Screen</t>
        </is>
      </c>
    </row>
    <row r="256">
      <c r="A256" s="27" t="inlineStr">
        <is>
          <t>WEB-SCREEN-250</t>
        </is>
      </c>
      <c r="B256" s="28" t="inlineStr">
        <is>
          <t>Whos Who · desktop</t>
        </is>
      </c>
      <c r="C256" s="28" t="inlineStr">
        <is>
          <t>Content &amp; Iconography</t>
        </is>
      </c>
      <c r="D256" s="28" t="inlineStr">
        <is>
          <t>Major</t>
        </is>
      </c>
      <c r="E256" s="28" t="inlineStr">
        <is>
          <t>Figma: The approved Figma handoff frame for this screen. Design: “shri b l verma” · absent from the build  →  Live: The design frame carries “shri b l verma” (16px). Nothing with that text renders on the live page. Also measured on the 375px capture of the same page.</t>
        </is>
      </c>
      <c r="F256" s="28" t="inlineStr">
        <is>
          <t>Add the content the design carries, or confirm with the design team that it was dropped deliberately.</t>
        </is>
      </c>
      <c r="G256" s="28" t="inlineStr">
        <is>
          <t>https://www.figma.com/design/Ds5qx61QsI0ZkYSrLKxo0A/MoSJE--Handoff-?node-id=3453-8801</t>
        </is>
      </c>
      <c r="H256" s="28" t="n"/>
      <c r="I256" s="28" t="inlineStr">
        <is>
          <t>Open</t>
        </is>
      </c>
      <c r="J256" s="28" t="n"/>
      <c r="K256" s="28" t="n"/>
      <c r="L256" s="28" t="inlineStr">
        <is>
          <t>env: live</t>
        </is>
      </c>
      <c r="M256" s="28" t="inlineStr">
        <is>
          <t>Screen</t>
        </is>
      </c>
    </row>
    <row r="257">
      <c r="A257" s="27" t="inlineStr">
        <is>
          <t>WEB-SCREEN-057</t>
        </is>
      </c>
      <c r="B257" s="28" t="inlineStr">
        <is>
          <t>Whos Who · mobile</t>
        </is>
      </c>
      <c r="C257" s="28" t="inlineStr">
        <is>
          <t>Layout &amp; Spacing</t>
        </is>
      </c>
      <c r="D257" s="28" t="inlineStr">
        <is>
          <t>Major</t>
        </is>
      </c>
      <c r="E257" s="28" t="inlineStr">
        <is>
          <t>Figma: UX4G 3.0 §6: interactive targets are at least 44×44px with 8px between them. WCAG 2.5.8 AA sets an absolute floor of 24×24.  →  Live: “Dr. Virendra Kumar” is 130×19px. UX4G 3.0 §6 sets 44×44px as the minimum interactive size; at 130×19 it is also below the WCAG 2.5.8 AA floor of 24×24.</t>
        </is>
      </c>
      <c r="F257" s="28" t="inlineStr">
        <is>
          <t>Grow the control, or add transparent padding around it, until it measures 44×44px with 8px clear of its neighbours.</t>
        </is>
      </c>
      <c r="G257" s="28" t="n"/>
      <c r="H257" s="28" t="inlineStr">
        <is>
          <t>https://www.dosje.gov.in/whos-who/</t>
        </is>
      </c>
      <c r="I257" s="28" t="inlineStr">
        <is>
          <t>Open</t>
        </is>
      </c>
      <c r="J257" s="28" t="n"/>
      <c r="K257" s="28" t="n"/>
      <c r="L257" s="28" t="inlineStr">
        <is>
          <t>env: live</t>
        </is>
      </c>
      <c r="M257" s="28" t="inlineStr">
        <is>
          <t>Screen</t>
        </is>
      </c>
    </row>
    <row r="258">
      <c r="A258" s="27" t="inlineStr">
        <is>
          <t>WEB-SCREEN-058</t>
        </is>
      </c>
      <c r="B258" s="28" t="inlineStr">
        <is>
          <t>Whos Who · mobile</t>
        </is>
      </c>
      <c r="C258" s="28" t="inlineStr">
        <is>
          <t>Layout &amp; Spacing</t>
        </is>
      </c>
      <c r="D258" s="28" t="inlineStr">
        <is>
          <t>Major</t>
        </is>
      </c>
      <c r="E258" s="28" t="inlineStr">
        <is>
          <t>Figma: UX4G 3.0 §6: interactive targets are at least 44×44px with 8px between them. WCAG 2.5.8 AA sets an absolute floor of 24×24.  →  Live: “Shri Kishor Makwana” is 144×19px. UX4G 3.0 §6 sets 44×44px as the minimum interactive size; at 144×19 it is also below the WCAG 2.5.8 AA floor of 24×24.</t>
        </is>
      </c>
      <c r="F258" s="28" t="inlineStr">
        <is>
          <t>Grow the control, or add transparent padding around it, until it measures 44×44px with 8px clear of its neighbours.</t>
        </is>
      </c>
      <c r="G258" s="28" t="n"/>
      <c r="H258" s="28" t="inlineStr">
        <is>
          <t>https://www.dosje.gov.in/whos-who/</t>
        </is>
      </c>
      <c r="I258" s="28" t="inlineStr">
        <is>
          <t>Open</t>
        </is>
      </c>
      <c r="J258" s="28" t="n"/>
      <c r="K258" s="28" t="n"/>
      <c r="L258" s="28" t="inlineStr">
        <is>
          <t>env: live</t>
        </is>
      </c>
      <c r="M258" s="28" t="inlineStr">
        <is>
          <t>Screen</t>
        </is>
      </c>
    </row>
    <row r="259">
      <c r="A259" s="27" t="inlineStr">
        <is>
          <t>WEB-SCREEN-288</t>
        </is>
      </c>
      <c r="B259" s="28" t="inlineStr">
        <is>
          <t>Whos Who · mobile</t>
        </is>
      </c>
      <c r="C259" s="28" t="inlineStr">
        <is>
          <t>Layout &amp; Spacing</t>
        </is>
      </c>
      <c r="D259" s="28" t="inlineStr">
        <is>
          <t>Major</t>
        </is>
      </c>
      <c r="E259" s="28" t="inlineStr">
        <is>
          <t>Figma: UX4G 3.0 §6: interactive targets are at least 44×44px with 8px between them. WCAG 2.5.8 AA sets an absolute floor of 24×24.  →  Live: “Shri Kaishab Bihari” is 129×19px. UX4G 3.0 §6 sets 44×44px as the minimum interactive size; at 129×19 it is also below the WCAG 2.5.8 AA floor of 24×24.</t>
        </is>
      </c>
      <c r="F259" s="28" t="inlineStr">
        <is>
          <t>Grow the control, or add transparent padding around it, until it measures 44×44px with 8px clear of its neighbours.</t>
        </is>
      </c>
      <c r="G259" s="28" t="n"/>
      <c r="H259" s="28" t="inlineStr">
        <is>
          <t>https://www.dosje.gov.in/whos-who/</t>
        </is>
      </c>
      <c r="I259" s="28" t="inlineStr">
        <is>
          <t>Open</t>
        </is>
      </c>
      <c r="J259" s="28" t="n"/>
      <c r="K259" s="28" t="n"/>
      <c r="L259" s="28" t="inlineStr">
        <is>
          <t>env: live</t>
        </is>
      </c>
      <c r="M259" s="28" t="inlineStr">
        <is>
          <t>Screen</t>
        </is>
      </c>
    </row>
    <row r="260">
      <c r="A260" s="27" t="inlineStr">
        <is>
          <t>WEB-SCREEN-289</t>
        </is>
      </c>
      <c r="B260" s="28" t="inlineStr">
        <is>
          <t>Whos Who · mobile</t>
        </is>
      </c>
      <c r="C260" s="28" t="inlineStr">
        <is>
          <t>Layout &amp; Spacing</t>
        </is>
      </c>
      <c r="D260" s="28" t="inlineStr">
        <is>
          <t>Major</t>
        </is>
      </c>
      <c r="E260" s="28" t="inlineStr">
        <is>
          <t>Figma: UX4G 3.0 §6: interactive targets are at least 44×44px with 8px between them. WCAG 2.5.8 AA sets an absolute floor of 24×24.  →  Live: “Sadhvi Niranjan Jyoti” is 142×19px. UX4G 3.0 §6 sets 44×44px as the minimum interactive size; at 142×19 it is also below the WCAG 2.5.8 AA floor of 24×24.</t>
        </is>
      </c>
      <c r="F260" s="28" t="inlineStr">
        <is>
          <t>Grow the control, or add transparent padding around it, until it measures 44×44px with 8px clear of its neighbours.</t>
        </is>
      </c>
      <c r="G260" s="28" t="n"/>
      <c r="H260" s="28" t="inlineStr">
        <is>
          <t>https://www.dosje.gov.in/whos-who/</t>
        </is>
      </c>
      <c r="I260" s="28" t="inlineStr">
        <is>
          <t>Open</t>
        </is>
      </c>
      <c r="J260" s="28" t="n"/>
      <c r="K260" s="28" t="n"/>
      <c r="L260" s="28" t="inlineStr">
        <is>
          <t>env: live</t>
        </is>
      </c>
      <c r="M260" s="28" t="inlineStr">
        <is>
          <t>Screen</t>
        </is>
      </c>
    </row>
    <row r="261">
      <c r="A261" s="27" t="inlineStr">
        <is>
          <t>WEB-SCREEN-235</t>
        </is>
      </c>
      <c r="B261" s="28" t="inlineStr">
        <is>
          <t>Whos Who · mobile</t>
        </is>
      </c>
      <c r="C261" s="28" t="inlineStr">
        <is>
          <t>Content &amp; Iconography</t>
        </is>
      </c>
      <c r="D261" s="28" t="inlineStr">
        <is>
          <t>Major</t>
        </is>
      </c>
      <c r="E261" s="28" t="inlineStr">
        <is>
          <t>Figma: The approved Figma handoff frame for this screen. Design: “101c-wing, shastri bhawan, new delhi” · absent from the build  →  Live: The design frame carries “101c-wing, shastri bhawan, new delhi” (14px). Nothing with that text renders on the live page.</t>
        </is>
      </c>
      <c r="F261" s="28" t="inlineStr">
        <is>
          <t>Add the content the design carries, or confirm with the design team that it was dropped deliberately.</t>
        </is>
      </c>
      <c r="G261" s="28" t="n"/>
      <c r="H261" s="28" t="inlineStr">
        <is>
          <t>https://www.dosje.gov.in/whos-who/</t>
        </is>
      </c>
      <c r="I261" s="28" t="inlineStr">
        <is>
          <t>Open</t>
        </is>
      </c>
      <c r="J261" s="28" t="n"/>
      <c r="K261" s="28" t="n"/>
      <c r="L261" s="28" t="inlineStr">
        <is>
          <t>env: live</t>
        </is>
      </c>
      <c r="M261" s="28" t="inlineStr">
        <is>
          <t>Screen</t>
        </is>
      </c>
    </row>
    <row r="262">
      <c r="A262" s="27" t="inlineStr">
        <is>
          <t>WEB-SCREEN-249</t>
        </is>
      </c>
      <c r="B262" s="28" t="inlineStr">
        <is>
          <t>Whos Who · mobile</t>
        </is>
      </c>
      <c r="C262" s="28" t="inlineStr">
        <is>
          <t>Content &amp; Iconography</t>
        </is>
      </c>
      <c r="D262" s="28" t="inlineStr">
        <is>
          <t>Major</t>
        </is>
      </c>
      <c r="E262" s="28" t="inlineStr">
        <is>
          <t>Figma: The approved Figma handoff frame for this screen. Design: “room no. 623, a-wing, shastri bhawan” · absent from the build  →  Live: The design frame carries “room no. 623, a-wing, shastri bhawan” (14px). Nothing with that text renders on the live page.</t>
        </is>
      </c>
      <c r="F262" s="28" t="inlineStr">
        <is>
          <t>Add the content the design carries, or confirm with the design team that it was dropped deliberately.</t>
        </is>
      </c>
      <c r="G262" s="28" t="n"/>
      <c r="H262" s="28" t="inlineStr">
        <is>
          <t>https://www.dosje.gov.in/whos-who/</t>
        </is>
      </c>
      <c r="I262" s="28" t="inlineStr">
        <is>
          <t>Open</t>
        </is>
      </c>
      <c r="J262" s="28" t="n"/>
      <c r="K262" s="28" t="n"/>
      <c r="L262" s="28" t="inlineStr">
        <is>
          <t>env: live</t>
        </is>
      </c>
      <c r="M262" s="28" t="inlineStr">
        <is>
          <t>Screen</t>
        </is>
      </c>
    </row>
    <row r="263">
      <c r="A263" s="27" t="inlineStr">
        <is>
          <t>WEB-GLOBAL-008</t>
        </is>
      </c>
      <c r="B263" s="28" t="inlineStr">
        <is>
          <t>—</t>
        </is>
      </c>
      <c r="C263" s="28" t="inlineStr">
        <is>
          <t>—</t>
        </is>
      </c>
      <c r="D263" s="28" t="inlineStr">
        <is>
          <t>—</t>
        </is>
      </c>
      <c r="E263" s="28" t="inlineStr">
        <is>
          <t>Global · No visible focus indicator — Open the accessibility option — Open the accessibility option</t>
        </is>
      </c>
      <c r="F263" s="28" t="inlineStr">
        <is>
          <t>No fix required — this finding was withdrawn.</t>
        </is>
      </c>
      <c r="G263" s="28" t="n"/>
      <c r="H263" s="28" t="n"/>
      <c r="I263" s="28" t="inlineStr">
        <is>
          <t>Withdrawn</t>
        </is>
      </c>
      <c r="J263" s="28" t="n"/>
      <c r="K263" s="28" t="n"/>
      <c r="L263" s="28" t="inlineStr">
        <is>
          <t>WITHDRAWN: Re-measured on pixels: the control is invisible until focused and then shows a visible ring. The first version compared styles, not what a keyboard user sees.</t>
        </is>
      </c>
      <c r="M263" s="28" t="inlineStr">
        <is>
          <t>—</t>
        </is>
      </c>
    </row>
    <row r="264">
      <c r="A264" s="27" t="inlineStr">
        <is>
          <t>WEB-GLOBAL-078</t>
        </is>
      </c>
      <c r="B264" s="28" t="inlineStr">
        <is>
          <t>—</t>
        </is>
      </c>
      <c r="C264" s="28" t="inlineStr">
        <is>
          <t>—</t>
        </is>
      </c>
      <c r="D264" s="28" t="inlineStr">
        <is>
          <t>—</t>
        </is>
      </c>
      <c r="E264" s="28" t="inlineStr">
        <is>
          <t>Global · Non-text control below 3:1 — Language Translator — Language Translator</t>
        </is>
      </c>
      <c r="F264" s="28" t="inlineStr">
        <is>
          <t>No fix required — this finding was withdrawn.</t>
        </is>
      </c>
      <c r="G264" s="28" t="n"/>
      <c r="H264" s="28" t="n"/>
      <c r="I264" s="28" t="inlineStr">
        <is>
          <t>Withdrawn</t>
        </is>
      </c>
      <c r="J264" s="28" t="n"/>
      <c r="K264" s="28" t="n"/>
      <c r="L264" s="28" t="inlineStr">
        <is>
          <t>WITHDRAWN: Re-measured on pixels with the element's own CSS colour: the pair passes on screen. The first version read an anti-aliased edge pixel as the text colour.</t>
        </is>
      </c>
      <c r="M264" s="28" t="inlineStr">
        <is>
          <t>—</t>
        </is>
      </c>
    </row>
    <row r="265">
      <c r="A265" s="27" t="inlineStr">
        <is>
          <t>WEB-GLOBAL-080</t>
        </is>
      </c>
      <c r="B265" s="28" t="inlineStr">
        <is>
          <t>—</t>
        </is>
      </c>
      <c r="C265" s="28" t="inlineStr">
        <is>
          <t>—</t>
        </is>
      </c>
      <c r="D265" s="28" t="inlineStr">
        <is>
          <t>—</t>
        </is>
      </c>
      <c r="E265" s="28" t="inlineStr">
        <is>
          <t>Global · Non-text control below 3:1 — Go to slide 1 — Go to slide 1</t>
        </is>
      </c>
      <c r="F265" s="28" t="inlineStr">
        <is>
          <t>No fix required — this finding was withdrawn.</t>
        </is>
      </c>
      <c r="G265" s="28" t="n"/>
      <c r="H265" s="28" t="n"/>
      <c r="I265" s="28" t="inlineStr">
        <is>
          <t>Withdrawn</t>
        </is>
      </c>
      <c r="J265" s="28" t="n"/>
      <c r="K265" s="28" t="n"/>
      <c r="L265" s="28" t="inlineStr">
        <is>
          <t>WITHDRAWN: Re-measured on pixels with the element's own CSS colour: the pair passes on screen. The first version read an anti-aliased edge pixel as the text colour.</t>
        </is>
      </c>
      <c r="M265" s="28" t="inlineStr">
        <is>
          <t>—</t>
        </is>
      </c>
    </row>
    <row r="266">
      <c r="A266" s="27" t="inlineStr">
        <is>
          <t>WEB-SCREEN-158</t>
        </is>
      </c>
      <c r="B266" s="28" t="inlineStr">
        <is>
          <t>—</t>
        </is>
      </c>
      <c r="C266" s="28" t="inlineStr">
        <is>
          <t>—</t>
        </is>
      </c>
      <c r="D266" s="28" t="inlineStr">
        <is>
          <t>—</t>
        </is>
      </c>
      <c r="E266" s="28" t="inlineStr">
        <is>
          <t>Home · desktop — new funding alert!</t>
        </is>
      </c>
      <c r="F266" s="28" t="inlineStr">
        <is>
          <t>No fix required — this finding was withdrawn.</t>
        </is>
      </c>
      <c r="G266" s="28" t="n"/>
      <c r="H266" s="28" t="n"/>
      <c r="I266" s="28" t="inlineStr">
        <is>
          <t>Withdrawn</t>
        </is>
      </c>
      <c r="J266" s="28" t="n"/>
      <c r="K266" s="28" t="n"/>
      <c r="L266" s="28" t="inlineStr">
        <is>
          <t>WITHDRAWN: Not reproduced on the re-capture of 18 September 2026.</t>
        </is>
      </c>
      <c r="M266" s="28" t="inlineStr">
        <is>
          <t>—</t>
        </is>
      </c>
    </row>
    <row r="267">
      <c r="A267" s="27" t="inlineStr">
        <is>
          <t>WEB-SCREEN-033</t>
        </is>
      </c>
      <c r="B267" s="28" t="inlineStr">
        <is>
          <t>—</t>
        </is>
      </c>
      <c r="C267" s="28" t="inlineStr">
        <is>
          <t>—</t>
        </is>
      </c>
      <c r="D267" s="28" t="inlineStr">
        <is>
          <t>—</t>
        </is>
      </c>
      <c r="E267" s="28" t="inlineStr">
        <is>
          <t>Home · mobile — Go to slide 1</t>
        </is>
      </c>
      <c r="F267" s="28" t="inlineStr">
        <is>
          <t>No fix required — this finding was withdrawn.</t>
        </is>
      </c>
      <c r="G267" s="28" t="n"/>
      <c r="H267" s="28" t="n"/>
      <c r="I267" s="28" t="inlineStr">
        <is>
          <t>Withdrawn</t>
        </is>
      </c>
      <c r="J267" s="28" t="n"/>
      <c r="K267" s="28" t="n"/>
      <c r="L267" s="28" t="inlineStr">
        <is>
          <t>WITHDRAWN: Not reproduced on the re-capture of 18 September 2026.</t>
        </is>
      </c>
      <c r="M267" s="28" t="inlineStr">
        <is>
          <t>—</t>
        </is>
      </c>
    </row>
    <row r="268">
      <c r="A268" s="27" t="inlineStr">
        <is>
          <t>WEB-SCREEN-036</t>
        </is>
      </c>
      <c r="B268" s="28" t="inlineStr">
        <is>
          <t>—</t>
        </is>
      </c>
      <c r="C268" s="28" t="inlineStr">
        <is>
          <t>—</t>
        </is>
      </c>
      <c r="D268" s="28" t="inlineStr">
        <is>
          <t>—</t>
        </is>
      </c>
      <c r="E268" s="28" t="inlineStr">
        <is>
          <t>Home · mobile — Go to slide 2</t>
        </is>
      </c>
      <c r="F268" s="28" t="inlineStr">
        <is>
          <t>No fix required — this finding was withdrawn.</t>
        </is>
      </c>
      <c r="G268" s="28" t="n"/>
      <c r="H268" s="28" t="n"/>
      <c r="I268" s="28" t="inlineStr">
        <is>
          <t>Withdrawn</t>
        </is>
      </c>
      <c r="J268" s="28" t="n"/>
      <c r="K268" s="28" t="n"/>
      <c r="L268" s="28" t="inlineStr">
        <is>
          <t>WITHDRAWN: Not reproduced on the re-capture of 18 September 2026.</t>
        </is>
      </c>
      <c r="M268" s="28" t="inlineStr">
        <is>
          <t>—</t>
        </is>
      </c>
    </row>
    <row r="269">
      <c r="A269" s="27" t="inlineStr">
        <is>
          <t>WEB-SCREEN-041</t>
        </is>
      </c>
      <c r="B269" s="28" t="inlineStr">
        <is>
          <t>—</t>
        </is>
      </c>
      <c r="C269" s="28" t="inlineStr">
        <is>
          <t>—</t>
        </is>
      </c>
      <c r="D269" s="28" t="inlineStr">
        <is>
          <t>—</t>
        </is>
      </c>
      <c r="E269" s="28" t="inlineStr">
        <is>
          <t>Procedure For Processing Grant In Aid Cases In Respect Of Voluntary Organisations · desktop — Home</t>
        </is>
      </c>
      <c r="F269" s="28" t="inlineStr">
        <is>
          <t>No fix required — this finding was withdrawn.</t>
        </is>
      </c>
      <c r="G269" s="28" t="n"/>
      <c r="H269" s="28" t="n"/>
      <c r="I269" s="28" t="inlineStr">
        <is>
          <t>Withdrawn</t>
        </is>
      </c>
      <c r="J269" s="28" t="n"/>
      <c r="K269" s="28" t="n"/>
      <c r="L269" s="28" t="inlineStr">
        <is>
          <t>WITHDRAWN: Not reproduced on the re-capture of 18 September 2026.</t>
        </is>
      </c>
      <c r="M269" s="28" t="inlineStr">
        <is>
          <t>—</t>
        </is>
      </c>
    </row>
    <row r="270">
      <c r="A270" s="27" t="inlineStr">
        <is>
          <t>WEB-SCREEN-042</t>
        </is>
      </c>
      <c r="B270" s="28" t="inlineStr">
        <is>
          <t>—</t>
        </is>
      </c>
      <c r="C270" s="28" t="inlineStr">
        <is>
          <t>—</t>
        </is>
      </c>
      <c r="D270" s="28" t="inlineStr">
        <is>
          <t>—</t>
        </is>
      </c>
      <c r="E270" s="28" t="inlineStr">
        <is>
          <t>Procedure For Processing Grant In Aid Cases In Respect Of Voluntary Organisations · desktop — Department</t>
        </is>
      </c>
      <c r="F270" s="28" t="inlineStr">
        <is>
          <t>No fix required — this finding was withdrawn.</t>
        </is>
      </c>
      <c r="G270" s="28" t="n"/>
      <c r="H270" s="28" t="n"/>
      <c r="I270" s="28" t="inlineStr">
        <is>
          <t>Withdrawn</t>
        </is>
      </c>
      <c r="J270" s="28" t="n"/>
      <c r="K270" s="28" t="n"/>
      <c r="L270" s="28" t="inlineStr">
        <is>
          <t>WITHDRAWN: Not reproduced on the re-capture of 18 September 2026.</t>
        </is>
      </c>
      <c r="M270" s="28" t="inlineStr">
        <is>
          <t>—</t>
        </is>
      </c>
    </row>
    <row r="271">
      <c r="A271" s="27" t="inlineStr">
        <is>
          <t>WEB-SCREEN-040</t>
        </is>
      </c>
      <c r="B271" s="28" t="inlineStr">
        <is>
          <t>—</t>
        </is>
      </c>
      <c r="C271" s="28" t="inlineStr">
        <is>
          <t>—</t>
        </is>
      </c>
      <c r="D271" s="28" t="inlineStr">
        <is>
          <t>—</t>
        </is>
      </c>
      <c r="E271" s="28" t="inlineStr">
        <is>
          <t>Procedure For Processing Grant In Aid Cases In Respect Of Voluntary Organisations · desktop — Associated Organisations</t>
        </is>
      </c>
      <c r="F271" s="28" t="inlineStr">
        <is>
          <t>No fix required — this finding was withdrawn.</t>
        </is>
      </c>
      <c r="G271" s="28" t="n"/>
      <c r="H271" s="28" t="n"/>
      <c r="I271" s="28" t="inlineStr">
        <is>
          <t>Withdrawn</t>
        </is>
      </c>
      <c r="J271" s="28" t="n"/>
      <c r="K271" s="28" t="n"/>
      <c r="L271" s="28" t="inlineStr">
        <is>
          <t>WITHDRAWN: Not reproduced on the re-capture of 18 September 2026.</t>
        </is>
      </c>
      <c r="M271" s="28" t="inlineStr">
        <is>
          <t>—</t>
        </is>
      </c>
    </row>
  </sheetData>
  <autoFilter ref="A1:M27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21"/>
  <sheetViews>
    <sheetView workbookViewId="0">
      <pane ySplit="1" topLeftCell="A2" activePane="bottomLeft" state="frozen"/>
      <selection pane="bottomLeft" activeCell="A1" sqref="A1"/>
    </sheetView>
  </sheetViews>
  <sheetFormatPr baseColWidth="8" defaultRowHeight="15"/>
  <cols>
    <col width="44" customWidth="1" min="1" max="1"/>
    <col width="18" customWidth="1" min="2" max="2"/>
    <col width="34" customWidth="1" min="3" max="3"/>
    <col width="12" customWidth="1" min="4" max="4"/>
    <col width="10" customWidth="1" min="5" max="5"/>
    <col width="14" customWidth="1" min="6" max="6"/>
    <col width="12" customWidth="1" min="7" max="7"/>
    <col width="52" customWidth="1" min="8" max="8"/>
  </cols>
  <sheetData>
    <row r="1">
      <c r="A1" s="29" t="inlineStr">
        <is>
          <t>Screen</t>
        </is>
      </c>
      <c r="B1" s="29" t="inlineStr">
        <is>
          <t>Section</t>
        </is>
      </c>
      <c r="C1" s="29" t="inlineStr">
        <is>
          <t>Figma URL</t>
        </is>
      </c>
      <c r="D1" s="29" t="inlineStr">
        <is>
          <t>Has Design?</t>
        </is>
      </c>
      <c r="E1" s="29" t="inlineStr">
        <is>
          <t>Built?</t>
        </is>
      </c>
      <c r="F1" s="29" t="inlineStr">
        <is>
          <t>QC Status</t>
        </is>
      </c>
      <c r="G1" s="29" t="inlineStr">
        <is>
          <t># Findings</t>
        </is>
      </c>
      <c r="H1" s="29" t="inlineStr">
        <is>
          <t>Notes</t>
        </is>
      </c>
    </row>
    <row r="2">
      <c r="A2" s="28" t="inlineStr">
        <is>
          <t>home</t>
        </is>
      </c>
      <c r="B2" s="28" t="inlineStr">
        <is>
          <t>Page</t>
        </is>
      </c>
      <c r="C2" s="28" t="inlineStr">
        <is>
          <t>https://www.figma.com/design/Ds5qx61QsI0ZkYSrLKxo0A/MoSJE--Handoff-?node-id=3453-7805</t>
        </is>
      </c>
      <c r="D2" s="28" t="inlineStr">
        <is>
          <t>Yes</t>
        </is>
      </c>
      <c r="E2" s="28" t="inlineStr">
        <is>
          <t>Yes</t>
        </is>
      </c>
      <c r="F2" s="28" t="inlineStr">
        <is>
          <t>Not captured</t>
        </is>
      </c>
      <c r="G2" s="28" t="n">
        <v>33</v>
      </c>
      <c r="H2" s="28" t="inlineStr">
        <is>
          <t>Home frames; UI Flow 'Home' (3453:7805) is the ✅ flow copy — the Home page's own 'Home' (51821:33657, 7216px) is newer and taller; human to choose which is current</t>
        </is>
      </c>
    </row>
    <row r="3">
      <c r="A3" s="28" t="inlineStr">
        <is>
          <t>footer-carousel</t>
        </is>
      </c>
      <c r="B3" s="28" t="inlineStr">
        <is>
          <t>Page</t>
        </is>
      </c>
      <c r="C3" s="28" t="inlineStr">
        <is>
          <t>https://www.figma.com/design/Ds5qx61QsI0ZkYSrLKxo0A/MoSJE--Handoff-?node-id=4432-105121</t>
        </is>
      </c>
      <c r="D3" s="28" t="inlineStr">
        <is>
          <t>Yes</t>
        </is>
      </c>
      <c r="E3" s="28" t="inlineStr">
        <is>
          <t>Yes</t>
        </is>
      </c>
      <c r="F3" s="28" t="inlineStr">
        <is>
          <t>Not captured</t>
        </is>
      </c>
      <c r="G3" s="28" t="n">
        <v>24</v>
      </c>
      <c r="H3" s="28" t="inlineStr">
        <is>
          <t>No page design; only a 'Carousel' strip on Home page (the live URL is a utility carousel page)</t>
        </is>
      </c>
    </row>
    <row r="4">
      <c r="A4" s="28" t="inlineStr">
        <is>
          <t>samavesh-citizen-portals</t>
        </is>
      </c>
      <c r="B4" s="28" t="inlineStr">
        <is>
          <t>Page</t>
        </is>
      </c>
      <c r="C4" s="28" t="inlineStr">
        <is>
          <t>https://www.figma.com/design/Ds5qx61QsI0ZkYSrLKxo0A/MoSJE--Handoff-?node-id=7116-34665</t>
        </is>
      </c>
      <c r="D4" s="28" t="inlineStr">
        <is>
          <t>Yes</t>
        </is>
      </c>
      <c r="E4" s="28" t="inlineStr">
        <is>
          <t>Yes</t>
        </is>
      </c>
      <c r="F4" s="28" t="inlineStr">
        <is>
          <t>Not captured</t>
        </is>
      </c>
      <c r="G4" s="28" t="n">
        <v>26</v>
      </c>
      <c r="H4" s="28" t="inlineStr">
        <is>
          <t>Home › Explore 'SAMAVESH Login (Citizen)' state shows the citizen portal chooser; not a standalone page</t>
        </is>
      </c>
    </row>
    <row r="5">
      <c r="A5" s="28" t="inlineStr">
        <is>
          <t>about-us</t>
        </is>
      </c>
      <c r="B5" s="28" t="inlineStr">
        <is>
          <t>Page</t>
        </is>
      </c>
      <c r="C5" s="28" t="inlineStr">
        <is>
          <t>https://www.figma.com/design/Ds5qx61QsI0ZkYSrLKxo0A/MoSJE--Handoff-?node-id=3453-8567</t>
        </is>
      </c>
      <c r="D5" s="28" t="inlineStr">
        <is>
          <t>Yes</t>
        </is>
      </c>
      <c r="E5" s="28" t="inlineStr">
        <is>
          <t>Yes</t>
        </is>
      </c>
      <c r="F5" s="28" t="inlineStr">
        <is>
          <t>Not captured</t>
        </is>
      </c>
      <c r="G5" s="28" t="n">
        <v>35</v>
      </c>
      <c r="H5" s="28" t="inlineStr">
        <is>
          <t>Ministry › About Us</t>
        </is>
      </c>
    </row>
    <row r="6">
      <c r="A6" s="28" t="inlineStr">
        <is>
          <t>miscellaneous</t>
        </is>
      </c>
      <c r="B6" s="28" t="inlineStr">
        <is>
          <t>Page</t>
        </is>
      </c>
      <c r="C6" s="28" t="n"/>
      <c r="D6" s="28" t="inlineStr">
        <is>
          <t>No</t>
        </is>
      </c>
      <c r="E6" s="28" t="inlineStr">
        <is>
          <t>Yes</t>
        </is>
      </c>
      <c r="F6" s="28" t="inlineStr">
        <is>
          <t>Not captured</t>
        </is>
      </c>
      <c r="G6" s="28" t="n">
        <v>25</v>
      </c>
      <c r="H6" s="28" t="inlineStr"/>
    </row>
    <row r="7">
      <c r="A7" s="28" t="inlineStr">
        <is>
          <t>meta-data</t>
        </is>
      </c>
      <c r="B7" s="28" t="inlineStr">
        <is>
          <t>Page</t>
        </is>
      </c>
      <c r="C7" s="28" t="n"/>
      <c r="D7" s="28" t="inlineStr">
        <is>
          <t>No</t>
        </is>
      </c>
      <c r="E7" s="28" t="inlineStr">
        <is>
          <t>Yes</t>
        </is>
      </c>
      <c r="F7" s="28" t="inlineStr">
        <is>
          <t>Not captured</t>
        </is>
      </c>
      <c r="G7" s="28" t="n">
        <v>25</v>
      </c>
      <c r="H7" s="28" t="inlineStr"/>
    </row>
    <row r="8">
      <c r="A8" s="28" t="inlineStr">
        <is>
          <t>mosje-directory</t>
        </is>
      </c>
      <c r="B8" s="28" t="inlineStr">
        <is>
          <t>Page</t>
        </is>
      </c>
      <c r="C8" s="28" t="inlineStr">
        <is>
          <t>https://www.figma.com/design/Ds5qx61QsI0ZkYSrLKxo0A/MoSJE--Handoff-?node-id=3453-9324</t>
        </is>
      </c>
      <c r="D8" s="28" t="inlineStr">
        <is>
          <t>Yes</t>
        </is>
      </c>
      <c r="E8" s="28" t="inlineStr">
        <is>
          <t>Yes</t>
        </is>
      </c>
      <c r="F8" s="28" t="inlineStr">
        <is>
          <t>Not captured</t>
        </is>
      </c>
      <c r="G8" s="28" t="n">
        <v>43</v>
      </c>
      <c r="H8" s="28" t="inlineStr">
        <is>
          <t>UI Flow names it 'Who’s Who -&gt; MoSJE'; Ministry page names it 'Ministry/Directory'</t>
        </is>
      </c>
    </row>
    <row r="9">
      <c r="A9" s="28" t="inlineStr">
        <is>
          <t>contact-us-2</t>
        </is>
      </c>
      <c r="B9" s="28" t="inlineStr">
        <is>
          <t>Page</t>
        </is>
      </c>
      <c r="C9" s="28" t="inlineStr">
        <is>
          <t>https://www.figma.com/design/Ds5qx61QsI0ZkYSrLKxo0A/MoSJE--Handoff-?node-id=3453-14723</t>
        </is>
      </c>
      <c r="D9" s="28" t="inlineStr">
        <is>
          <t>Yes</t>
        </is>
      </c>
      <c r="E9" s="28" t="inlineStr">
        <is>
          <t>Yes</t>
        </is>
      </c>
      <c r="F9" s="28" t="inlineStr">
        <is>
          <t>Not captured</t>
        </is>
      </c>
      <c r="G9" s="28" t="n">
        <v>26</v>
      </c>
      <c r="H9" s="28" t="inlineStr">
        <is>
          <t>Second contact page; closest is the organisation Contact Us (NCSC) variant</t>
        </is>
      </c>
    </row>
    <row r="10">
      <c r="A10" s="28" t="inlineStr">
        <is>
          <t>cookies</t>
        </is>
      </c>
      <c r="B10" s="28" t="inlineStr">
        <is>
          <t>Page</t>
        </is>
      </c>
      <c r="C10" s="28" t="inlineStr">
        <is>
          <t>https://www.figma.com/design/Ds5qx61QsI0ZkYSrLKxo0A/MoSJE--Handoff-?node-id=5243-126087</t>
        </is>
      </c>
      <c r="D10" s="28" t="inlineStr">
        <is>
          <t>Yes</t>
        </is>
      </c>
      <c r="E10" s="28" t="inlineStr">
        <is>
          <t>Yes</t>
        </is>
      </c>
      <c r="F10" s="28" t="inlineStr">
        <is>
          <t>Not captured</t>
        </is>
      </c>
      <c r="G10" s="28" t="n">
        <v>26</v>
      </c>
      <c r="H10" s="28" t="inlineStr">
        <is>
          <t>Individual policy/help page; design shows the combined Policies page</t>
        </is>
      </c>
    </row>
    <row r="11">
      <c r="A11" s="28" t="inlineStr">
        <is>
          <t>guidelines-for-assisting-ngos-voluntary-organisations</t>
        </is>
      </c>
      <c r="B11" s="28" t="inlineStr">
        <is>
          <t>Page</t>
        </is>
      </c>
      <c r="C11" s="28" t="n"/>
      <c r="D11" s="28" t="inlineStr">
        <is>
          <t>No</t>
        </is>
      </c>
      <c r="E11" s="28" t="inlineStr">
        <is>
          <t>Yes</t>
        </is>
      </c>
      <c r="F11" s="28" t="inlineStr">
        <is>
          <t>Not captured</t>
        </is>
      </c>
      <c r="G11" s="28" t="n">
        <v>25</v>
      </c>
      <c r="H11" s="28" t="inlineStr"/>
    </row>
    <row r="12">
      <c r="A12" s="28" t="inlineStr">
        <is>
          <t>list-of-scheduled-castes</t>
        </is>
      </c>
      <c r="B12" s="28" t="inlineStr">
        <is>
          <t>Page</t>
        </is>
      </c>
      <c r="C12" s="28" t="inlineStr">
        <is>
          <t>https://www.figma.com/design/Ds5qx61QsI0ZkYSrLKxo0A/MoSJE--Handoff-?node-id=3453-12795</t>
        </is>
      </c>
      <c r="D12" s="28" t="inlineStr">
        <is>
          <t>Yes</t>
        </is>
      </c>
      <c r="E12" s="28" t="inlineStr">
        <is>
          <t>Yes</t>
        </is>
      </c>
      <c r="F12" s="28" t="inlineStr">
        <is>
          <t>Not captured</t>
        </is>
      </c>
      <c r="G12" s="28" t="n">
        <v>28</v>
      </c>
      <c r="H12" s="28" t="inlineStr">
        <is>
          <t>Document-listing page; the only drawn document list is Annual Reports</t>
        </is>
      </c>
    </row>
    <row r="13">
      <c r="A13" s="28" t="inlineStr">
        <is>
          <t>advertisement</t>
        </is>
      </c>
      <c r="B13" s="28" t="inlineStr">
        <is>
          <t>Page</t>
        </is>
      </c>
      <c r="C13" s="28" t="inlineStr">
        <is>
          <t>https://www.figma.com/design/Ds5qx61QsI0ZkYSrLKxo0A/MoSJE--Handoff-?node-id=3453-12795</t>
        </is>
      </c>
      <c r="D13" s="28" t="inlineStr">
        <is>
          <t>Yes</t>
        </is>
      </c>
      <c r="E13" s="28" t="inlineStr">
        <is>
          <t>Yes</t>
        </is>
      </c>
      <c r="F13" s="28" t="inlineStr">
        <is>
          <t>Not captured</t>
        </is>
      </c>
      <c r="G13" s="28" t="n">
        <v>28</v>
      </c>
      <c r="H13" s="28" t="inlineStr">
        <is>
          <t>Document-listing page; the only drawn document list is Annual Reports</t>
        </is>
      </c>
    </row>
    <row r="14">
      <c r="A14" s="28" t="inlineStr">
        <is>
          <t>visitor-analytics</t>
        </is>
      </c>
      <c r="B14" s="28" t="inlineStr">
        <is>
          <t>Page</t>
        </is>
      </c>
      <c r="C14" s="28" t="n"/>
      <c r="D14" s="28" t="inlineStr">
        <is>
          <t>No</t>
        </is>
      </c>
      <c r="E14" s="28" t="inlineStr">
        <is>
          <t>Yes</t>
        </is>
      </c>
      <c r="F14" s="28" t="inlineStr">
        <is>
          <t>Not captured</t>
        </is>
      </c>
      <c r="G14" s="28" t="n">
        <v>27</v>
      </c>
      <c r="H14" s="28" t="inlineStr"/>
    </row>
    <row r="15">
      <c r="A15" s="28" t="inlineStr">
        <is>
          <t>whos-who</t>
        </is>
      </c>
      <c r="B15" s="28" t="inlineStr">
        <is>
          <t>Page</t>
        </is>
      </c>
      <c r="C15" s="28" t="inlineStr">
        <is>
          <t>https://www.figma.com/design/Ds5qx61QsI0ZkYSrLKxo0A/MoSJE--Handoff-?node-id=3453-8801</t>
        </is>
      </c>
      <c r="D15" s="28" t="inlineStr">
        <is>
          <t>Yes</t>
        </is>
      </c>
      <c r="E15" s="28" t="inlineStr">
        <is>
          <t>Yes</t>
        </is>
      </c>
      <c r="F15" s="28" t="inlineStr">
        <is>
          <t>Not captured</t>
        </is>
      </c>
      <c r="G15" s="28" t="n">
        <v>36</v>
      </c>
      <c r="H15" s="28" t="inlineStr">
        <is>
          <t>Ministry › Who’s Who</t>
        </is>
      </c>
    </row>
    <row r="16">
      <c r="A16" s="28" t="inlineStr">
        <is>
          <t>bjrnf-directory</t>
        </is>
      </c>
      <c r="B16" s="28" t="inlineStr">
        <is>
          <t>Page</t>
        </is>
      </c>
      <c r="C16" s="28" t="inlineStr">
        <is>
          <t>https://www.figma.com/design/Ds5qx61QsI0ZkYSrLKxo0A/MoSJE--Handoff-?node-id=3453-9324</t>
        </is>
      </c>
      <c r="D16" s="28" t="inlineStr">
        <is>
          <t>Yes</t>
        </is>
      </c>
      <c r="E16" s="28" t="inlineStr">
        <is>
          <t>Yes</t>
        </is>
      </c>
      <c r="F16" s="28" t="inlineStr">
        <is>
          <t>Not captured</t>
        </is>
      </c>
      <c r="G16" s="28" t="n">
        <v>30</v>
      </c>
      <c r="H16" s="28" t="inlineStr">
        <is>
          <t>Organisation directory pages share the MoSJE Directory design</t>
        </is>
      </c>
    </row>
    <row r="17">
      <c r="A17" s="28" t="inlineStr">
        <is>
          <t>help</t>
        </is>
      </c>
      <c r="B17" s="28" t="inlineStr">
        <is>
          <t>Page</t>
        </is>
      </c>
      <c r="C17" s="28" t="inlineStr">
        <is>
          <t>https://www.figma.com/design/Ds5qx61QsI0ZkYSrLKxo0A/MoSJE--Handoff-?node-id=5243-126087</t>
        </is>
      </c>
      <c r="D17" s="28" t="inlineStr">
        <is>
          <t>Yes</t>
        </is>
      </c>
      <c r="E17" s="28" t="inlineStr">
        <is>
          <t>Yes</t>
        </is>
      </c>
      <c r="F17" s="28" t="inlineStr">
        <is>
          <t>Not captured</t>
        </is>
      </c>
      <c r="G17" s="28" t="n">
        <v>25</v>
      </c>
      <c r="H17" s="28" t="inlineStr">
        <is>
          <t>Individual policy/help page; design shows the combined Policies page</t>
        </is>
      </c>
    </row>
    <row r="18">
      <c r="A18" s="28" t="inlineStr">
        <is>
          <t>copyright-policy</t>
        </is>
      </c>
      <c r="B18" s="28" t="inlineStr">
        <is>
          <t>Page</t>
        </is>
      </c>
      <c r="C18" s="28" t="inlineStr">
        <is>
          <t>https://www.figma.com/design/Ds5qx61QsI0ZkYSrLKxo0A/MoSJE--Handoff-?node-id=5243-126087</t>
        </is>
      </c>
      <c r="D18" s="28" t="inlineStr">
        <is>
          <t>Yes</t>
        </is>
      </c>
      <c r="E18" s="28" t="inlineStr">
        <is>
          <t>Yes</t>
        </is>
      </c>
      <c r="F18" s="28" t="inlineStr">
        <is>
          <t>Not captured</t>
        </is>
      </c>
      <c r="G18" s="28" t="n">
        <v>25</v>
      </c>
      <c r="H18" s="28" t="inlineStr">
        <is>
          <t>Individual policy/help page; design shows the combined Policies page</t>
        </is>
      </c>
    </row>
    <row r="19">
      <c r="A19" s="28" t="inlineStr">
        <is>
          <t>hyperlinking-policy</t>
        </is>
      </c>
      <c r="B19" s="28" t="inlineStr">
        <is>
          <t>Page</t>
        </is>
      </c>
      <c r="C19" s="28" t="inlineStr">
        <is>
          <t>https://www.figma.com/design/Ds5qx61QsI0ZkYSrLKxo0A/MoSJE--Handoff-?node-id=5243-126087</t>
        </is>
      </c>
      <c r="D19" s="28" t="inlineStr">
        <is>
          <t>Yes</t>
        </is>
      </c>
      <c r="E19" s="28" t="inlineStr">
        <is>
          <t>Yes</t>
        </is>
      </c>
      <c r="F19" s="28" t="inlineStr">
        <is>
          <t>Not captured</t>
        </is>
      </c>
      <c r="G19" s="28" t="n">
        <v>25</v>
      </c>
      <c r="H19" s="28" t="inlineStr">
        <is>
          <t>Individual policy/help page; design shows the combined Policies page</t>
        </is>
      </c>
    </row>
    <row r="20">
      <c r="A20" s="28" t="inlineStr">
        <is>
          <t>daic-directory</t>
        </is>
      </c>
      <c r="B20" s="28" t="inlineStr">
        <is>
          <t>Page</t>
        </is>
      </c>
      <c r="C20" s="28" t="inlineStr">
        <is>
          <t>https://www.figma.com/design/Ds5qx61QsI0ZkYSrLKxo0A/MoSJE--Handoff-?node-id=3453-9324</t>
        </is>
      </c>
      <c r="D20" s="28" t="inlineStr">
        <is>
          <t>Yes</t>
        </is>
      </c>
      <c r="E20" s="28" t="inlineStr">
        <is>
          <t>Yes</t>
        </is>
      </c>
      <c r="F20" s="28" t="inlineStr">
        <is>
          <t>Not captured</t>
        </is>
      </c>
      <c r="G20" s="28" t="n">
        <v>30</v>
      </c>
      <c r="H20" s="28" t="inlineStr">
        <is>
          <t>Organisation directory pages share the MoSJE Directory design</t>
        </is>
      </c>
    </row>
    <row r="21">
      <c r="A21" s="28" t="inlineStr">
        <is>
          <t>nisd-directory</t>
        </is>
      </c>
      <c r="B21" s="28" t="inlineStr">
        <is>
          <t>Page</t>
        </is>
      </c>
      <c r="C21" s="28" t="inlineStr">
        <is>
          <t>https://www.figma.com/design/Ds5qx61QsI0ZkYSrLKxo0A/MoSJE--Handoff-?node-id=3453-9324</t>
        </is>
      </c>
      <c r="D21" s="28" t="inlineStr">
        <is>
          <t>Yes</t>
        </is>
      </c>
      <c r="E21" s="28" t="inlineStr">
        <is>
          <t>Yes</t>
        </is>
      </c>
      <c r="F21" s="28" t="inlineStr">
        <is>
          <t>Not captured</t>
        </is>
      </c>
      <c r="G21" s="28" t="n">
        <v>27</v>
      </c>
      <c r="H21" s="28" t="inlineStr">
        <is>
          <t>Organisation directory pages share the MoSJE Directory design</t>
        </is>
      </c>
    </row>
    <row r="22">
      <c r="A22" s="28" t="inlineStr">
        <is>
          <t>samavesh-admin-portals</t>
        </is>
      </c>
      <c r="B22" s="28" t="inlineStr">
        <is>
          <t>Page</t>
        </is>
      </c>
      <c r="C22" s="28" t="inlineStr">
        <is>
          <t>https://www.figma.com/design/Ds5qx61QsI0ZkYSrLKxo0A/MoSJE--Handoff-?node-id=7298-28616</t>
        </is>
      </c>
      <c r="D22" s="28" t="inlineStr">
        <is>
          <t>Yes</t>
        </is>
      </c>
      <c r="E22" s="28" t="inlineStr">
        <is>
          <t>Yes</t>
        </is>
      </c>
      <c r="F22" s="28" t="inlineStr">
        <is>
          <t>Not captured</t>
        </is>
      </c>
      <c r="G22" s="28" t="n">
        <v>26</v>
      </c>
      <c r="H22" s="28" t="inlineStr">
        <is>
          <t>Home › Explore 'SAMAVESH Login (Admin)' — portal chooser drawn as a Home state</t>
        </is>
      </c>
    </row>
    <row r="23">
      <c r="A23" s="28" t="inlineStr">
        <is>
          <t>pm-ajay-directory</t>
        </is>
      </c>
      <c r="B23" s="28" t="inlineStr">
        <is>
          <t>Page</t>
        </is>
      </c>
      <c r="C23" s="28" t="inlineStr">
        <is>
          <t>https://www.figma.com/design/Ds5qx61QsI0ZkYSrLKxo0A/MoSJE--Handoff-?node-id=3453-9324</t>
        </is>
      </c>
      <c r="D23" s="28" t="inlineStr">
        <is>
          <t>Yes</t>
        </is>
      </c>
      <c r="E23" s="28" t="inlineStr">
        <is>
          <t>Yes</t>
        </is>
      </c>
      <c r="F23" s="28" t="inlineStr">
        <is>
          <t>Not captured</t>
        </is>
      </c>
      <c r="G23" s="28" t="n">
        <v>28</v>
      </c>
      <c r="H23" s="28" t="inlineStr">
        <is>
          <t>Organisation directory pages share the MoSJE Directory design</t>
        </is>
      </c>
    </row>
    <row r="24">
      <c r="A24" s="28" t="inlineStr">
        <is>
          <t>resources</t>
        </is>
      </c>
      <c r="B24" s="28" t="inlineStr">
        <is>
          <t>Page</t>
        </is>
      </c>
      <c r="C24" s="28" t="inlineStr">
        <is>
          <t>https://www.figma.com/design/Ds5qx61QsI0ZkYSrLKxo0A/MoSJE--Handoff-?node-id=3453-12795</t>
        </is>
      </c>
      <c r="D24" s="28" t="inlineStr">
        <is>
          <t>Yes</t>
        </is>
      </c>
      <c r="E24" s="28" t="inlineStr">
        <is>
          <t>Yes</t>
        </is>
      </c>
      <c r="F24" s="28" t="inlineStr">
        <is>
          <t>Not captured</t>
        </is>
      </c>
      <c r="G24" s="28" t="n">
        <v>28</v>
      </c>
      <c r="H24" s="28" t="inlineStr">
        <is>
          <t>Document-listing page; the only drawn document list is Annual Reports</t>
        </is>
      </c>
    </row>
    <row r="25">
      <c r="A25" s="28" t="inlineStr">
        <is>
          <t>nsfdc-directory</t>
        </is>
      </c>
      <c r="B25" s="28" t="inlineStr">
        <is>
          <t>Page</t>
        </is>
      </c>
      <c r="C25" s="28" t="inlineStr">
        <is>
          <t>https://www.figma.com/design/Ds5qx61QsI0ZkYSrLKxo0A/MoSJE--Handoff-?node-id=3453-9324</t>
        </is>
      </c>
      <c r="D25" s="28" t="inlineStr">
        <is>
          <t>Yes</t>
        </is>
      </c>
      <c r="E25" s="28" t="inlineStr">
        <is>
          <t>Yes</t>
        </is>
      </c>
      <c r="F25" s="28" t="inlineStr">
        <is>
          <t>Not captured</t>
        </is>
      </c>
      <c r="G25" s="28" t="n">
        <v>29</v>
      </c>
      <c r="H25" s="28" t="inlineStr">
        <is>
          <t>Organisation directory pages share the MoSJE Directory design</t>
        </is>
      </c>
    </row>
    <row r="26">
      <c r="A26" s="28" t="inlineStr">
        <is>
          <t>nhaa-directory</t>
        </is>
      </c>
      <c r="B26" s="28" t="inlineStr">
        <is>
          <t>Page</t>
        </is>
      </c>
      <c r="C26" s="28" t="inlineStr">
        <is>
          <t>https://www.figma.com/design/Ds5qx61QsI0ZkYSrLKxo0A/MoSJE--Handoff-?node-id=3453-9324</t>
        </is>
      </c>
      <c r="D26" s="28" t="inlineStr">
        <is>
          <t>Yes</t>
        </is>
      </c>
      <c r="E26" s="28" t="inlineStr">
        <is>
          <t>Yes</t>
        </is>
      </c>
      <c r="F26" s="28" t="inlineStr">
        <is>
          <t>Not captured</t>
        </is>
      </c>
      <c r="G26" s="28" t="n">
        <v>28</v>
      </c>
      <c r="H26" s="28" t="inlineStr">
        <is>
          <t>Organisation directory pages share the MoSJE Directory design</t>
        </is>
      </c>
    </row>
    <row r="27">
      <c r="A27" s="28" t="inlineStr">
        <is>
          <t>official-language-act</t>
        </is>
      </c>
      <c r="B27" s="28" t="inlineStr">
        <is>
          <t>Page</t>
        </is>
      </c>
      <c r="C27" s="28" t="n"/>
      <c r="D27" s="28" t="inlineStr">
        <is>
          <t>No</t>
        </is>
      </c>
      <c r="E27" s="28" t="inlineStr">
        <is>
          <t>Yes</t>
        </is>
      </c>
      <c r="F27" s="28" t="inlineStr">
        <is>
          <t>Not captured</t>
        </is>
      </c>
      <c r="G27" s="28" t="n">
        <v>23</v>
      </c>
      <c r="H27" s="28" t="inlineStr"/>
    </row>
    <row r="28">
      <c r="A28" s="28" t="inlineStr">
        <is>
          <t>terms-conditions</t>
        </is>
      </c>
      <c r="B28" s="28" t="inlineStr">
        <is>
          <t>Page</t>
        </is>
      </c>
      <c r="C28" s="28" t="inlineStr">
        <is>
          <t>https://www.figma.com/design/Ds5qx61QsI0ZkYSrLKxo0A/MoSJE--Handoff-?node-id=5243-126087</t>
        </is>
      </c>
      <c r="D28" s="28" t="inlineStr">
        <is>
          <t>Yes</t>
        </is>
      </c>
      <c r="E28" s="28" t="inlineStr">
        <is>
          <t>Yes</t>
        </is>
      </c>
      <c r="F28" s="28" t="inlineStr">
        <is>
          <t>Not captured</t>
        </is>
      </c>
      <c r="G28" s="28" t="n">
        <v>25</v>
      </c>
      <c r="H28" s="28" t="inlineStr">
        <is>
          <t>Individual policy/help page; design shows the combined Policies page</t>
        </is>
      </c>
    </row>
    <row r="29">
      <c r="A29" s="28" t="inlineStr">
        <is>
          <t>updates</t>
        </is>
      </c>
      <c r="B29" s="28" t="inlineStr">
        <is>
          <t>Page</t>
        </is>
      </c>
      <c r="C29" s="28" t="inlineStr">
        <is>
          <t>https://www.figma.com/design/Ds5qx61QsI0ZkYSrLKxo0A/MoSJE--Handoff-?node-id=3453-8192</t>
        </is>
      </c>
      <c r="D29" s="28" t="inlineStr">
        <is>
          <t>Yes</t>
        </is>
      </c>
      <c r="E29" s="28" t="inlineStr">
        <is>
          <t>Yes</t>
        </is>
      </c>
      <c r="F29" s="28" t="inlineStr">
        <is>
          <t>Not captured</t>
        </is>
      </c>
      <c r="G29" s="28" t="n">
        <v>29</v>
      </c>
      <c r="H29" s="28" t="inlineStr">
        <is>
          <t>No updates listing page; only the Latest Updates side sheet / 'Home -&gt; View All Updates' state</t>
        </is>
      </c>
    </row>
    <row r="30">
      <c r="A30" s="28" t="inlineStr">
        <is>
          <t>vacancies</t>
        </is>
      </c>
      <c r="B30" s="28" t="inlineStr">
        <is>
          <t>Page</t>
        </is>
      </c>
      <c r="C30" s="28" t="inlineStr">
        <is>
          <t>https://www.figma.com/design/Ds5qx61QsI0ZkYSrLKxo0A/MoSJE--Handoff-?node-id=3453-12427</t>
        </is>
      </c>
      <c r="D30" s="28" t="inlineStr">
        <is>
          <t>Yes</t>
        </is>
      </c>
      <c r="E30" s="28" t="inlineStr">
        <is>
          <t>Yes</t>
        </is>
      </c>
      <c r="F30" s="28" t="inlineStr">
        <is>
          <t>Not captured</t>
        </is>
      </c>
      <c r="G30" s="28" t="n">
        <v>41</v>
      </c>
      <c r="H30" s="28" t="inlineStr">
        <is>
          <t>Offerings › Vacancies</t>
        </is>
      </c>
    </row>
    <row r="31">
      <c r="A31" s="28" t="inlineStr">
        <is>
          <t>tenders</t>
        </is>
      </c>
      <c r="B31" s="28" t="inlineStr">
        <is>
          <t>Page</t>
        </is>
      </c>
      <c r="C31" s="28" t="inlineStr">
        <is>
          <t>https://www.figma.com/design/Ds5qx61QsI0ZkYSrLKxo0A/MoSJE--Handoff-?node-id=3453-12568</t>
        </is>
      </c>
      <c r="D31" s="28" t="inlineStr">
        <is>
          <t>Yes</t>
        </is>
      </c>
      <c r="E31" s="28" t="inlineStr">
        <is>
          <t>Yes</t>
        </is>
      </c>
      <c r="F31" s="28" t="inlineStr">
        <is>
          <t>Not captured</t>
        </is>
      </c>
      <c r="G31" s="28" t="n">
        <v>36</v>
      </c>
      <c r="H31" s="28" t="inlineStr">
        <is>
          <t>Offerings › Tenders</t>
        </is>
      </c>
    </row>
    <row r="32">
      <c r="A32" s="28" t="inlineStr">
        <is>
          <t>supreme-court-judgement</t>
        </is>
      </c>
      <c r="B32" s="28" t="inlineStr">
        <is>
          <t>Page</t>
        </is>
      </c>
      <c r="C32" s="28" t="inlineStr">
        <is>
          <t>https://www.figma.com/design/Ds5qx61QsI0ZkYSrLKxo0A/MoSJE--Handoff-?node-id=3453-12795</t>
        </is>
      </c>
      <c r="D32" s="28" t="inlineStr">
        <is>
          <t>Yes</t>
        </is>
      </c>
      <c r="E32" s="28" t="inlineStr">
        <is>
          <t>Yes</t>
        </is>
      </c>
      <c r="F32" s="28" t="inlineStr">
        <is>
          <t>Not captured</t>
        </is>
      </c>
      <c r="G32" s="28" t="n">
        <v>28</v>
      </c>
      <c r="H32" s="28" t="inlineStr">
        <is>
          <t>Document-listing page; the only drawn document list is Annual Reports</t>
        </is>
      </c>
    </row>
    <row r="33">
      <c r="A33" s="28" t="inlineStr">
        <is>
          <t>schemes-services</t>
        </is>
      </c>
      <c r="B33" s="28" t="inlineStr">
        <is>
          <t>Page</t>
        </is>
      </c>
      <c r="C33" s="28" t="inlineStr">
        <is>
          <t>https://www.figma.com/design/Ds5qx61QsI0ZkYSrLKxo0A/MoSJE--Handoff-?node-id=3453-12250</t>
        </is>
      </c>
      <c r="D33" s="28" t="inlineStr">
        <is>
          <t>Yes</t>
        </is>
      </c>
      <c r="E33" s="28" t="inlineStr">
        <is>
          <t>Yes</t>
        </is>
      </c>
      <c r="F33" s="28" t="inlineStr">
        <is>
          <t>Not captured</t>
        </is>
      </c>
      <c r="G33" s="28" t="n">
        <v>36</v>
      </c>
      <c r="H33" s="28" t="inlineStr">
        <is>
          <t>Offerings › Schemes &amp; Services; newer 'Scheme Discovery — Finalised for Handoff (Review of 14 September)' frames (52428:9723 etc.) supersede it per the Read Me — human to confirm</t>
        </is>
      </c>
    </row>
    <row r="34">
      <c r="A34" s="28" t="inlineStr">
        <is>
          <t>suo-moto-disclosure</t>
        </is>
      </c>
      <c r="B34" s="28" t="inlineStr">
        <is>
          <t>Page</t>
        </is>
      </c>
      <c r="C34" s="28" t="inlineStr">
        <is>
          <t>https://www.figma.com/design/Ds5qx61QsI0ZkYSrLKxo0A/MoSJE--Handoff-?node-id=3453-14426</t>
        </is>
      </c>
      <c r="D34" s="28" t="inlineStr">
        <is>
          <t>Yes</t>
        </is>
      </c>
      <c r="E34" s="28" t="inlineStr">
        <is>
          <t>Yes</t>
        </is>
      </c>
      <c r="F34" s="28" t="inlineStr">
        <is>
          <t>Not captured</t>
        </is>
      </c>
      <c r="G34" s="28" t="n">
        <v>35</v>
      </c>
      <c r="H34" s="28" t="inlineStr">
        <is>
          <t>Connect › RTI › Suo-moto Disclosure</t>
        </is>
      </c>
    </row>
    <row r="35">
      <c r="A35" s="28" t="inlineStr">
        <is>
          <t>policies</t>
        </is>
      </c>
      <c r="B35" s="28" t="inlineStr">
        <is>
          <t>Page</t>
        </is>
      </c>
      <c r="C35" s="28" t="inlineStr">
        <is>
          <t>https://www.figma.com/design/Ds5qx61QsI0ZkYSrLKxo0A/MoSJE--Handoff-?node-id=5243-126087</t>
        </is>
      </c>
      <c r="D35" s="28" t="inlineStr">
        <is>
          <t>Yes</t>
        </is>
      </c>
      <c r="E35" s="28" t="inlineStr">
        <is>
          <t>Yes</t>
        </is>
      </c>
      <c r="F35" s="28" t="inlineStr">
        <is>
          <t>Not captured</t>
        </is>
      </c>
      <c r="G35" s="28" t="n">
        <v>29</v>
      </c>
      <c r="H35" s="28" t="inlineStr">
        <is>
          <t>Compliance Pages › Policies (mobile frame is misnamed 'Search result' in Policies section)</t>
        </is>
      </c>
    </row>
    <row r="36">
      <c r="A36" s="28" t="inlineStr">
        <is>
          <t>newsletter</t>
        </is>
      </c>
      <c r="B36" s="28" t="inlineStr">
        <is>
          <t>Page</t>
        </is>
      </c>
      <c r="C36" s="28" t="inlineStr">
        <is>
          <t>https://www.figma.com/design/Ds5qx61QsI0ZkYSrLKxo0A/MoSJE--Handoff-?node-id=3453-12795</t>
        </is>
      </c>
      <c r="D36" s="28" t="inlineStr">
        <is>
          <t>Yes</t>
        </is>
      </c>
      <c r="E36" s="28" t="inlineStr">
        <is>
          <t>Yes</t>
        </is>
      </c>
      <c r="F36" s="28" t="inlineStr">
        <is>
          <t>Not captured</t>
        </is>
      </c>
      <c r="G36" s="28" t="n">
        <v>28</v>
      </c>
      <c r="H36" s="28" t="inlineStr">
        <is>
          <t>Document-listing page; the only drawn document list is Annual Reports</t>
        </is>
      </c>
    </row>
    <row r="37">
      <c r="A37" s="28" t="inlineStr">
        <is>
          <t>publications</t>
        </is>
      </c>
      <c r="B37" s="28" t="inlineStr">
        <is>
          <t>Page</t>
        </is>
      </c>
      <c r="C37" s="28" t="inlineStr">
        <is>
          <t>https://www.figma.com/design/Ds5qx61QsI0ZkYSrLKxo0A/MoSJE--Handoff-?node-id=3453-12795</t>
        </is>
      </c>
      <c r="D37" s="28" t="inlineStr">
        <is>
          <t>Yes</t>
        </is>
      </c>
      <c r="E37" s="28" t="inlineStr">
        <is>
          <t>Yes</t>
        </is>
      </c>
      <c r="F37" s="28" t="inlineStr">
        <is>
          <t>Not captured</t>
        </is>
      </c>
      <c r="G37" s="28" t="n">
        <v>27</v>
      </c>
      <c r="H37" s="28" t="inlineStr">
        <is>
          <t>Document-listing page; the only drawn document list is Annual Reports</t>
        </is>
      </c>
    </row>
    <row r="38">
      <c r="A38" s="28" t="inlineStr">
        <is>
          <t>notices</t>
        </is>
      </c>
      <c r="B38" s="28" t="inlineStr">
        <is>
          <t>Page</t>
        </is>
      </c>
      <c r="C38" s="28" t="inlineStr">
        <is>
          <t>https://www.figma.com/design/Ds5qx61QsI0ZkYSrLKxo0A/MoSJE--Handoff-?node-id=3453-12795</t>
        </is>
      </c>
      <c r="D38" s="28" t="inlineStr">
        <is>
          <t>Yes</t>
        </is>
      </c>
      <c r="E38" s="28" t="inlineStr">
        <is>
          <t>Yes</t>
        </is>
      </c>
      <c r="F38" s="28" t="inlineStr">
        <is>
          <t>Not captured</t>
        </is>
      </c>
      <c r="G38" s="28" t="n">
        <v>28</v>
      </c>
      <c r="H38" s="28" t="inlineStr">
        <is>
          <t>Document-listing page; the only drawn document list is Annual Reports</t>
        </is>
      </c>
    </row>
    <row r="39">
      <c r="A39" s="28" t="inlineStr">
        <is>
          <t>rti</t>
        </is>
      </c>
      <c r="B39" s="28" t="inlineStr">
        <is>
          <t>Page</t>
        </is>
      </c>
      <c r="C39" s="28" t="inlineStr">
        <is>
          <t>https://www.figma.com/design/Ds5qx61QsI0ZkYSrLKxo0A/MoSJE--Handoff-?node-id=3453-14221</t>
        </is>
      </c>
      <c r="D39" s="28" t="inlineStr">
        <is>
          <t>Yes</t>
        </is>
      </c>
      <c r="E39" s="28" t="inlineStr">
        <is>
          <t>Yes</t>
        </is>
      </c>
      <c r="F39" s="28" t="inlineStr">
        <is>
          <t>Not captured</t>
        </is>
      </c>
      <c r="G39" s="28" t="n">
        <v>35</v>
      </c>
      <c r="H39" s="28" t="inlineStr">
        <is>
          <t>Connect › RTI › RTI Act</t>
        </is>
      </c>
    </row>
    <row r="40">
      <c r="A40" s="28" t="inlineStr">
        <is>
          <t>mou</t>
        </is>
      </c>
      <c r="B40" s="28" t="inlineStr">
        <is>
          <t>Page</t>
        </is>
      </c>
      <c r="C40" s="28" t="inlineStr">
        <is>
          <t>https://www.figma.com/design/Ds5qx61QsI0ZkYSrLKxo0A/MoSJE--Handoff-?node-id=3453-12795</t>
        </is>
      </c>
      <c r="D40" s="28" t="inlineStr">
        <is>
          <t>Yes</t>
        </is>
      </c>
      <c r="E40" s="28" t="inlineStr">
        <is>
          <t>Yes</t>
        </is>
      </c>
      <c r="F40" s="28" t="inlineStr">
        <is>
          <t>Not captured</t>
        </is>
      </c>
      <c r="G40" s="28" t="n">
        <v>28</v>
      </c>
      <c r="H40" s="28" t="inlineStr">
        <is>
          <t>Document-listing page; the only drawn document list is Annual Reports</t>
        </is>
      </c>
    </row>
    <row r="41">
      <c r="A41" s="28" t="inlineStr">
        <is>
          <t>lok-sabha-question-answer</t>
        </is>
      </c>
      <c r="B41" s="28" t="inlineStr">
        <is>
          <t>Page</t>
        </is>
      </c>
      <c r="C41" s="28" t="inlineStr">
        <is>
          <t>https://www.figma.com/design/Ds5qx61QsI0ZkYSrLKxo0A/MoSJE--Handoff-?node-id=3453-12795</t>
        </is>
      </c>
      <c r="D41" s="28" t="inlineStr">
        <is>
          <t>Yes</t>
        </is>
      </c>
      <c r="E41" s="28" t="inlineStr">
        <is>
          <t>Yes</t>
        </is>
      </c>
      <c r="F41" s="28" t="inlineStr">
        <is>
          <t>Not captured</t>
        </is>
      </c>
      <c r="G41" s="28" t="n">
        <v>28</v>
      </c>
      <c r="H41" s="28" t="inlineStr">
        <is>
          <t>Document-listing page; the only drawn document list is Annual Reports</t>
        </is>
      </c>
    </row>
    <row r="42">
      <c r="A42" s="28" t="inlineStr">
        <is>
          <t>for-student</t>
        </is>
      </c>
      <c r="B42" s="28" t="inlineStr">
        <is>
          <t>Page</t>
        </is>
      </c>
      <c r="C42" s="28" t="inlineStr">
        <is>
          <t>https://www.figma.com/design/Ds5qx61QsI0ZkYSrLKxo0A/MoSJE--Handoff-?node-id=3453-8477</t>
        </is>
      </c>
      <c r="D42" s="28" t="inlineStr">
        <is>
          <t>Yes</t>
        </is>
      </c>
      <c r="E42" s="28" t="inlineStr">
        <is>
          <t>Yes</t>
        </is>
      </c>
      <c r="F42" s="28" t="inlineStr">
        <is>
          <t>Not captured</t>
        </is>
      </c>
      <c r="G42" s="28" t="n">
        <v>29</v>
      </c>
      <c r="H42" s="28" t="inlineStr">
        <is>
          <t>Persona page; only the Researcher persona is drawn</t>
        </is>
      </c>
    </row>
    <row r="43">
      <c r="A43" s="28" t="inlineStr">
        <is>
          <t>privacy-policy</t>
        </is>
      </c>
      <c r="B43" s="28" t="inlineStr">
        <is>
          <t>Page</t>
        </is>
      </c>
      <c r="C43" s="28" t="inlineStr">
        <is>
          <t>https://www.figma.com/design/Ds5qx61QsI0ZkYSrLKxo0A/MoSJE--Handoff-?node-id=5243-126087</t>
        </is>
      </c>
      <c r="D43" s="28" t="inlineStr">
        <is>
          <t>Yes</t>
        </is>
      </c>
      <c r="E43" s="28" t="inlineStr">
        <is>
          <t>Yes</t>
        </is>
      </c>
      <c r="F43" s="28" t="inlineStr">
        <is>
          <t>Not captured</t>
        </is>
      </c>
      <c r="G43" s="28" t="n">
        <v>26</v>
      </c>
      <c r="H43" s="28" t="inlineStr">
        <is>
          <t>Individual policy/help page; design shows the combined Policies page</t>
        </is>
      </c>
    </row>
    <row r="44">
      <c r="A44" s="28" t="inlineStr">
        <is>
          <t>sitemap</t>
        </is>
      </c>
      <c r="B44" s="28" t="inlineStr">
        <is>
          <t>Page</t>
        </is>
      </c>
      <c r="C44" s="28" t="inlineStr">
        <is>
          <t>https://www.figma.com/design/Ds5qx61QsI0ZkYSrLKxo0A/MoSJE--Handoff-?node-id=5243-134590</t>
        </is>
      </c>
      <c r="D44" s="28" t="inlineStr">
        <is>
          <t>Yes</t>
        </is>
      </c>
      <c r="E44" s="28" t="inlineStr">
        <is>
          <t>Yes</t>
        </is>
      </c>
      <c r="F44" s="28" t="inlineStr">
        <is>
          <t>Not captured</t>
        </is>
      </c>
      <c r="G44" s="28" t="n">
        <v>27</v>
      </c>
      <c r="H44" s="28" t="inlineStr">
        <is>
          <t>Compliance Pages › Sitemap (no mobile frame)</t>
        </is>
      </c>
    </row>
    <row r="45">
      <c r="A45" s="28" t="inlineStr">
        <is>
          <t>for-beneficiary</t>
        </is>
      </c>
      <c r="B45" s="28" t="inlineStr">
        <is>
          <t>Page</t>
        </is>
      </c>
      <c r="C45" s="28" t="inlineStr">
        <is>
          <t>https://www.figma.com/design/Ds5qx61QsI0ZkYSrLKxo0A/MoSJE--Handoff-?node-id=3453-8477</t>
        </is>
      </c>
      <c r="D45" s="28" t="inlineStr">
        <is>
          <t>Yes</t>
        </is>
      </c>
      <c r="E45" s="28" t="inlineStr">
        <is>
          <t>Yes</t>
        </is>
      </c>
      <c r="F45" s="28" t="inlineStr">
        <is>
          <t>Not captured</t>
        </is>
      </c>
      <c r="G45" s="28" t="n">
        <v>28</v>
      </c>
      <c r="H45" s="28" t="inlineStr">
        <is>
          <t>Persona page; only the Researcher persona is drawn</t>
        </is>
      </c>
    </row>
    <row r="46">
      <c r="A46" s="28" t="inlineStr">
        <is>
          <t>for-government-official</t>
        </is>
      </c>
      <c r="B46" s="28" t="inlineStr">
        <is>
          <t>Page</t>
        </is>
      </c>
      <c r="C46" s="28" t="inlineStr">
        <is>
          <t>https://www.figma.com/design/Ds5qx61QsI0ZkYSrLKxo0A/MoSJE--Handoff-?node-id=3453-8477</t>
        </is>
      </c>
      <c r="D46" s="28" t="inlineStr">
        <is>
          <t>Yes</t>
        </is>
      </c>
      <c r="E46" s="28" t="inlineStr">
        <is>
          <t>Yes</t>
        </is>
      </c>
      <c r="F46" s="28" t="inlineStr">
        <is>
          <t>Not captured</t>
        </is>
      </c>
      <c r="G46" s="28" t="n">
        <v>28</v>
      </c>
      <c r="H46" s="28" t="inlineStr">
        <is>
          <t>Persona page; only the Researcher persona is drawn</t>
        </is>
      </c>
    </row>
    <row r="47">
      <c r="A47" s="28" t="inlineStr">
        <is>
          <t>for-researchers</t>
        </is>
      </c>
      <c r="B47" s="28" t="inlineStr">
        <is>
          <t>Page</t>
        </is>
      </c>
      <c r="C47" s="28" t="inlineStr">
        <is>
          <t>https://www.figma.com/design/Ds5qx61QsI0ZkYSrLKxo0A/MoSJE--Handoff-?node-id=3453-8477</t>
        </is>
      </c>
      <c r="D47" s="28" t="inlineStr">
        <is>
          <t>Yes</t>
        </is>
      </c>
      <c r="E47" s="28" t="inlineStr">
        <is>
          <t>Yes</t>
        </is>
      </c>
      <c r="F47" s="28" t="inlineStr">
        <is>
          <t>Not captured</t>
        </is>
      </c>
      <c r="G47" s="28" t="n">
        <v>31</v>
      </c>
      <c r="H47" s="28" t="inlineStr">
        <is>
          <t>Home › for Researcher persona page</t>
        </is>
      </c>
    </row>
    <row r="48">
      <c r="A48" s="28" t="inlineStr">
        <is>
          <t>events</t>
        </is>
      </c>
      <c r="B48" s="28" t="inlineStr">
        <is>
          <t>Page</t>
        </is>
      </c>
      <c r="C48" s="28" t="inlineStr">
        <is>
          <t>https://www.figma.com/design/Ds5qx61QsI0ZkYSrLKxo0A/MoSJE--Handoff-?node-id=3453-13841</t>
        </is>
      </c>
      <c r="D48" s="28" t="inlineStr">
        <is>
          <t>Yes</t>
        </is>
      </c>
      <c r="E48" s="28" t="inlineStr">
        <is>
          <t>Yes</t>
        </is>
      </c>
      <c r="F48" s="28" t="inlineStr">
        <is>
          <t>Not captured</t>
        </is>
      </c>
      <c r="G48" s="28" t="n">
        <v>37</v>
      </c>
      <c r="H48" s="28" t="inlineStr">
        <is>
          <t>Events &amp; Gallery › Events</t>
        </is>
      </c>
    </row>
    <row r="49">
      <c r="A49" s="28" t="inlineStr">
        <is>
          <t>forms-templates</t>
        </is>
      </c>
      <c r="B49" s="28" t="inlineStr">
        <is>
          <t>Page</t>
        </is>
      </c>
      <c r="C49" s="28" t="inlineStr">
        <is>
          <t>https://www.figma.com/design/Ds5qx61QsI0ZkYSrLKxo0A/MoSJE--Handoff-?node-id=3453-12795</t>
        </is>
      </c>
      <c r="D49" s="28" t="inlineStr">
        <is>
          <t>Yes</t>
        </is>
      </c>
      <c r="E49" s="28" t="inlineStr">
        <is>
          <t>Yes</t>
        </is>
      </c>
      <c r="F49" s="28" t="inlineStr">
        <is>
          <t>Not captured</t>
        </is>
      </c>
      <c r="G49" s="28" t="n">
        <v>28</v>
      </c>
      <c r="H49" s="28" t="inlineStr">
        <is>
          <t>Document-listing page; the only drawn document list is Annual Reports</t>
        </is>
      </c>
    </row>
    <row r="50">
      <c r="A50" s="28" t="inlineStr">
        <is>
          <t>gallery</t>
        </is>
      </c>
      <c r="B50" s="28" t="inlineStr">
        <is>
          <t>Page</t>
        </is>
      </c>
      <c r="C50" s="28" t="inlineStr">
        <is>
          <t>https://www.figma.com/design/Ds5qx61QsI0ZkYSrLKxo0A/MoSJE--Handoff-?node-id=3453-13281</t>
        </is>
      </c>
      <c r="D50" s="28" t="inlineStr">
        <is>
          <t>Yes</t>
        </is>
      </c>
      <c r="E50" s="28" t="inlineStr">
        <is>
          <t>Yes</t>
        </is>
      </c>
      <c r="F50" s="28" t="inlineStr">
        <is>
          <t>Not captured</t>
        </is>
      </c>
      <c r="G50" s="28" t="n">
        <v>37</v>
      </c>
      <c r="H50" s="28" t="inlineStr">
        <is>
          <t>Events &amp; Gallery › Gallery (Photo and Video tab)</t>
        </is>
      </c>
    </row>
    <row r="51">
      <c r="A51" s="28" t="inlineStr">
        <is>
          <t>contact-us</t>
        </is>
      </c>
      <c r="B51" s="28" t="inlineStr">
        <is>
          <t>Page</t>
        </is>
      </c>
      <c r="C51" s="28" t="inlineStr">
        <is>
          <t>https://www.figma.com/design/Ds5qx61QsI0ZkYSrLKxo0A/MoSJE--Handoff-?node-id=3453-14626</t>
        </is>
      </c>
      <c r="D51" s="28" t="inlineStr">
        <is>
          <t>Yes</t>
        </is>
      </c>
      <c r="E51" s="28" t="inlineStr">
        <is>
          <t>Yes</t>
        </is>
      </c>
      <c r="F51" s="28" t="inlineStr">
        <is>
          <t>Not captured</t>
        </is>
      </c>
      <c r="G51" s="28" t="n">
        <v>35</v>
      </c>
      <c r="H51" s="28" t="inlineStr">
        <is>
          <t>Connect › Contact Us/MoSJE</t>
        </is>
      </c>
    </row>
    <row r="52">
      <c r="A52" s="28" t="inlineStr">
        <is>
          <t>dashboard</t>
        </is>
      </c>
      <c r="B52" s="28" t="inlineStr">
        <is>
          <t>Page</t>
        </is>
      </c>
      <c r="C52" s="28" t="inlineStr">
        <is>
          <t>https://www.figma.com/design/Ds5qx61QsI0ZkYSrLKxo0A/MoSJE--Handoff-?node-id=4743-128714</t>
        </is>
      </c>
      <c r="D52" s="28" t="inlineStr">
        <is>
          <t>Yes</t>
        </is>
      </c>
      <c r="E52" s="28" t="inlineStr">
        <is>
          <t>Yes</t>
        </is>
      </c>
      <c r="F52" s="28" t="inlineStr">
        <is>
          <t>Not captured</t>
        </is>
      </c>
      <c r="G52" s="28" t="n">
        <v>27</v>
      </c>
      <c r="H52" s="28" t="inlineStr">
        <is>
          <t>Home › Statistics › Home/Dashboard</t>
        </is>
      </c>
    </row>
    <row r="53">
      <c r="A53" s="28" t="inlineStr">
        <is>
          <t>cpio</t>
        </is>
      </c>
      <c r="B53" s="28" t="inlineStr">
        <is>
          <t>Page</t>
        </is>
      </c>
      <c r="C53" s="28" t="inlineStr">
        <is>
          <t>https://www.figma.com/design/Ds5qx61QsI0ZkYSrLKxo0A/MoSJE--Handoff-?node-id=3453-14262</t>
        </is>
      </c>
      <c r="D53" s="28" t="inlineStr">
        <is>
          <t>Yes</t>
        </is>
      </c>
      <c r="E53" s="28" t="inlineStr">
        <is>
          <t>Yes</t>
        </is>
      </c>
      <c r="F53" s="28" t="inlineStr">
        <is>
          <t>Not captured</t>
        </is>
      </c>
      <c r="G53" s="28" t="n">
        <v>39</v>
      </c>
      <c r="H53" s="28" t="inlineStr">
        <is>
          <t>Connect › RTI › CPIO</t>
        </is>
      </c>
    </row>
    <row r="54">
      <c r="A54" s="28" t="inlineStr">
        <is>
          <t>circulars-notifications</t>
        </is>
      </c>
      <c r="B54" s="28" t="inlineStr">
        <is>
          <t>Page</t>
        </is>
      </c>
      <c r="C54" s="28" t="inlineStr">
        <is>
          <t>https://www.figma.com/design/Ds5qx61QsI0ZkYSrLKxo0A/MoSJE--Handoff-?node-id=3453-12795</t>
        </is>
      </c>
      <c r="D54" s="28" t="inlineStr">
        <is>
          <t>Yes</t>
        </is>
      </c>
      <c r="E54" s="28" t="inlineStr">
        <is>
          <t>Yes</t>
        </is>
      </c>
      <c r="F54" s="28" t="inlineStr">
        <is>
          <t>Not captured</t>
        </is>
      </c>
      <c r="G54" s="28" t="n">
        <v>31</v>
      </c>
      <c r="H54" s="28" t="inlineStr">
        <is>
          <t>Document-listing page; the only drawn document list is Annual Reports</t>
        </is>
      </c>
    </row>
    <row r="55">
      <c r="A55" s="28" t="inlineStr">
        <is>
          <t>annual-reports</t>
        </is>
      </c>
      <c r="B55" s="28" t="inlineStr">
        <is>
          <t>Page</t>
        </is>
      </c>
      <c r="C55" s="28" t="inlineStr">
        <is>
          <t>https://www.figma.com/design/Ds5qx61QsI0ZkYSrLKxo0A/MoSJE--Handoff-?node-id=3453-12795</t>
        </is>
      </c>
      <c r="D55" s="28" t="inlineStr">
        <is>
          <t>Yes</t>
        </is>
      </c>
      <c r="E55" s="28" t="inlineStr">
        <is>
          <t>Yes</t>
        </is>
      </c>
      <c r="F55" s="28" t="inlineStr">
        <is>
          <t>Not captured</t>
        </is>
      </c>
      <c r="G55" s="28" t="n">
        <v>37</v>
      </c>
      <c r="H55" s="28" t="inlineStr">
        <is>
          <t>Documents › Annual Reports</t>
        </is>
      </c>
    </row>
    <row r="56">
      <c r="A56" s="28" t="inlineStr">
        <is>
          <t>advices</t>
        </is>
      </c>
      <c r="B56" s="28" t="inlineStr">
        <is>
          <t>Page</t>
        </is>
      </c>
      <c r="C56" s="28" t="inlineStr">
        <is>
          <t>https://www.figma.com/design/Ds5qx61QsI0ZkYSrLKxo0A/MoSJE--Handoff-?node-id=3453-12795</t>
        </is>
      </c>
      <c r="D56" s="28" t="inlineStr">
        <is>
          <t>Yes</t>
        </is>
      </c>
      <c r="E56" s="28" t="inlineStr">
        <is>
          <t>Yes</t>
        </is>
      </c>
      <c r="F56" s="28" t="inlineStr">
        <is>
          <t>Not captured</t>
        </is>
      </c>
      <c r="G56" s="28" t="n">
        <v>28</v>
      </c>
      <c r="H56" s="28" t="inlineStr">
        <is>
          <t>Document-listing page; the only drawn document list is Annual Reports</t>
        </is>
      </c>
    </row>
    <row r="57">
      <c r="A57" s="28" t="inlineStr">
        <is>
          <t>acts-rules</t>
        </is>
      </c>
      <c r="B57" s="28" t="inlineStr">
        <is>
          <t>Page</t>
        </is>
      </c>
      <c r="C57" s="28" t="inlineStr">
        <is>
          <t>https://www.figma.com/design/Ds5qx61QsI0ZkYSrLKxo0A/MoSJE--Handoff-?node-id=3453-12795</t>
        </is>
      </c>
      <c r="D57" s="28" t="inlineStr">
        <is>
          <t>Yes</t>
        </is>
      </c>
      <c r="E57" s="28" t="inlineStr">
        <is>
          <t>Yes</t>
        </is>
      </c>
      <c r="F57" s="28" t="inlineStr">
        <is>
          <t>Not captured</t>
        </is>
      </c>
      <c r="G57" s="28" t="n">
        <v>27</v>
      </c>
      <c r="H57" s="28" t="inlineStr">
        <is>
          <t>Document-listing page; the only drawn document list is Annual Reports</t>
        </is>
      </c>
    </row>
    <row r="58">
      <c r="A58" s="28" t="inlineStr">
        <is>
          <t>social-defence-faqs</t>
        </is>
      </c>
      <c r="B58" s="28" t="inlineStr">
        <is>
          <t>Page</t>
        </is>
      </c>
      <c r="C58" s="28" t="inlineStr">
        <is>
          <t>https://www.figma.com/design/Ds5qx61QsI0ZkYSrLKxo0A/MoSJE--Handoff-?node-id=4330-56208</t>
        </is>
      </c>
      <c r="D58" s="28" t="inlineStr">
        <is>
          <t>Yes</t>
        </is>
      </c>
      <c r="E58" s="28" t="inlineStr">
        <is>
          <t>Yes</t>
        </is>
      </c>
      <c r="F58" s="28" t="inlineStr">
        <is>
          <t>Not captured</t>
        </is>
      </c>
      <c r="G58" s="28" t="n">
        <v>25</v>
      </c>
      <c r="H58" s="28" t="inlineStr">
        <is>
          <t>Division FAQ page uses the Compliance › FAQs design</t>
        </is>
      </c>
    </row>
    <row r="59">
      <c r="A59" s="28" t="inlineStr">
        <is>
          <t>about-the-division-social-defence</t>
        </is>
      </c>
      <c r="B59" s="28" t="inlineStr">
        <is>
          <t>Page</t>
        </is>
      </c>
      <c r="C59" s="28" t="n"/>
      <c r="D59" s="28" t="inlineStr">
        <is>
          <t>No</t>
        </is>
      </c>
      <c r="E59" s="28" t="inlineStr">
        <is>
          <t>Yes</t>
        </is>
      </c>
      <c r="F59" s="28" t="inlineStr">
        <is>
          <t>Not captured</t>
        </is>
      </c>
      <c r="G59" s="28" t="n">
        <v>26</v>
      </c>
      <c r="H59" s="28" t="inlineStr"/>
    </row>
    <row r="60">
      <c r="A60" s="28" t="inlineStr">
        <is>
          <t>daf-directory</t>
        </is>
      </c>
      <c r="B60" s="28" t="inlineStr">
        <is>
          <t>Page</t>
        </is>
      </c>
      <c r="C60" s="28" t="inlineStr">
        <is>
          <t>https://www.figma.com/design/Ds5qx61QsI0ZkYSrLKxo0A/MoSJE--Handoff-?node-id=3453-9324</t>
        </is>
      </c>
      <c r="D60" s="28" t="inlineStr">
        <is>
          <t>Yes</t>
        </is>
      </c>
      <c r="E60" s="28" t="inlineStr">
        <is>
          <t>Yes</t>
        </is>
      </c>
      <c r="F60" s="28" t="inlineStr">
        <is>
          <t>Not captured</t>
        </is>
      </c>
      <c r="G60" s="28" t="n">
        <v>31</v>
      </c>
      <c r="H60" s="28" t="inlineStr">
        <is>
          <t>Organisation directory pages share the MoSJE Directory design</t>
        </is>
      </c>
    </row>
    <row r="61">
      <c r="A61" s="28" t="inlineStr">
        <is>
          <t>chairpersons-office</t>
        </is>
      </c>
      <c r="B61" s="28" t="inlineStr">
        <is>
          <t>Page</t>
        </is>
      </c>
      <c r="C61" s="28" t="n"/>
      <c r="D61" s="28" t="inlineStr">
        <is>
          <t>No</t>
        </is>
      </c>
      <c r="E61" s="28" t="inlineStr">
        <is>
          <t>Yes</t>
        </is>
      </c>
      <c r="F61" s="28" t="inlineStr">
        <is>
          <t>Not captured</t>
        </is>
      </c>
      <c r="G61" s="28" t="n">
        <v>26</v>
      </c>
      <c r="H61" s="28" t="inlineStr"/>
    </row>
    <row r="62">
      <c r="A62" s="28" t="inlineStr">
        <is>
          <t>nskfdc-directory</t>
        </is>
      </c>
      <c r="B62" s="28" t="inlineStr">
        <is>
          <t>Page</t>
        </is>
      </c>
      <c r="C62" s="28" t="inlineStr">
        <is>
          <t>https://www.figma.com/design/Ds5qx61QsI0ZkYSrLKxo0A/MoSJE--Handoff-?node-id=3453-9324</t>
        </is>
      </c>
      <c r="D62" s="28" t="inlineStr">
        <is>
          <t>Yes</t>
        </is>
      </c>
      <c r="E62" s="28" t="inlineStr">
        <is>
          <t>Yes</t>
        </is>
      </c>
      <c r="F62" s="28" t="inlineStr">
        <is>
          <t>Not captured</t>
        </is>
      </c>
      <c r="G62" s="28" t="n">
        <v>28</v>
      </c>
      <c r="H62" s="28" t="inlineStr">
        <is>
          <t>Organisation directory pages share the MoSJE Directory design</t>
        </is>
      </c>
    </row>
    <row r="63">
      <c r="A63" s="28" t="inlineStr">
        <is>
          <t>ncsk-directory</t>
        </is>
      </c>
      <c r="B63" s="28" t="inlineStr">
        <is>
          <t>Page</t>
        </is>
      </c>
      <c r="C63" s="28" t="inlineStr">
        <is>
          <t>https://www.figma.com/design/Ds5qx61QsI0ZkYSrLKxo0A/MoSJE--Handoff-?node-id=3453-9324</t>
        </is>
      </c>
      <c r="D63" s="28" t="inlineStr">
        <is>
          <t>Yes</t>
        </is>
      </c>
      <c r="E63" s="28" t="inlineStr">
        <is>
          <t>Yes</t>
        </is>
      </c>
      <c r="F63" s="28" t="inlineStr">
        <is>
          <t>Not captured</t>
        </is>
      </c>
      <c r="G63" s="28" t="n">
        <v>29</v>
      </c>
      <c r="H63" s="28" t="inlineStr">
        <is>
          <t>Organisation directory pages share the MoSJE Directory design</t>
        </is>
      </c>
    </row>
    <row r="64">
      <c r="A64" s="28" t="inlineStr">
        <is>
          <t>scw-directory</t>
        </is>
      </c>
      <c r="B64" s="28" t="inlineStr">
        <is>
          <t>Page</t>
        </is>
      </c>
      <c r="C64" s="28" t="inlineStr">
        <is>
          <t>https://www.figma.com/design/Ds5qx61QsI0ZkYSrLKxo0A/MoSJE--Handoff-?node-id=3453-9324</t>
        </is>
      </c>
      <c r="D64" s="28" t="inlineStr">
        <is>
          <t>Yes</t>
        </is>
      </c>
      <c r="E64" s="28" t="inlineStr">
        <is>
          <t>Yes</t>
        </is>
      </c>
      <c r="F64" s="28" t="inlineStr">
        <is>
          <t>Not captured</t>
        </is>
      </c>
      <c r="G64" s="28" t="n">
        <v>34</v>
      </c>
      <c r="H64" s="28" t="inlineStr">
        <is>
          <t>Organisation directory pages share the MoSJE Directory design</t>
        </is>
      </c>
    </row>
    <row r="65">
      <c r="A65" s="28" t="inlineStr">
        <is>
          <t>ncbc-directory</t>
        </is>
      </c>
      <c r="B65" s="28" t="inlineStr">
        <is>
          <t>Page</t>
        </is>
      </c>
      <c r="C65" s="28" t="inlineStr">
        <is>
          <t>https://www.figma.com/design/Ds5qx61QsI0ZkYSrLKxo0A/MoSJE--Handoff-?node-id=3453-9324</t>
        </is>
      </c>
      <c r="D65" s="28" t="inlineStr">
        <is>
          <t>Yes</t>
        </is>
      </c>
      <c r="E65" s="28" t="inlineStr">
        <is>
          <t>Yes</t>
        </is>
      </c>
      <c r="F65" s="28" t="inlineStr">
        <is>
          <t>Not captured</t>
        </is>
      </c>
      <c r="G65" s="28" t="n">
        <v>29</v>
      </c>
      <c r="H65" s="28" t="inlineStr">
        <is>
          <t>Organisation directory pages share the MoSJE Directory design</t>
        </is>
      </c>
    </row>
    <row r="66">
      <c r="A66" s="28" t="inlineStr">
        <is>
          <t>nbcfdc-directory</t>
        </is>
      </c>
      <c r="B66" s="28" t="inlineStr">
        <is>
          <t>Page</t>
        </is>
      </c>
      <c r="C66" s="28" t="inlineStr">
        <is>
          <t>https://www.figma.com/design/Ds5qx61QsI0ZkYSrLKxo0A/MoSJE--Handoff-?node-id=3453-9324</t>
        </is>
      </c>
      <c r="D66" s="28" t="inlineStr">
        <is>
          <t>Yes</t>
        </is>
      </c>
      <c r="E66" s="28" t="inlineStr">
        <is>
          <t>Yes</t>
        </is>
      </c>
      <c r="F66" s="28" t="inlineStr">
        <is>
          <t>Not captured</t>
        </is>
      </c>
      <c r="G66" s="28" t="n">
        <v>28</v>
      </c>
      <c r="H66" s="28" t="inlineStr">
        <is>
          <t>Organisation directory pages share the MoSJE Directory design</t>
        </is>
      </c>
    </row>
    <row r="67">
      <c r="A67" s="28" t="inlineStr">
        <is>
          <t>dwbdnc-directory</t>
        </is>
      </c>
      <c r="B67" s="28" t="inlineStr">
        <is>
          <t>Page</t>
        </is>
      </c>
      <c r="C67" s="28" t="inlineStr">
        <is>
          <t>https://www.figma.com/design/Ds5qx61QsI0ZkYSrLKxo0A/MoSJE--Handoff-?node-id=3453-9324</t>
        </is>
      </c>
      <c r="D67" s="28" t="inlineStr">
        <is>
          <t>Yes</t>
        </is>
      </c>
      <c r="E67" s="28" t="inlineStr">
        <is>
          <t>Yes</t>
        </is>
      </c>
      <c r="F67" s="28" t="inlineStr">
        <is>
          <t>Not captured</t>
        </is>
      </c>
      <c r="G67" s="28" t="n">
        <v>32</v>
      </c>
      <c r="H67" s="28" t="inlineStr">
        <is>
          <t>Organisation directory pages share the MoSJE Directory design</t>
        </is>
      </c>
    </row>
    <row r="68">
      <c r="A68" s="28" t="inlineStr">
        <is>
          <t>handbook-on-social-welfare-statistics</t>
        </is>
      </c>
      <c r="B68" s="28" t="inlineStr">
        <is>
          <t>Page</t>
        </is>
      </c>
      <c r="C68" s="28" t="inlineStr">
        <is>
          <t>https://www.figma.com/design/Ds5qx61QsI0ZkYSrLKxo0A/MoSJE--Handoff-?node-id=3453-12795</t>
        </is>
      </c>
      <c r="D68" s="28" t="inlineStr">
        <is>
          <t>Yes</t>
        </is>
      </c>
      <c r="E68" s="28" t="inlineStr">
        <is>
          <t>Yes</t>
        </is>
      </c>
      <c r="F68" s="28" t="inlineStr">
        <is>
          <t>Not captured</t>
        </is>
      </c>
      <c r="G68" s="28" t="n">
        <v>27</v>
      </c>
      <c r="H68" s="28" t="inlineStr">
        <is>
          <t>Document-listing page; the only drawn document list is Annual Reports</t>
        </is>
      </c>
    </row>
    <row r="69">
      <c r="A69" s="28" t="inlineStr">
        <is>
          <t>list-of-research-evaluation-studies</t>
        </is>
      </c>
      <c r="B69" s="28" t="inlineStr">
        <is>
          <t>Page</t>
        </is>
      </c>
      <c r="C69" s="28" t="inlineStr">
        <is>
          <t>https://www.figma.com/design/Ds5qx61QsI0ZkYSrLKxo0A/MoSJE--Handoff-?node-id=3453-12795</t>
        </is>
      </c>
      <c r="D69" s="28" t="inlineStr">
        <is>
          <t>Yes</t>
        </is>
      </c>
      <c r="E69" s="28" t="inlineStr">
        <is>
          <t>Yes</t>
        </is>
      </c>
      <c r="F69" s="28" t="inlineStr">
        <is>
          <t>Not captured</t>
        </is>
      </c>
      <c r="G69" s="28" t="n">
        <v>27</v>
      </c>
      <c r="H69" s="28" t="inlineStr">
        <is>
          <t>Document-listing page; the only drawn document list is Annual Reports</t>
        </is>
      </c>
    </row>
    <row r="70">
      <c r="A70" s="28" t="inlineStr">
        <is>
          <t>about-the-division-statistics-division</t>
        </is>
      </c>
      <c r="B70" s="28" t="inlineStr">
        <is>
          <t>Page</t>
        </is>
      </c>
      <c r="C70" s="28" t="n"/>
      <c r="D70" s="28" t="inlineStr">
        <is>
          <t>No</t>
        </is>
      </c>
      <c r="E70" s="28" t="inlineStr">
        <is>
          <t>Yes</t>
        </is>
      </c>
      <c r="F70" s="28" t="inlineStr">
        <is>
          <t>Not captured</t>
        </is>
      </c>
      <c r="G70" s="28" t="n">
        <v>24</v>
      </c>
      <c r="H70" s="28" t="inlineStr"/>
    </row>
    <row r="71">
      <c r="A71" s="28" t="inlineStr">
        <is>
          <t>about-the-division-2</t>
        </is>
      </c>
      <c r="B71" s="28" t="inlineStr">
        <is>
          <t>Page</t>
        </is>
      </c>
      <c r="C71" s="28" t="n"/>
      <c r="D71" s="28" t="inlineStr">
        <is>
          <t>No</t>
        </is>
      </c>
      <c r="E71" s="28" t="inlineStr">
        <is>
          <t>Yes</t>
        </is>
      </c>
      <c r="F71" s="28" t="inlineStr">
        <is>
          <t>Not captured</t>
        </is>
      </c>
      <c r="G71" s="28" t="n">
        <v>23</v>
      </c>
      <c r="H71" s="28" t="inlineStr"/>
    </row>
    <row r="72">
      <c r="A72" s="28" t="inlineStr">
        <is>
          <t>special-mention-matters-raised-under-377</t>
        </is>
      </c>
      <c r="B72" s="28" t="inlineStr">
        <is>
          <t>Page</t>
        </is>
      </c>
      <c r="C72" s="28" t="inlineStr">
        <is>
          <t>https://www.figma.com/design/Ds5qx61QsI0ZkYSrLKxo0A/MoSJE--Handoff-?node-id=3453-12795</t>
        </is>
      </c>
      <c r="D72" s="28" t="inlineStr">
        <is>
          <t>Yes</t>
        </is>
      </c>
      <c r="E72" s="28" t="inlineStr">
        <is>
          <t>Yes</t>
        </is>
      </c>
      <c r="F72" s="28" t="inlineStr">
        <is>
          <t>Not captured</t>
        </is>
      </c>
      <c r="G72" s="28" t="n">
        <v>27</v>
      </c>
      <c r="H72" s="28" t="inlineStr">
        <is>
          <t>Document-listing page; the only drawn document list is Annual Reports</t>
        </is>
      </c>
    </row>
    <row r="73">
      <c r="A73" s="28" t="inlineStr">
        <is>
          <t>assurances</t>
        </is>
      </c>
      <c r="B73" s="28" t="inlineStr">
        <is>
          <t>Page</t>
        </is>
      </c>
      <c r="C73" s="28" t="inlineStr">
        <is>
          <t>https://www.figma.com/design/Ds5qx61QsI0ZkYSrLKxo0A/MoSJE--Handoff-?node-id=3453-12795</t>
        </is>
      </c>
      <c r="D73" s="28" t="inlineStr">
        <is>
          <t>Yes</t>
        </is>
      </c>
      <c r="E73" s="28" t="inlineStr">
        <is>
          <t>Yes</t>
        </is>
      </c>
      <c r="F73" s="28" t="inlineStr">
        <is>
          <t>Not captured</t>
        </is>
      </c>
      <c r="G73" s="28" t="n">
        <v>27</v>
      </c>
      <c r="H73" s="28" t="inlineStr">
        <is>
          <t>Document-listing page; the only drawn document list is Annual Reports</t>
        </is>
      </c>
    </row>
    <row r="74">
      <c r="A74" s="28" t="inlineStr">
        <is>
          <t>grants-in-aid-to-ngos-faqs</t>
        </is>
      </c>
      <c r="B74" s="28" t="inlineStr">
        <is>
          <t>Page</t>
        </is>
      </c>
      <c r="C74" s="28" t="inlineStr">
        <is>
          <t>https://www.figma.com/design/Ds5qx61QsI0ZkYSrLKxo0A/MoSJE--Handoff-?node-id=4330-56208</t>
        </is>
      </c>
      <c r="D74" s="28" t="inlineStr">
        <is>
          <t>Yes</t>
        </is>
      </c>
      <c r="E74" s="28" t="inlineStr">
        <is>
          <t>Yes</t>
        </is>
      </c>
      <c r="F74" s="28" t="inlineStr">
        <is>
          <t>Not captured</t>
        </is>
      </c>
      <c r="G74" s="28" t="n">
        <v>25</v>
      </c>
      <c r="H74" s="28" t="inlineStr">
        <is>
          <t>Division FAQ page uses the Compliance › FAQs design</t>
        </is>
      </c>
    </row>
    <row r="75">
      <c r="A75" s="28" t="inlineStr">
        <is>
          <t>list-of-de-blacklisted-ngos</t>
        </is>
      </c>
      <c r="B75" s="28" t="inlineStr">
        <is>
          <t>Page</t>
        </is>
      </c>
      <c r="C75" s="28" t="inlineStr">
        <is>
          <t>https://www.figma.com/design/Ds5qx61QsI0ZkYSrLKxo0A/MoSJE--Handoff-?node-id=3453-12795</t>
        </is>
      </c>
      <c r="D75" s="28" t="inlineStr">
        <is>
          <t>Yes</t>
        </is>
      </c>
      <c r="E75" s="28" t="inlineStr">
        <is>
          <t>Yes</t>
        </is>
      </c>
      <c r="F75" s="28" t="inlineStr">
        <is>
          <t>Not captured</t>
        </is>
      </c>
      <c r="G75" s="28" t="n">
        <v>27</v>
      </c>
      <c r="H75" s="28" t="inlineStr">
        <is>
          <t>Document-listing page; the only drawn document list is Annual Reports</t>
        </is>
      </c>
    </row>
    <row r="76">
      <c r="A76" s="28" t="inlineStr">
        <is>
          <t>grants-suspended-list-blacklisted-ngos</t>
        </is>
      </c>
      <c r="B76" s="28" t="inlineStr">
        <is>
          <t>Page</t>
        </is>
      </c>
      <c r="C76" s="28" t="inlineStr">
        <is>
          <t>https://www.figma.com/design/Ds5qx61QsI0ZkYSrLKxo0A/MoSJE--Handoff-?node-id=3453-12795</t>
        </is>
      </c>
      <c r="D76" s="28" t="inlineStr">
        <is>
          <t>Yes</t>
        </is>
      </c>
      <c r="E76" s="28" t="inlineStr">
        <is>
          <t>Yes</t>
        </is>
      </c>
      <c r="F76" s="28" t="inlineStr">
        <is>
          <t>Not captured</t>
        </is>
      </c>
      <c r="G76" s="28" t="n">
        <v>27</v>
      </c>
      <c r="H76" s="28" t="inlineStr">
        <is>
          <t>Document-listing page; the only drawn document list is Annual Reports</t>
        </is>
      </c>
    </row>
    <row r="77">
      <c r="A77" s="28" t="inlineStr">
        <is>
          <t>minutes-of-screening-committees-2</t>
        </is>
      </c>
      <c r="B77" s="28" t="inlineStr">
        <is>
          <t>Page</t>
        </is>
      </c>
      <c r="C77" s="28" t="inlineStr">
        <is>
          <t>https://www.figma.com/design/Ds5qx61QsI0ZkYSrLKxo0A/MoSJE--Handoff-?node-id=3453-12795</t>
        </is>
      </c>
      <c r="D77" s="28" t="inlineStr">
        <is>
          <t>Yes</t>
        </is>
      </c>
      <c r="E77" s="28" t="inlineStr">
        <is>
          <t>Yes</t>
        </is>
      </c>
      <c r="F77" s="28" t="inlineStr">
        <is>
          <t>Not captured</t>
        </is>
      </c>
      <c r="G77" s="28" t="n">
        <v>27</v>
      </c>
      <c r="H77" s="28" t="inlineStr">
        <is>
          <t>Document-listing page; the only drawn document list is Annual Reports</t>
        </is>
      </c>
    </row>
    <row r="78">
      <c r="A78" s="28" t="inlineStr">
        <is>
          <t>activities-of-the-ministry-official-language</t>
        </is>
      </c>
      <c r="B78" s="28" t="inlineStr">
        <is>
          <t>Page</t>
        </is>
      </c>
      <c r="C78" s="28" t="n"/>
      <c r="D78" s="28" t="inlineStr">
        <is>
          <t>No</t>
        </is>
      </c>
      <c r="E78" s="28" t="inlineStr">
        <is>
          <t>Yes</t>
        </is>
      </c>
      <c r="F78" s="28" t="inlineStr">
        <is>
          <t>Not captured</t>
        </is>
      </c>
      <c r="G78" s="28" t="n">
        <v>23</v>
      </c>
      <c r="H78" s="28" t="inlineStr"/>
    </row>
    <row r="79">
      <c r="A79" s="28" t="inlineStr">
        <is>
          <t>official-language-background</t>
        </is>
      </c>
      <c r="B79" s="28" t="inlineStr">
        <is>
          <t>Page</t>
        </is>
      </c>
      <c r="C79" s="28" t="n"/>
      <c r="D79" s="28" t="inlineStr">
        <is>
          <t>No</t>
        </is>
      </c>
      <c r="E79" s="28" t="inlineStr">
        <is>
          <t>Yes</t>
        </is>
      </c>
      <c r="F79" s="28" t="inlineStr">
        <is>
          <t>Not captured</t>
        </is>
      </c>
      <c r="G79" s="28" t="n">
        <v>23</v>
      </c>
      <c r="H79" s="28" t="inlineStr"/>
    </row>
    <row r="80">
      <c r="A80" s="28" t="inlineStr">
        <is>
          <t>policies-acts-rules-codes-circular-social-defence</t>
        </is>
      </c>
      <c r="B80" s="28" t="inlineStr">
        <is>
          <t>Page</t>
        </is>
      </c>
      <c r="C80" s="28" t="inlineStr">
        <is>
          <t>https://www.figma.com/design/Ds5qx61QsI0ZkYSrLKxo0A/MoSJE--Handoff-?node-id=3453-12795</t>
        </is>
      </c>
      <c r="D80" s="28" t="inlineStr">
        <is>
          <t>Yes</t>
        </is>
      </c>
      <c r="E80" s="28" t="inlineStr">
        <is>
          <t>Yes</t>
        </is>
      </c>
      <c r="F80" s="28" t="inlineStr">
        <is>
          <t>Not captured</t>
        </is>
      </c>
      <c r="G80" s="28" t="n">
        <v>27</v>
      </c>
      <c r="H80" s="28" t="inlineStr">
        <is>
          <t>Document-listing page; the only drawn document list is Annual Reports</t>
        </is>
      </c>
    </row>
    <row r="81">
      <c r="A81" s="28" t="inlineStr">
        <is>
          <t>organisation-under-division-social-division</t>
        </is>
      </c>
      <c r="B81" s="28" t="inlineStr">
        <is>
          <t>Page</t>
        </is>
      </c>
      <c r="C81" s="28" t="n"/>
      <c r="D81" s="28" t="inlineStr">
        <is>
          <t>No</t>
        </is>
      </c>
      <c r="E81" s="28" t="inlineStr">
        <is>
          <t>Yes</t>
        </is>
      </c>
      <c r="F81" s="28" t="inlineStr">
        <is>
          <t>Not captured</t>
        </is>
      </c>
      <c r="G81" s="28" t="n">
        <v>23</v>
      </c>
      <c r="H81" s="28" t="inlineStr"/>
    </row>
    <row r="82">
      <c r="A82" s="28" t="inlineStr">
        <is>
          <t>drug-division</t>
        </is>
      </c>
      <c r="B82" s="28" t="inlineStr">
        <is>
          <t>Page</t>
        </is>
      </c>
      <c r="C82" s="28" t="n"/>
      <c r="D82" s="28" t="inlineStr">
        <is>
          <t>No</t>
        </is>
      </c>
      <c r="E82" s="28" t="inlineStr">
        <is>
          <t>Yes</t>
        </is>
      </c>
      <c r="F82" s="28" t="inlineStr">
        <is>
          <t>Not captured</t>
        </is>
      </c>
      <c r="G82" s="28" t="n">
        <v>25</v>
      </c>
      <c r="H82" s="28" t="inlineStr"/>
    </row>
    <row r="83">
      <c r="A83" s="28" t="inlineStr">
        <is>
          <t>welfare-of-the-other-backward-classes</t>
        </is>
      </c>
      <c r="B83" s="28" t="inlineStr">
        <is>
          <t>Page</t>
        </is>
      </c>
      <c r="C83" s="28" t="n"/>
      <c r="D83" s="28" t="inlineStr">
        <is>
          <t>No</t>
        </is>
      </c>
      <c r="E83" s="28" t="inlineStr">
        <is>
          <t>Yes</t>
        </is>
      </c>
      <c r="F83" s="28" t="inlineStr">
        <is>
          <t>Not captured</t>
        </is>
      </c>
      <c r="G83" s="28" t="n">
        <v>23</v>
      </c>
      <c r="H83" s="28" t="inlineStr"/>
    </row>
    <row r="84">
      <c r="A84" s="28" t="inlineStr">
        <is>
          <t>cessation-of-voluntary-organisation-activities</t>
        </is>
      </c>
      <c r="B84" s="28" t="inlineStr">
        <is>
          <t>Page</t>
        </is>
      </c>
      <c r="C84" s="28" t="n"/>
      <c r="D84" s="28" t="inlineStr">
        <is>
          <t>No</t>
        </is>
      </c>
      <c r="E84" s="28" t="inlineStr">
        <is>
          <t>Yes</t>
        </is>
      </c>
      <c r="F84" s="28" t="inlineStr">
        <is>
          <t>Not captured</t>
        </is>
      </c>
      <c r="G84" s="28" t="n">
        <v>23</v>
      </c>
      <c r="H84" s="28" t="inlineStr"/>
    </row>
    <row r="85">
      <c r="A85" s="28" t="inlineStr">
        <is>
          <t>penalties-in-case-of-misutilization-of-grands</t>
        </is>
      </c>
      <c r="B85" s="28" t="inlineStr">
        <is>
          <t>Page</t>
        </is>
      </c>
      <c r="C85" s="28" t="n"/>
      <c r="D85" s="28" t="inlineStr">
        <is>
          <t>No</t>
        </is>
      </c>
      <c r="E85" s="28" t="inlineStr">
        <is>
          <t>Yes</t>
        </is>
      </c>
      <c r="F85" s="28" t="inlineStr">
        <is>
          <t>Not captured</t>
        </is>
      </c>
      <c r="G85" s="28" t="n">
        <v>23</v>
      </c>
      <c r="H85" s="28" t="inlineStr"/>
    </row>
    <row r="86">
      <c r="A86" s="28" t="inlineStr">
        <is>
          <t>inspection-and-monitoring-procedure</t>
        </is>
      </c>
      <c r="B86" s="28" t="inlineStr">
        <is>
          <t>Page</t>
        </is>
      </c>
      <c r="C86" s="28" t="n"/>
      <c r="D86" s="28" t="inlineStr">
        <is>
          <t>No</t>
        </is>
      </c>
      <c r="E86" s="28" t="inlineStr">
        <is>
          <t>Yes</t>
        </is>
      </c>
      <c r="F86" s="28" t="inlineStr">
        <is>
          <t>Not captured</t>
        </is>
      </c>
      <c r="G86" s="28" t="n">
        <v>23</v>
      </c>
      <c r="H86" s="28" t="inlineStr"/>
    </row>
    <row r="87">
      <c r="A87" s="28" t="inlineStr">
        <is>
          <t>contact-person</t>
        </is>
      </c>
      <c r="B87" s="28" t="inlineStr">
        <is>
          <t>Page</t>
        </is>
      </c>
      <c r="C87" s="28" t="n"/>
      <c r="D87" s="28" t="inlineStr">
        <is>
          <t>No</t>
        </is>
      </c>
      <c r="E87" s="28" t="inlineStr">
        <is>
          <t>Yes</t>
        </is>
      </c>
      <c r="F87" s="28" t="inlineStr">
        <is>
          <t>Not captured</t>
        </is>
      </c>
      <c r="G87" s="28" t="n">
        <v>24</v>
      </c>
      <c r="H87" s="28" t="inlineStr"/>
    </row>
    <row r="88">
      <c r="A88" s="28" t="inlineStr">
        <is>
          <t>detailed-demand-for-grant</t>
        </is>
      </c>
      <c r="B88" s="28" t="inlineStr">
        <is>
          <t>Page</t>
        </is>
      </c>
      <c r="C88" s="28" t="inlineStr">
        <is>
          <t>https://www.figma.com/design/Ds5qx61QsI0ZkYSrLKxo0A/MoSJE--Handoff-?node-id=3453-12795</t>
        </is>
      </c>
      <c r="D88" s="28" t="inlineStr">
        <is>
          <t>Yes</t>
        </is>
      </c>
      <c r="E88" s="28" t="inlineStr">
        <is>
          <t>Yes</t>
        </is>
      </c>
      <c r="F88" s="28" t="inlineStr">
        <is>
          <t>Not captured</t>
        </is>
      </c>
      <c r="G88" s="28" t="n">
        <v>25</v>
      </c>
      <c r="H88" s="28" t="inlineStr">
        <is>
          <t>Document-listing page; the only drawn document list is Annual Reports</t>
        </is>
      </c>
    </row>
    <row r="89">
      <c r="A89" s="28" t="inlineStr">
        <is>
          <t>minutes-of-screening-committees</t>
        </is>
      </c>
      <c r="B89" s="28" t="inlineStr">
        <is>
          <t>Page</t>
        </is>
      </c>
      <c r="C89" s="28" t="inlineStr">
        <is>
          <t>https://www.figma.com/design/Ds5qx61QsI0ZkYSrLKxo0A/MoSJE--Handoff-?node-id=3453-12795</t>
        </is>
      </c>
      <c r="D89" s="28" t="inlineStr">
        <is>
          <t>Yes</t>
        </is>
      </c>
      <c r="E89" s="28" t="inlineStr">
        <is>
          <t>Yes</t>
        </is>
      </c>
      <c r="F89" s="28" t="inlineStr">
        <is>
          <t>Not captured</t>
        </is>
      </c>
      <c r="G89" s="28" t="n">
        <v>27</v>
      </c>
      <c r="H89" s="28" t="inlineStr">
        <is>
          <t>Document-listing page; the only drawn document list is Annual Reports</t>
        </is>
      </c>
    </row>
    <row r="90">
      <c r="A90" s="28" t="inlineStr">
        <is>
          <t>procedure-for-processing-grant-in-aid-cases-in-respect-of-voluntary-organisations</t>
        </is>
      </c>
      <c r="B90" s="28" t="inlineStr">
        <is>
          <t>Page</t>
        </is>
      </c>
      <c r="C90" s="28" t="n"/>
      <c r="D90" s="28" t="inlineStr">
        <is>
          <t>No</t>
        </is>
      </c>
      <c r="E90" s="28" t="inlineStr">
        <is>
          <t>Yes</t>
        </is>
      </c>
      <c r="F90" s="28" t="inlineStr">
        <is>
          <t>Not captured</t>
        </is>
      </c>
      <c r="G90" s="28" t="n">
        <v>23</v>
      </c>
      <c r="H90" s="28" t="inlineStr"/>
    </row>
    <row r="91">
      <c r="A91" s="28" t="inlineStr">
        <is>
          <t>prioritization-guidelines-for-funding-projects-by-vuluntary-organisations</t>
        </is>
      </c>
      <c r="B91" s="28" t="inlineStr">
        <is>
          <t>Page</t>
        </is>
      </c>
      <c r="C91" s="28" t="n"/>
      <c r="D91" s="28" t="inlineStr">
        <is>
          <t>No</t>
        </is>
      </c>
      <c r="E91" s="28" t="inlineStr">
        <is>
          <t>Yes</t>
        </is>
      </c>
      <c r="F91" s="28" t="inlineStr">
        <is>
          <t>Not captured</t>
        </is>
      </c>
      <c r="G91" s="28" t="n">
        <v>23</v>
      </c>
      <c r="H91" s="28" t="inlineStr"/>
    </row>
    <row r="92">
      <c r="A92" s="28" t="inlineStr">
        <is>
          <t>policies-acts-rules-codes-circular</t>
        </is>
      </c>
      <c r="B92" s="28" t="inlineStr">
        <is>
          <t>Page</t>
        </is>
      </c>
      <c r="C92" s="28" t="inlineStr">
        <is>
          <t>https://www.figma.com/design/Ds5qx61QsI0ZkYSrLKxo0A/MoSJE--Handoff-?node-id=3453-12795</t>
        </is>
      </c>
      <c r="D92" s="28" t="inlineStr">
        <is>
          <t>Yes</t>
        </is>
      </c>
      <c r="E92" s="28" t="inlineStr">
        <is>
          <t>Yes</t>
        </is>
      </c>
      <c r="F92" s="28" t="inlineStr">
        <is>
          <t>Not captured</t>
        </is>
      </c>
      <c r="G92" s="28" t="n">
        <v>27</v>
      </c>
      <c r="H92" s="28" t="inlineStr">
        <is>
          <t>Document-listing page; the only drawn document list is Annual Reports</t>
        </is>
      </c>
    </row>
    <row r="93">
      <c r="A93" s="28" t="inlineStr">
        <is>
          <t>about-the-division-welfare-of-the-other-backward-classes</t>
        </is>
      </c>
      <c r="B93" s="28" t="inlineStr">
        <is>
          <t>Page</t>
        </is>
      </c>
      <c r="C93" s="28" t="n"/>
      <c r="D93" s="28" t="inlineStr">
        <is>
          <t>No</t>
        </is>
      </c>
      <c r="E93" s="28" t="inlineStr">
        <is>
          <t>Yes</t>
        </is>
      </c>
      <c r="F93" s="28" t="inlineStr">
        <is>
          <t>Not captured</t>
        </is>
      </c>
      <c r="G93" s="28" t="n">
        <v>23</v>
      </c>
      <c r="H93" s="28" t="inlineStr"/>
    </row>
    <row r="94">
      <c r="A94" s="28" t="inlineStr">
        <is>
          <t>policies-acts-rules-circular</t>
        </is>
      </c>
      <c r="B94" s="28" t="inlineStr">
        <is>
          <t>Page</t>
        </is>
      </c>
      <c r="C94" s="28" t="inlineStr">
        <is>
          <t>https://www.figma.com/design/Ds5qx61QsI0ZkYSrLKxo0A/MoSJE--Handoff-?node-id=3453-12795</t>
        </is>
      </c>
      <c r="D94" s="28" t="inlineStr">
        <is>
          <t>Yes</t>
        </is>
      </c>
      <c r="E94" s="28" t="inlineStr">
        <is>
          <t>Yes</t>
        </is>
      </c>
      <c r="F94" s="28" t="inlineStr">
        <is>
          <t>Not captured</t>
        </is>
      </c>
      <c r="G94" s="28" t="n">
        <v>27</v>
      </c>
      <c r="H94" s="28" t="inlineStr">
        <is>
          <t>Document-listing page; the only drawn document list is Annual Reports</t>
        </is>
      </c>
    </row>
    <row r="95">
      <c r="A95" s="28" t="inlineStr">
        <is>
          <t>about-the-division</t>
        </is>
      </c>
      <c r="B95" s="28" t="inlineStr">
        <is>
          <t>Page</t>
        </is>
      </c>
      <c r="C95" s="28" t="n"/>
      <c r="D95" s="28" t="inlineStr">
        <is>
          <t>No</t>
        </is>
      </c>
      <c r="E95" s="28" t="inlineStr">
        <is>
          <t>Yes</t>
        </is>
      </c>
      <c r="F95" s="28" t="inlineStr">
        <is>
          <t>Not captured</t>
        </is>
      </c>
      <c r="G95" s="28" t="n">
        <v>23</v>
      </c>
      <c r="H95" s="28" t="inlineStr"/>
    </row>
    <row r="96">
      <c r="A96" s="28" t="inlineStr">
        <is>
          <t>booking--conference-3</t>
        </is>
      </c>
      <c r="B96" s="28" t="inlineStr">
        <is>
          <t>Record template</t>
        </is>
      </c>
      <c r="C96" s="28" t="inlineStr">
        <is>
          <t>https://www.figma.com/design/Ds5qx61QsI0ZkYSrLKxo0A/MoSJE--Handoff-?node-id=4743-129775</t>
        </is>
      </c>
      <c r="D96" s="28" t="inlineStr">
        <is>
          <t>Yes</t>
        </is>
      </c>
      <c r="E96" s="28" t="inlineStr">
        <is>
          <t>Yes</t>
        </is>
      </c>
      <c r="F96" s="28" t="inlineStr">
        <is>
          <t>Not captured</t>
        </is>
      </c>
      <c r="G96" s="28" t="n">
        <v>27</v>
      </c>
      <c r="H96" s="28" t="inlineStr">
        <is>
          <t>Booking detail view under Organisation Details › Booking</t>
        </is>
      </c>
    </row>
    <row r="97">
      <c r="A97" s="28" t="inlineStr">
        <is>
          <t>booking--vaishali</t>
        </is>
      </c>
      <c r="B97" s="28" t="inlineStr">
        <is>
          <t>Record template</t>
        </is>
      </c>
      <c r="C97" s="28" t="inlineStr">
        <is>
          <t>https://www.figma.com/design/Ds5qx61QsI0ZkYSrLKxo0A/MoSJE--Handoff-?node-id=4743-129775</t>
        </is>
      </c>
      <c r="D97" s="28" t="inlineStr">
        <is>
          <t>Yes</t>
        </is>
      </c>
      <c r="E97" s="28" t="inlineStr">
        <is>
          <t>Yes</t>
        </is>
      </c>
      <c r="F97" s="28" t="inlineStr">
        <is>
          <t>Not captured</t>
        </is>
      </c>
      <c r="G97" s="28" t="n">
        <v>27</v>
      </c>
      <c r="H97" s="28" t="inlineStr">
        <is>
          <t>Booking detail view under Organisation Details › Booking</t>
        </is>
      </c>
    </row>
    <row r="98">
      <c r="A98" s="28" t="inlineStr">
        <is>
          <t>cpio--shri-sumit-kumar</t>
        </is>
      </c>
      <c r="B98" s="28" t="inlineStr">
        <is>
          <t>Record template</t>
        </is>
      </c>
      <c r="C98" s="28" t="inlineStr">
        <is>
          <t>https://www.figma.com/design/Ds5qx61QsI0ZkYSrLKxo0A/MoSJE--Handoff-?node-id=3453-14262</t>
        </is>
      </c>
      <c r="D98" s="28" t="inlineStr">
        <is>
          <t>Yes</t>
        </is>
      </c>
      <c r="E98" s="28" t="inlineStr">
        <is>
          <t>Yes</t>
        </is>
      </c>
      <c r="F98" s="28" t="inlineStr">
        <is>
          <t>Not captured</t>
        </is>
      </c>
      <c r="G98" s="28" t="n">
        <v>28</v>
      </c>
      <c r="H98" s="28" t="inlineStr">
        <is>
          <t>CPIO person detail page is not drawn; only the CPIO list</t>
        </is>
      </c>
    </row>
    <row r="99">
      <c r="A99" s="28" t="inlineStr">
        <is>
          <t>cpio--shri-vinesh-pachnanda</t>
        </is>
      </c>
      <c r="B99" s="28" t="inlineStr">
        <is>
          <t>Record template</t>
        </is>
      </c>
      <c r="C99" s="28" t="inlineStr">
        <is>
          <t>https://www.figma.com/design/Ds5qx61QsI0ZkYSrLKxo0A/MoSJE--Handoff-?node-id=3453-14262</t>
        </is>
      </c>
      <c r="D99" s="28" t="inlineStr">
        <is>
          <t>Yes</t>
        </is>
      </c>
      <c r="E99" s="28" t="inlineStr">
        <is>
          <t>Yes</t>
        </is>
      </c>
      <c r="F99" s="28" t="inlineStr">
        <is>
          <t>Not captured</t>
        </is>
      </c>
      <c r="G99" s="28" t="n">
        <v>28</v>
      </c>
      <c r="H99" s="28" t="inlineStr">
        <is>
          <t>CPIO person detail page is not drawn; only the CPIO list</t>
        </is>
      </c>
    </row>
    <row r="100">
      <c r="A100" s="28" t="inlineStr">
        <is>
          <t>documents--corrigendum-to-pm-daksh-scheme-guideline</t>
        </is>
      </c>
      <c r="B100" s="28" t="inlineStr">
        <is>
          <t>Record template</t>
        </is>
      </c>
      <c r="C100" s="28" t="inlineStr">
        <is>
          <t>https://www.figma.com/design/Ds5qx61QsI0ZkYSrLKxo0A/MoSJE--Handoff-?node-id=3431-7459</t>
        </is>
      </c>
      <c r="D100" s="28" t="inlineStr">
        <is>
          <t>Yes</t>
        </is>
      </c>
      <c r="E100" s="28" t="inlineStr">
        <is>
          <t>Yes</t>
        </is>
      </c>
      <c r="F100" s="28" t="inlineStr">
        <is>
          <t>Not captured</t>
        </is>
      </c>
      <c r="G100" s="28" t="n">
        <v>29</v>
      </c>
      <c r="H100" s="28" t="inlineStr">
        <is>
          <t>Document detail: design uses Quick View side sheet (desktop) / Document View (mobile), not a detail page</t>
        </is>
      </c>
    </row>
    <row r="101">
      <c r="A101" s="28" t="inlineStr">
        <is>
          <t>documents--expression-of-interest-eoi-for-rate-of-i</t>
        </is>
      </c>
      <c r="B101" s="28" t="inlineStr">
        <is>
          <t>Record template</t>
        </is>
      </c>
      <c r="C101" s="28" t="inlineStr">
        <is>
          <t>https://www.figma.com/design/Ds5qx61QsI0ZkYSrLKxo0A/MoSJE--Handoff-?node-id=3431-7459</t>
        </is>
      </c>
      <c r="D101" s="28" t="inlineStr">
        <is>
          <t>Yes</t>
        </is>
      </c>
      <c r="E101" s="28" t="inlineStr">
        <is>
          <t>Yes</t>
        </is>
      </c>
      <c r="F101" s="28" t="inlineStr">
        <is>
          <t>Not captured</t>
        </is>
      </c>
      <c r="G101" s="28" t="n">
        <v>29</v>
      </c>
      <c r="H101" s="28" t="inlineStr">
        <is>
          <t>Document detail: design uses Quick View side sheet (desktop) / Document View (mobile), not a detail page</t>
        </is>
      </c>
    </row>
    <row r="102">
      <c r="A102" s="28" t="inlineStr">
        <is>
          <t>events--ek-ped-maa-ke-naam-7</t>
        </is>
      </c>
      <c r="B102" s="28" t="inlineStr">
        <is>
          <t>Record template</t>
        </is>
      </c>
      <c r="C102" s="28" t="inlineStr">
        <is>
          <t>https://www.figma.com/design/Ds5qx61QsI0ZkYSrLKxo0A/MoSJE--Handoff-?node-id=3453-14110</t>
        </is>
      </c>
      <c r="D102" s="28" t="inlineStr">
        <is>
          <t>Yes</t>
        </is>
      </c>
      <c r="E102" s="28" t="inlineStr">
        <is>
          <t>Yes</t>
        </is>
      </c>
      <c r="F102" s="28" t="inlineStr">
        <is>
          <t>Not captured</t>
        </is>
      </c>
      <c r="G102" s="28" t="n">
        <v>30</v>
      </c>
      <c r="H102" s="28" t="inlineStr">
        <is>
          <t>Event detail template</t>
        </is>
      </c>
    </row>
    <row r="103">
      <c r="A103" s="28" t="inlineStr">
        <is>
          <t>events--ek-ped-maa-ke-naam-6</t>
        </is>
      </c>
      <c r="B103" s="28" t="inlineStr">
        <is>
          <t>Record template</t>
        </is>
      </c>
      <c r="C103" s="28" t="inlineStr">
        <is>
          <t>https://www.figma.com/design/Ds5qx61QsI0ZkYSrLKxo0A/MoSJE--Handoff-?node-id=3453-14110</t>
        </is>
      </c>
      <c r="D103" s="28" t="inlineStr">
        <is>
          <t>Yes</t>
        </is>
      </c>
      <c r="E103" s="28" t="inlineStr">
        <is>
          <t>Yes</t>
        </is>
      </c>
      <c r="F103" s="28" t="inlineStr">
        <is>
          <t>Not captured</t>
        </is>
      </c>
      <c r="G103" s="28" t="n">
        <v>30</v>
      </c>
      <c r="H103" s="28" t="inlineStr">
        <is>
          <t>Event detail template</t>
        </is>
      </c>
    </row>
    <row r="104">
      <c r="A104" s="28" t="inlineStr">
        <is>
          <t>gallery--14446-national-de-addiction-and-telecoun</t>
        </is>
      </c>
      <c r="B104" s="28" t="inlineStr">
        <is>
          <t>Record template</t>
        </is>
      </c>
      <c r="C104" s="28" t="inlineStr">
        <is>
          <t>https://www.figma.com/design/Ds5qx61QsI0ZkYSrLKxo0A/MoSJE--Handoff-?node-id=3453-13524</t>
        </is>
      </c>
      <c r="D104" s="28" t="inlineStr">
        <is>
          <t>Yes</t>
        </is>
      </c>
      <c r="E104" s="28" t="inlineStr">
        <is>
          <t>Yes</t>
        </is>
      </c>
      <c r="F104" s="28" t="inlineStr">
        <is>
          <t>Not captured</t>
        </is>
      </c>
      <c r="G104" s="28" t="n">
        <v>28</v>
      </c>
      <c r="H104" s="28" t="inlineStr">
        <is>
          <t>Gallery item: design uses a Quick View modal, not a detail page</t>
        </is>
      </c>
    </row>
    <row r="105">
      <c r="A105" s="28" t="inlineStr">
        <is>
          <t>gallery--role-of-parents-teachers-in-early-identi</t>
        </is>
      </c>
      <c r="B105" s="28" t="inlineStr">
        <is>
          <t>Record template</t>
        </is>
      </c>
      <c r="C105" s="28" t="inlineStr">
        <is>
          <t>https://www.figma.com/design/Ds5qx61QsI0ZkYSrLKxo0A/MoSJE--Handoff-?node-id=3453-13524</t>
        </is>
      </c>
      <c r="D105" s="28" t="inlineStr">
        <is>
          <t>Yes</t>
        </is>
      </c>
      <c r="E105" s="28" t="inlineStr">
        <is>
          <t>Yes</t>
        </is>
      </c>
      <c r="F105" s="28" t="inlineStr">
        <is>
          <t>Not captured</t>
        </is>
      </c>
      <c r="G105" s="28" t="n">
        <v>28</v>
      </c>
      <c r="H105" s="28" t="inlineStr">
        <is>
          <t>Gallery item: design uses a Quick View modal, not a detail page</t>
        </is>
      </c>
    </row>
    <row r="106">
      <c r="A106" s="28" t="inlineStr">
        <is>
          <t>official--shri-shailendra-kumar</t>
        </is>
      </c>
      <c r="B106" s="28" t="inlineStr">
        <is>
          <t>Record template</t>
        </is>
      </c>
      <c r="C106" s="28" t="inlineStr">
        <is>
          <t>https://www.figma.com/design/Ds5qx61QsI0ZkYSrLKxo0A/MoSJE--Handoff-?node-id=3453-9455</t>
        </is>
      </c>
      <c r="D106" s="28" t="inlineStr">
        <is>
          <t>Yes</t>
        </is>
      </c>
      <c r="E106" s="28" t="inlineStr">
        <is>
          <t>Yes</t>
        </is>
      </c>
      <c r="F106" s="28" t="inlineStr">
        <is>
          <t>Not captured</t>
        </is>
      </c>
      <c r="G106" s="28" t="n">
        <v>29</v>
      </c>
      <c r="H106" s="28" t="inlineStr">
        <is>
          <t>Official profile drawn as the Directory → Joint Secretary detail state</t>
        </is>
      </c>
    </row>
    <row r="107">
      <c r="A107" s="28" t="inlineStr">
        <is>
          <t>official--dr-swati-s-mishra</t>
        </is>
      </c>
      <c r="B107" s="28" t="inlineStr">
        <is>
          <t>Record template</t>
        </is>
      </c>
      <c r="C107" s="28" t="inlineStr">
        <is>
          <t>https://www.figma.com/design/Ds5qx61QsI0ZkYSrLKxo0A/MoSJE--Handoff-?node-id=3453-9455</t>
        </is>
      </c>
      <c r="D107" s="28" t="inlineStr">
        <is>
          <t>Yes</t>
        </is>
      </c>
      <c r="E107" s="28" t="inlineStr">
        <is>
          <t>Yes</t>
        </is>
      </c>
      <c r="F107" s="28" t="inlineStr">
        <is>
          <t>Not captured</t>
        </is>
      </c>
      <c r="G107" s="28" t="n">
        <v>29</v>
      </c>
      <c r="H107" s="28" t="inlineStr">
        <is>
          <t>Official profile drawn as the Directory → Joint Secretary detail state</t>
        </is>
      </c>
    </row>
    <row r="108">
      <c r="A108" s="28" t="inlineStr">
        <is>
          <t>organisation--pearls-of-wisdom</t>
        </is>
      </c>
      <c r="B108" s="28" t="inlineStr">
        <is>
          <t>Record template</t>
        </is>
      </c>
      <c r="C108" s="28" t="inlineStr">
        <is>
          <t>https://www.figma.com/design/Ds5qx61QsI0ZkYSrLKxo0A/MoSJE--Handoff-?node-id=3453-11191</t>
        </is>
      </c>
      <c r="D108" s="28" t="inlineStr">
        <is>
          <t>Yes</t>
        </is>
      </c>
      <c r="E108" s="28" t="inlineStr">
        <is>
          <t>Yes</t>
        </is>
      </c>
      <c r="F108" s="28" t="inlineStr">
        <is>
          <t>Not captured</t>
        </is>
      </c>
      <c r="G108" s="28" t="n">
        <v>27</v>
      </c>
      <c r="H108" s="28" t="inlineStr">
        <is>
          <t>Organisation sub-page (e.g. Pearls of Wisdom) — only the Organisation Details shell is drawn, sub-page content is not</t>
        </is>
      </c>
    </row>
    <row r="109">
      <c r="A109" s="28" t="inlineStr">
        <is>
          <t>organisation--contact-us</t>
        </is>
      </c>
      <c r="B109" s="28" t="inlineStr">
        <is>
          <t>Record template</t>
        </is>
      </c>
      <c r="C109" s="28" t="inlineStr">
        <is>
          <t>https://www.figma.com/design/Ds5qx61QsI0ZkYSrLKxo0A/MoSJE--Handoff-?node-id=3453-14723</t>
        </is>
      </c>
      <c r="D109" s="28" t="inlineStr">
        <is>
          <t>Yes</t>
        </is>
      </c>
      <c r="E109" s="28" t="inlineStr">
        <is>
          <t>Yes</t>
        </is>
      </c>
      <c r="F109" s="28" t="inlineStr">
        <is>
          <t>Not captured</t>
        </is>
      </c>
      <c r="G109" s="28" t="n">
        <v>30</v>
      </c>
      <c r="H109" s="28" t="inlineStr">
        <is>
          <t>Organisation contact sub-page = Contact Us/NCSC</t>
        </is>
      </c>
    </row>
    <row r="110">
      <c r="A110" s="28" t="inlineStr">
        <is>
          <t>scheme-documents--merger-order</t>
        </is>
      </c>
      <c r="B110" s="28" t="inlineStr">
        <is>
          <t>Record template</t>
        </is>
      </c>
      <c r="C110" s="28" t="inlineStr">
        <is>
          <t>https://www.figma.com/design/Ds5qx61QsI0ZkYSrLKxo0A/MoSJE--Handoff-?node-id=3431-7459</t>
        </is>
      </c>
      <c r="D110" s="28" t="inlineStr">
        <is>
          <t>Yes</t>
        </is>
      </c>
      <c r="E110" s="28" t="inlineStr">
        <is>
          <t>Yes</t>
        </is>
      </c>
      <c r="F110" s="28" t="inlineStr">
        <is>
          <t>Not captured</t>
        </is>
      </c>
      <c r="G110" s="28" t="n">
        <v>30</v>
      </c>
      <c r="H110" s="28" t="inlineStr">
        <is>
          <t>Document detail: design uses Quick View side sheet (desktop) / Document View (mobile), not a detail page</t>
        </is>
      </c>
    </row>
    <row r="111">
      <c r="A111" s="28" t="inlineStr">
        <is>
          <t>scheme-documents--dr-ambedkar-national-merit-award-scheme-</t>
        </is>
      </c>
      <c r="B111" s="28" t="inlineStr">
        <is>
          <t>Record template</t>
        </is>
      </c>
      <c r="C111" s="28" t="inlineStr">
        <is>
          <t>https://www.figma.com/design/Ds5qx61QsI0ZkYSrLKxo0A/MoSJE--Handoff-?node-id=3431-7459</t>
        </is>
      </c>
      <c r="D111" s="28" t="inlineStr">
        <is>
          <t>Yes</t>
        </is>
      </c>
      <c r="E111" s="28" t="inlineStr">
        <is>
          <t>Yes</t>
        </is>
      </c>
      <c r="F111" s="28" t="inlineStr">
        <is>
          <t>Not captured</t>
        </is>
      </c>
      <c r="G111" s="28" t="n">
        <v>30</v>
      </c>
      <c r="H111" s="28" t="inlineStr">
        <is>
          <t>Document detail: design uses Quick View side sheet (desktop) / Document View (mobile), not a detail page</t>
        </is>
      </c>
    </row>
    <row r="112">
      <c r="A112" s="28" t="inlineStr">
        <is>
          <t>schemes-and-services--top-class-education-in-colllege-for-obc-</t>
        </is>
      </c>
      <c r="B112" s="28" t="inlineStr">
        <is>
          <t>Record template</t>
        </is>
      </c>
      <c r="C112" s="28" t="inlineStr">
        <is>
          <t>https://www.figma.com/design/Ds5qx61QsI0ZkYSrLKxo0A/MoSJE--Handoff-?node-id=3453-11885</t>
        </is>
      </c>
      <c r="D112" s="28" t="inlineStr">
        <is>
          <t>Yes</t>
        </is>
      </c>
      <c r="E112" s="28" t="inlineStr">
        <is>
          <t>Yes</t>
        </is>
      </c>
      <c r="F112" s="28" t="inlineStr">
        <is>
          <t>Not captured</t>
        </is>
      </c>
      <c r="G112" s="28" t="n">
        <v>31</v>
      </c>
      <c r="H112" s="28" t="inlineStr">
        <is>
          <t>Scheme Details template</t>
        </is>
      </c>
    </row>
    <row r="113">
      <c r="A113" s="28" t="inlineStr">
        <is>
          <t>schemes-and-services--geriatric-caregivers-training</t>
        </is>
      </c>
      <c r="B113" s="28" t="inlineStr">
        <is>
          <t>Record template</t>
        </is>
      </c>
      <c r="C113" s="28" t="inlineStr">
        <is>
          <t>https://www.figma.com/design/Ds5qx61QsI0ZkYSrLKxo0A/MoSJE--Handoff-?node-id=3453-11885</t>
        </is>
      </c>
      <c r="D113" s="28" t="inlineStr">
        <is>
          <t>Yes</t>
        </is>
      </c>
      <c r="E113" s="28" t="inlineStr">
        <is>
          <t>Yes</t>
        </is>
      </c>
      <c r="F113" s="28" t="inlineStr">
        <is>
          <t>Not captured</t>
        </is>
      </c>
      <c r="G113" s="28" t="n">
        <v>29</v>
      </c>
      <c r="H113" s="28" t="inlineStr">
        <is>
          <t>Scheme Details template</t>
        </is>
      </c>
    </row>
    <row r="114">
      <c r="A114" s="28" t="inlineStr">
        <is>
          <t>suo-moto-disclosure--list-of-schemes-projects-programme-under</t>
        </is>
      </c>
      <c r="B114" s="28" t="inlineStr">
        <is>
          <t>Record template</t>
        </is>
      </c>
      <c r="C114" s="28" t="inlineStr">
        <is>
          <t>https://www.figma.com/design/Ds5qx61QsI0ZkYSrLKxo0A/MoSJE--Handoff-?node-id=3453-14426</t>
        </is>
      </c>
      <c r="D114" s="28" t="inlineStr">
        <is>
          <t>Yes</t>
        </is>
      </c>
      <c r="E114" s="28" t="inlineStr">
        <is>
          <t>Yes</t>
        </is>
      </c>
      <c r="F114" s="28" t="inlineStr">
        <is>
          <t>Not captured</t>
        </is>
      </c>
      <c r="G114" s="28" t="n">
        <v>28</v>
      </c>
      <c r="H114" s="28" t="inlineStr">
        <is>
          <t>Disclosure item detail not drawn; only the list</t>
        </is>
      </c>
    </row>
    <row r="115">
      <c r="A115" s="28" t="inlineStr">
        <is>
          <t>suo-moto-disclosure--security-audit-certificate</t>
        </is>
      </c>
      <c r="B115" s="28" t="inlineStr">
        <is>
          <t>Record template</t>
        </is>
      </c>
      <c r="C115" s="28" t="inlineStr">
        <is>
          <t>https://www.figma.com/design/Ds5qx61QsI0ZkYSrLKxo0A/MoSJE--Handoff-?node-id=3453-14426</t>
        </is>
      </c>
      <c r="D115" s="28" t="inlineStr">
        <is>
          <t>Yes</t>
        </is>
      </c>
      <c r="E115" s="28" t="inlineStr">
        <is>
          <t>Yes</t>
        </is>
      </c>
      <c r="F115" s="28" t="inlineStr">
        <is>
          <t>Not captured</t>
        </is>
      </c>
      <c r="G115" s="28" t="n">
        <v>28</v>
      </c>
      <c r="H115" s="28" t="inlineStr">
        <is>
          <t>Disclosure item detail not drawn; only the list</t>
        </is>
      </c>
    </row>
    <row r="116">
      <c r="A116" s="28" t="inlineStr">
        <is>
          <t>tender--investment-of-an-amount-of-rs-10-00-cror</t>
        </is>
      </c>
      <c r="B116" s="28" t="inlineStr">
        <is>
          <t>Record template</t>
        </is>
      </c>
      <c r="C116" s="28" t="inlineStr">
        <is>
          <t>https://www.figma.com/design/Ds5qx61QsI0ZkYSrLKxo0A/MoSJE--Handoff-?node-id=3453-12568</t>
        </is>
      </c>
      <c r="D116" s="28" t="inlineStr">
        <is>
          <t>Yes</t>
        </is>
      </c>
      <c r="E116" s="28" t="inlineStr">
        <is>
          <t>Yes</t>
        </is>
      </c>
      <c r="F116" s="28" t="inlineStr">
        <is>
          <t>Not captured</t>
        </is>
      </c>
      <c r="G116" s="28" t="n">
        <v>28</v>
      </c>
      <c r="H116" s="28" t="inlineStr">
        <is>
          <t>Tender detail not drawn; only the Tenders list</t>
        </is>
      </c>
    </row>
    <row r="117">
      <c r="A117" s="28" t="inlineStr">
        <is>
          <t>tender--investment-of-an-amount-of-rs-174-00-cro</t>
        </is>
      </c>
      <c r="B117" s="28" t="inlineStr">
        <is>
          <t>Record template</t>
        </is>
      </c>
      <c r="C117" s="28" t="inlineStr">
        <is>
          <t>https://www.figma.com/design/Ds5qx61QsI0ZkYSrLKxo0A/MoSJE--Handoff-?node-id=3453-12568</t>
        </is>
      </c>
      <c r="D117" s="28" t="inlineStr">
        <is>
          <t>Yes</t>
        </is>
      </c>
      <c r="E117" s="28" t="inlineStr">
        <is>
          <t>Yes</t>
        </is>
      </c>
      <c r="F117" s="28" t="inlineStr">
        <is>
          <t>Not captured</t>
        </is>
      </c>
      <c r="G117" s="28" t="n">
        <v>28</v>
      </c>
      <c r="H117" s="28" t="inlineStr">
        <is>
          <t>Tender detail not drawn; only the Tenders list</t>
        </is>
      </c>
    </row>
    <row r="118">
      <c r="A118" s="28" t="inlineStr">
        <is>
          <t>updates--3rd-national-lok-adalat-awareness-materi</t>
        </is>
      </c>
      <c r="B118" s="28" t="inlineStr">
        <is>
          <t>Record template</t>
        </is>
      </c>
      <c r="C118" s="28" t="n"/>
      <c r="D118" s="28" t="inlineStr">
        <is>
          <t>No</t>
        </is>
      </c>
      <c r="E118" s="28" t="inlineStr">
        <is>
          <t>Yes</t>
        </is>
      </c>
      <c r="F118" s="28" t="inlineStr">
        <is>
          <t>Not captured</t>
        </is>
      </c>
      <c r="G118" s="28" t="n">
        <v>24</v>
      </c>
      <c r="H118" s="28" t="inlineStr"/>
    </row>
    <row r="119">
      <c r="A119" s="28" t="inlineStr">
        <is>
          <t>updates--pre-bid-meeting-tender-id-gem-2026-b-774</t>
        </is>
      </c>
      <c r="B119" s="28" t="inlineStr">
        <is>
          <t>Record template</t>
        </is>
      </c>
      <c r="C119" s="28" t="n"/>
      <c r="D119" s="28" t="inlineStr">
        <is>
          <t>No</t>
        </is>
      </c>
      <c r="E119" s="28" t="inlineStr">
        <is>
          <t>Yes</t>
        </is>
      </c>
      <c r="F119" s="28" t="inlineStr">
        <is>
          <t>Not captured</t>
        </is>
      </c>
      <c r="G119" s="28" t="n">
        <v>24</v>
      </c>
      <c r="H119" s="28" t="inlineStr"/>
    </row>
    <row r="120">
      <c r="A120" s="28" t="inlineStr">
        <is>
          <t>vacancies--short-term-internship-programme-at-daic-</t>
        </is>
      </c>
      <c r="B120" s="28" t="inlineStr">
        <is>
          <t>Record template</t>
        </is>
      </c>
      <c r="C120" s="28" t="inlineStr">
        <is>
          <t>https://www.figma.com/design/Ds5qx61QsI0ZkYSrLKxo0A/MoSJE--Handoff-?node-id=3453-12427</t>
        </is>
      </c>
      <c r="D120" s="28" t="inlineStr">
        <is>
          <t>Yes</t>
        </is>
      </c>
      <c r="E120" s="28" t="inlineStr">
        <is>
          <t>Yes</t>
        </is>
      </c>
      <c r="F120" s="28" t="inlineStr">
        <is>
          <t>Not captured</t>
        </is>
      </c>
      <c r="G120" s="28" t="n">
        <v>28</v>
      </c>
      <c r="H120" s="28" t="inlineStr">
        <is>
          <t>Vacancy detail not drawn; only the Vacancies list</t>
        </is>
      </c>
    </row>
    <row r="121">
      <c r="A121" s="28" t="inlineStr">
        <is>
          <t>vacancies--short-term-internship-programme-at-dr-am</t>
        </is>
      </c>
      <c r="B121" s="28" t="inlineStr">
        <is>
          <t>Record template</t>
        </is>
      </c>
      <c r="C121" s="28" t="inlineStr">
        <is>
          <t>https://www.figma.com/design/Ds5qx61QsI0ZkYSrLKxo0A/MoSJE--Handoff-?node-id=3453-12427</t>
        </is>
      </c>
      <c r="D121" s="28" t="inlineStr">
        <is>
          <t>Yes</t>
        </is>
      </c>
      <c r="E121" s="28" t="inlineStr">
        <is>
          <t>Yes</t>
        </is>
      </c>
      <c r="F121" s="28" t="inlineStr">
        <is>
          <t>Not captured</t>
        </is>
      </c>
      <c r="G121" s="28" t="n">
        <v>28</v>
      </c>
      <c r="H121" s="28" t="inlineStr">
        <is>
          <t>Vacancy detail not drawn; only the Vacancies list</t>
        </is>
      </c>
    </row>
  </sheetData>
  <autoFilter ref="A1:H1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2026-09-18T05:50:21Z</dcterms:modified>
</cp:coreProperties>
</file>