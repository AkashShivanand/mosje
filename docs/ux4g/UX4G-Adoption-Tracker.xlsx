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ortals" sheetId="2" state="visible" r:id="rId2"/>
    <sheet xmlns:r="http://schemas.openxmlformats.org/officeDocument/2006/relationships" name="Weekly Log" sheetId="3" state="visible" r:id="rId3"/>
    <sheet xmlns:r="http://schemas.openxmlformats.org/officeDocument/2006/relationships" name="Questions" sheetId="4" state="visible" r:id="rId4"/>
    <sheet xmlns:r="http://schemas.openxmlformats.org/officeDocument/2006/relationships" name="Register" sheetId="5" state="visible" r:id="rId5"/>
    <sheet xmlns:r="http://schemas.openxmlformats.org/officeDocument/2006/relationships" name="Milestones" sheetId="6" state="visible" r:id="rId6"/>
    <sheet xmlns:r="http://schemas.openxmlformats.org/officeDocument/2006/relationships" name="Risk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FFFFFF"/>
      <sz val="10"/>
    </font>
    <font>
      <name val="Arial"/>
      <b val="1"/>
      <color rgb="001F3864"/>
      <sz val="11"/>
    </font>
    <font>
      <name val="Arial"/>
      <b val="1"/>
      <sz val="10"/>
    </font>
    <font>
      <name val="Arial"/>
      <sz val="10"/>
    </font>
    <font>
      <name val="Arial"/>
      <i val="1"/>
      <color rgb="00808080"/>
      <sz val="9"/>
    </font>
    <font>
      <name val="Arial"/>
      <b val="1"/>
      <color rgb="00FFFFFF"/>
      <sz val="10"/>
    </font>
    <font>
      <name val="Arial"/>
      <color rgb="000000FF"/>
      <sz val="10"/>
    </font>
    <font>
      <name val="Arial"/>
      <b val="1"/>
      <color rgb="00B7131A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0373DF"/>
      </patternFill>
    </fill>
    <fill>
      <patternFill patternType="solid">
        <fgColor rgb="00FFFF00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4D9"/>
      </left>
      <right style="thin">
        <color rgb="00B8C4D9"/>
      </right>
      <top style="thin">
        <color rgb="00B8C4D9"/>
      </top>
      <bottom style="thin">
        <color rgb="00B8C4D9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2" borderId="0" applyAlignment="1" pivotButton="0" quotePrefix="0" xfId="0">
      <alignment vertical="center" inden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9" fontId="5" fillId="0" borderId="0" applyAlignment="1" pivotButton="0" quotePrefix="0" xfId="0">
      <alignment horizontal="left"/>
    </xf>
    <xf numFmtId="1" fontId="5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left"/>
    </xf>
    <xf numFmtId="0" fontId="7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applyAlignment="1" pivotButton="0" quotePrefix="0" xfId="0">
      <alignment horizontal="center"/>
    </xf>
    <xf numFmtId="9" fontId="8" fillId="4" borderId="1" applyAlignment="1" pivotButton="0" quotePrefix="0" xfId="0">
      <alignment horizontal="center"/>
    </xf>
    <xf numFmtId="0" fontId="8" fillId="4" borderId="1" pivotButton="0" quotePrefix="0" xfId="0"/>
    <xf numFmtId="0" fontId="4" fillId="5" borderId="1" pivotButton="0" quotePrefix="0" xfId="0"/>
    <xf numFmtId="0" fontId="0" fillId="5" borderId="1" applyAlignment="1" pivotButton="0" quotePrefix="0" xfId="0">
      <alignment horizontal="center"/>
    </xf>
    <xf numFmtId="9" fontId="4" fillId="5" borderId="1" applyAlignment="1" pivotButton="0" quotePrefix="0" xfId="0">
      <alignment horizontal="center"/>
    </xf>
    <xf numFmtId="0" fontId="0" fillId="5" borderId="1" pivotButton="0" quotePrefix="0" xfId="0"/>
    <xf numFmtId="0" fontId="4" fillId="0" borderId="1" applyAlignment="1" pivotButton="0" quotePrefix="0" xfId="0">
      <alignment horizontal="center"/>
    </xf>
    <xf numFmtId="0" fontId="5" fillId="0" borderId="1" pivotButton="0" quotePrefix="0" xfId="0"/>
    <xf numFmtId="9" fontId="4" fillId="0" borderId="1" applyAlignment="1" pivotButton="0" quotePrefix="0" xfId="0">
      <alignment horizontal="center"/>
    </xf>
    <xf numFmtId="0" fontId="8" fillId="4" borderId="1" applyAlignment="1" pivotButton="0" quotePrefix="0" xfId="0">
      <alignment horizontal="center"/>
    </xf>
    <xf numFmtId="0" fontId="9" fillId="0" borderId="1" pivotButton="0" quotePrefix="0" xfId="0"/>
    <xf numFmtId="0" fontId="4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9" fillId="0" borderId="1" applyAlignment="1" pivotButton="0" quotePrefix="0" xfId="0">
      <alignment vertical="center" wrapText="1"/>
    </xf>
    <xf numFmtId="0" fontId="9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14" customWidth="1" min="3" max="3"/>
    <col width="14" customWidth="1" min="4" max="4"/>
    <col width="14" customWidth="1" min="5" max="5"/>
    <col width="58" customWidth="1" min="6" max="6"/>
  </cols>
  <sheetData>
    <row r="1" ht="30" customHeight="1">
      <c r="A1" s="1" t="inlineStr">
        <is>
          <t>UX4G adoption</t>
        </is>
      </c>
    </row>
    <row r="2" ht="18" customHeight="1">
      <c r="A2" s="2" t="inlineStr">
        <is>
          <t>MoSJE / DoSJE  |  Akash Kumar, Designer  |  Upgrading from UX4G 2.0 to 3.0</t>
        </is>
      </c>
    </row>
    <row r="4">
      <c r="A4" s="3" t="inlineStr">
        <is>
          <t>Dates</t>
        </is>
      </c>
    </row>
    <row r="5">
      <c r="A5" s="4" t="inlineStr">
        <is>
          <t>First weekly report</t>
        </is>
      </c>
      <c r="B5" s="5" t="inlineStr">
        <is>
          <t>08 Aug 2026</t>
        </is>
      </c>
    </row>
    <row r="6">
      <c r="A6" s="4" t="inlineStr">
        <is>
          <t>Reporting format needed</t>
        </is>
      </c>
      <c r="B6" s="5" t="inlineStr">
        <is>
          <t>07 Aug 2026</t>
        </is>
      </c>
      <c r="F6" s="6" t="inlineStr">
        <is>
          <t>So the first report is filed in the expected shape.</t>
        </is>
      </c>
    </row>
    <row r="7">
      <c r="A7" s="4" t="inlineStr">
        <is>
          <t>Clause 2 point raised by</t>
        </is>
      </c>
      <c r="B7" s="5" t="inlineStr">
        <is>
          <t>16 Aug 2026</t>
        </is>
      </c>
      <c r="F7" s="6" t="inlineStr">
        <is>
          <t>Fifteen days from issue.</t>
        </is>
      </c>
    </row>
    <row r="8">
      <c r="A8" s="4" t="inlineStr">
        <is>
          <t>Replies helpful by</t>
        </is>
      </c>
      <c r="B8" s="5" t="inlineStr">
        <is>
          <t>18 Aug 2026</t>
        </is>
      </c>
      <c r="F8" s="6" t="inlineStr">
        <is>
          <t>After this, open items move to the register and we proceed.</t>
        </is>
      </c>
    </row>
    <row r="9">
      <c r="A9" s="4" t="inlineStr">
        <is>
          <t>Full transition</t>
        </is>
      </c>
      <c r="B9" s="5" t="inlineStr">
        <is>
          <t>31 Oct 2026</t>
        </is>
      </c>
    </row>
    <row r="11">
      <c r="A11" s="3" t="inlineStr">
        <is>
          <t>Progress</t>
        </is>
      </c>
    </row>
    <row r="12">
      <c r="A12" s="4" t="inlineStr">
        <is>
          <t>Figma screens using the library</t>
        </is>
      </c>
      <c r="B12" s="7">
        <f>Portals!D13</f>
        <v/>
      </c>
      <c r="F12" s="6" t="inlineStr">
        <is>
          <t>NOT YET MEASURED. This affects the timeline most.</t>
        </is>
      </c>
    </row>
    <row r="13">
      <c r="A13" s="4" t="inlineStr">
        <is>
          <t>Latest reported (design)</t>
        </is>
      </c>
      <c r="B13" s="7">
        <f>IFERROR(LOOKUP(2,1/('Weekly Log'!$M$6:$M$18&lt;&gt;""),'Weekly Log'!$M$6:$M$18),"not yet reported")</f>
        <v/>
      </c>
    </row>
    <row r="14">
      <c r="A14" s="4" t="inlineStr">
        <is>
          <t>Latest reported (build)</t>
        </is>
      </c>
      <c r="B14" s="7">
        <f>IFERROR(LOOKUP(2,1/('Weekly Log'!$N$6:$N$18&lt;&gt;""),'Weekly Log'!$N$6:$N$18),"not yet reported")</f>
        <v/>
      </c>
    </row>
    <row r="15">
      <c r="A15" s="4" t="inlineStr">
        <is>
          <t>Weeks reported</t>
        </is>
      </c>
      <c r="B15" s="8">
        <f>COUNTIF('Weekly Log'!$O$6:$O$18,"Yes")</f>
        <v/>
      </c>
    </row>
    <row r="16">
      <c r="A16" s="4" t="inlineStr">
        <is>
          <t>Questions answered</t>
        </is>
      </c>
      <c r="B16" s="9">
        <f>COUNTIF(Questions!G5:G16,"Answered")&amp;" of "&amp;COUNTA(Questions!A5:A16)</f>
        <v/>
      </c>
    </row>
    <row r="17">
      <c r="A17" s="4" t="inlineStr">
        <is>
          <t>High-priority questions open</t>
        </is>
      </c>
      <c r="B17" s="8">
        <f>COUNTIFS(Questions!F5:F16,"High",Questions!G5:G16,"&lt;&gt;Answered")</f>
        <v/>
      </c>
    </row>
    <row r="18">
      <c r="A18" s="4" t="inlineStr">
        <is>
          <t>Register entries</t>
        </is>
      </c>
      <c r="B18" s="8">
        <f>COUNTA(Register!A5:A40)</f>
        <v/>
      </c>
    </row>
    <row r="19">
      <c r="A19" s="4" t="inlineStr">
        <is>
          <t>Milestones complete</t>
        </is>
      </c>
      <c r="B19" s="9">
        <f>COUNTIF(Milestones!F5:F24,"Complete")&amp;" of "&amp;COUNTA(Milestones!C5:C24)</f>
        <v/>
      </c>
    </row>
    <row r="22">
      <c r="A22" s="3" t="inlineStr">
        <is>
          <t>How to use this</t>
        </is>
      </c>
    </row>
    <row r="23">
      <c r="A23" s="5" t="inlineStr">
        <is>
          <t>- Blue text on yellow means fill it in. Everything else works itself out.</t>
        </is>
      </c>
    </row>
    <row r="24">
      <c r="A24" s="5" t="inlineStr">
        <is>
          <t>- Questions: twelve items we have asked about. Log replies as they arrive.</t>
        </is>
      </c>
    </row>
    <row r="25">
      <c r="A25" s="5" t="inlineStr">
        <is>
          <t>- Register: what we decided and why. Anything still open on 18 August moves here and we carry on.</t>
        </is>
      </c>
    </row>
    <row r="26">
      <c r="A26" s="5" t="inlineStr">
        <is>
          <t>- The register is what lets us answer later questions with a written reason rather than a recollection.</t>
        </is>
      </c>
    </row>
  </sheetData>
  <mergeCells count="6">
    <mergeCell ref="A24:F24"/>
    <mergeCell ref="A2:F2"/>
    <mergeCell ref="A1:F1"/>
    <mergeCell ref="A23:F23"/>
    <mergeCell ref="A26:F26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22" customWidth="1" min="3" max="3"/>
    <col width="20" customWidth="1" min="4" max="4"/>
    <col width="16" customWidth="1" min="5" max="5"/>
    <col width="14" customWidth="1" min="6" max="6"/>
    <col width="16" customWidth="1" min="7" max="7"/>
  </cols>
  <sheetData>
    <row r="1" ht="30" customHeight="1">
      <c r="A1" s="1" t="inlineStr">
        <is>
          <t>Portals</t>
        </is>
      </c>
    </row>
    <row r="2" ht="18" customHeight="1">
      <c r="A2" s="2" t="inlineStr">
        <is>
          <t>Order of work, and progress against each.</t>
        </is>
      </c>
    </row>
    <row r="4" ht="32" customHeight="1">
      <c r="A4" s="10" t="inlineStr">
        <is>
          <t>Portal</t>
        </is>
      </c>
      <c r="B4" s="10" t="inlineStr">
        <is>
          <t>Order</t>
        </is>
      </c>
      <c r="C4" s="10" t="inlineStr">
        <is>
          <t>Already using shared
components</t>
        </is>
      </c>
      <c r="D4" s="10" t="inlineStr">
        <is>
          <t>Figma screens
using the library</t>
        </is>
      </c>
      <c r="E4" s="10" t="inlineStr">
        <is>
          <t>Design progress</t>
        </is>
      </c>
      <c r="F4" s="10" t="inlineStr">
        <is>
          <t>Planned</t>
        </is>
      </c>
      <c r="G4" s="10" t="inlineStr">
        <is>
          <t>Status</t>
        </is>
      </c>
    </row>
    <row r="5">
      <c r="A5" s="11" t="inlineStr">
        <is>
          <t>NMBA</t>
        </is>
      </c>
      <c r="B5" s="12" t="n">
        <v>1</v>
      </c>
      <c r="C5" s="12" t="inlineStr">
        <is>
          <t>Most</t>
        </is>
      </c>
      <c r="D5" s="13" t="n"/>
      <c r="E5" s="13" t="n"/>
      <c r="F5" s="12" t="inlineStr">
        <is>
          <t>Week 7</t>
        </is>
      </c>
      <c r="G5" s="14" t="inlineStr">
        <is>
          <t>Not started</t>
        </is>
      </c>
    </row>
    <row r="6">
      <c r="A6" s="11" t="inlineStr">
        <is>
          <t>DoSJE website</t>
        </is>
      </c>
      <c r="B6" s="12" t="n">
        <v>2</v>
      </c>
      <c r="C6" s="12" t="inlineStr">
        <is>
          <t>Some</t>
        </is>
      </c>
      <c r="D6" s="13" t="n"/>
      <c r="E6" s="13" t="n"/>
      <c r="F6" s="12" t="inlineStr">
        <is>
          <t>Weeks 8-9</t>
        </is>
      </c>
      <c r="G6" s="14" t="inlineStr">
        <is>
          <t>Not started</t>
        </is>
      </c>
    </row>
    <row r="7">
      <c r="A7" s="11" t="inlineStr">
        <is>
          <t>SMILE Admin</t>
        </is>
      </c>
      <c r="B7" s="12" t="n">
        <v>3</v>
      </c>
      <c r="C7" s="12" t="inlineStr">
        <is>
          <t>Little</t>
        </is>
      </c>
      <c r="D7" s="13" t="n"/>
      <c r="E7" s="13" t="n"/>
      <c r="F7" s="12" t="inlineStr">
        <is>
          <t>Weeks 9-10</t>
        </is>
      </c>
      <c r="G7" s="14" t="inlineStr">
        <is>
          <t>Not started</t>
        </is>
      </c>
    </row>
    <row r="8">
      <c r="A8" s="11" t="inlineStr">
        <is>
          <t>NHAPOA</t>
        </is>
      </c>
      <c r="B8" s="12" t="n">
        <v>4</v>
      </c>
      <c r="C8" s="12" t="inlineStr">
        <is>
          <t>Little</t>
        </is>
      </c>
      <c r="D8" s="13" t="n"/>
      <c r="E8" s="13" t="n"/>
      <c r="F8" s="12" t="inlineStr">
        <is>
          <t>Week 10</t>
        </is>
      </c>
      <c r="G8" s="14" t="inlineStr">
        <is>
          <t>Not started</t>
        </is>
      </c>
    </row>
    <row r="9">
      <c r="A9" s="11" t="inlineStr">
        <is>
          <t>SCW</t>
        </is>
      </c>
      <c r="B9" s="12" t="n">
        <v>5</v>
      </c>
      <c r="C9" s="12" t="inlineStr">
        <is>
          <t>Little</t>
        </is>
      </c>
      <c r="D9" s="13" t="n"/>
      <c r="E9" s="13" t="n"/>
      <c r="F9" s="12" t="inlineStr">
        <is>
          <t>Week 11</t>
        </is>
      </c>
      <c r="G9" s="14" t="inlineStr">
        <is>
          <t>Not started</t>
        </is>
      </c>
    </row>
    <row r="10">
      <c r="A10" s="11" t="inlineStr">
        <is>
          <t>Eutthan Admin</t>
        </is>
      </c>
      <c r="B10" s="12" t="n">
        <v>6</v>
      </c>
      <c r="C10" s="12" t="inlineStr">
        <is>
          <t>None yet</t>
        </is>
      </c>
      <c r="D10" s="13" t="n"/>
      <c r="E10" s="13" t="n"/>
      <c r="F10" s="12" t="inlineStr">
        <is>
          <t>Week 11</t>
        </is>
      </c>
      <c r="G10" s="14" t="inlineStr">
        <is>
          <t>Not started</t>
        </is>
      </c>
    </row>
    <row r="11">
      <c r="A11" s="11" t="inlineStr">
        <is>
          <t>TG</t>
        </is>
      </c>
      <c r="B11" s="12" t="n">
        <v>7</v>
      </c>
      <c r="C11" s="12" t="inlineStr">
        <is>
          <t>Some</t>
        </is>
      </c>
      <c r="D11" s="13" t="n"/>
      <c r="E11" s="13" t="n"/>
      <c r="F11" s="12" t="inlineStr">
        <is>
          <t>Week 11</t>
        </is>
      </c>
      <c r="G11" s="14" t="inlineStr">
        <is>
          <t>Not started</t>
        </is>
      </c>
    </row>
    <row r="12">
      <c r="A12" s="11" t="inlineStr">
        <is>
          <t>PM-AJAY</t>
        </is>
      </c>
      <c r="B12" s="12" t="n">
        <v>8</v>
      </c>
      <c r="C12" s="12" t="inlineStr">
        <is>
          <t>Little</t>
        </is>
      </c>
      <c r="D12" s="13" t="n"/>
      <c r="E12" s="13" t="n"/>
      <c r="F12" s="12" t="inlineStr">
        <is>
          <t>Week 11</t>
        </is>
      </c>
      <c r="G12" s="14" t="inlineStr">
        <is>
          <t>Not started</t>
        </is>
      </c>
    </row>
    <row r="13">
      <c r="A13" s="15" t="inlineStr">
        <is>
          <t>OVERALL</t>
        </is>
      </c>
      <c r="B13" s="16" t="n"/>
      <c r="C13" s="16" t="n"/>
      <c r="D13" s="17">
        <f>IF(COUNT(D5:D12)=0,"",AVERAGE(D5:D12))</f>
        <v/>
      </c>
      <c r="E13" s="17">
        <f>IF(COUNT(E5:E12)=0,"",AVERAGE(E5:E12))</f>
        <v/>
      </c>
      <c r="F13" s="16" t="n"/>
      <c r="G13" s="18" t="n"/>
    </row>
    <row r="15">
      <c r="A15" s="6" t="inlineStr">
        <is>
          <t>Column D is the week 1 measurement. Screens built from library components pick up the upgrade almost automatically; detached ones need reworking individually.</t>
        </is>
      </c>
    </row>
    <row r="16">
      <c r="A16" s="6" t="inlineStr">
        <is>
          <t>Order of work starts with the portal that already uses shared components most, so the method is proven before it is applied widely.</t>
        </is>
      </c>
    </row>
  </sheetData>
  <mergeCells count="4">
    <mergeCell ref="A16:G16"/>
    <mergeCell ref="A2:G2"/>
    <mergeCell ref="A1:G1"/>
    <mergeCell ref="A15:G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9" customWidth="1" min="3" max="3"/>
    <col width="4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9" customWidth="1" min="15" max="15"/>
    <col width="38" customWidth="1" min="16" max="16"/>
  </cols>
  <sheetData>
    <row r="1" ht="30" customHeight="1">
      <c r="A1" s="1" t="inlineStr">
        <is>
          <t>Weekly report log</t>
        </is>
      </c>
    </row>
    <row r="2" ht="18" customHeight="1">
      <c r="A2" s="2" t="inlineStr">
        <is>
          <t>Design and build reported separately. They will not move at the same rate.</t>
        </is>
      </c>
    </row>
    <row r="5" ht="32" customHeight="1">
      <c r="A5" s="10" t="inlineStr">
        <is>
          <t>Wk</t>
        </is>
      </c>
      <c r="B5" s="10" t="inlineStr">
        <is>
          <t>From</t>
        </is>
      </c>
      <c r="C5" s="10" t="inlineStr">
        <is>
          <t>To</t>
        </is>
      </c>
      <c r="D5" s="10" t="inlineStr">
        <is>
          <t>Focus</t>
        </is>
      </c>
      <c r="E5" s="10" t="inlineStr">
        <is>
          <t>NMBA</t>
        </is>
      </c>
      <c r="F5" s="10" t="inlineStr">
        <is>
          <t>DoSJE website</t>
        </is>
      </c>
      <c r="G5" s="10" t="inlineStr">
        <is>
          <t>SMILE Admin</t>
        </is>
      </c>
      <c r="H5" s="10" t="inlineStr">
        <is>
          <t>NHAPOA</t>
        </is>
      </c>
      <c r="I5" s="10" t="inlineStr">
        <is>
          <t>SCW</t>
        </is>
      </c>
      <c r="J5" s="10" t="inlineStr">
        <is>
          <t>Eutthan Admin</t>
        </is>
      </c>
      <c r="K5" s="10" t="inlineStr">
        <is>
          <t>TG</t>
        </is>
      </c>
      <c r="L5" s="10" t="inlineStr">
        <is>
          <t>PM-AJAY</t>
        </is>
      </c>
      <c r="M5" s="10" t="inlineStr">
        <is>
          <t>DESIGN
overall</t>
        </is>
      </c>
      <c r="N5" s="10" t="inlineStr">
        <is>
          <t>BUILD
overall</t>
        </is>
      </c>
      <c r="O5" s="10" t="inlineStr">
        <is>
          <t>Filed</t>
        </is>
      </c>
      <c r="P5" s="10" t="inlineStr">
        <is>
          <t>Notes</t>
        </is>
      </c>
    </row>
    <row r="6">
      <c r="A6" s="19" t="n">
        <v>1</v>
      </c>
      <c r="B6" s="12" t="inlineStr">
        <is>
          <t>04 Aug</t>
        </is>
      </c>
      <c r="C6" s="12" t="inlineStr">
        <is>
          <t>08 Aug</t>
        </is>
      </c>
      <c r="D6" s="20" t="inlineStr">
        <is>
          <t>Measure library use, send questions, first report</t>
        </is>
      </c>
      <c r="E6" s="13" t="n"/>
      <c r="F6" s="13" t="n"/>
      <c r="G6" s="13" t="n"/>
      <c r="H6" s="13" t="n"/>
      <c r="I6" s="13" t="n"/>
      <c r="J6" s="13" t="n"/>
      <c r="K6" s="13" t="n"/>
      <c r="L6" s="13" t="n"/>
      <c r="M6" s="21">
        <f>IF(COUNT(E6:L6)=0,"",AVERAGE(E6:L6))</f>
        <v/>
      </c>
      <c r="N6" s="13" t="n"/>
      <c r="O6" s="22" t="inlineStr">
        <is>
          <t>No</t>
        </is>
      </c>
      <c r="P6" s="14" t="n"/>
    </row>
    <row r="7">
      <c r="A7" s="19" t="n">
        <v>2</v>
      </c>
      <c r="B7" s="12" t="inlineStr">
        <is>
          <t>11 Aug</t>
        </is>
      </c>
      <c r="C7" s="12" t="inlineStr">
        <is>
          <t>15 Aug</t>
        </is>
      </c>
      <c r="D7" s="20" t="inlineStr">
        <is>
          <t>Duplicate and publish the library, apply colours</t>
        </is>
      </c>
      <c r="E7" s="13" t="n"/>
      <c r="F7" s="13" t="n"/>
      <c r="G7" s="13" t="n"/>
      <c r="H7" s="13" t="n"/>
      <c r="I7" s="13" t="n"/>
      <c r="J7" s="13" t="n"/>
      <c r="K7" s="13" t="n"/>
      <c r="L7" s="13" t="n"/>
      <c r="M7" s="21">
        <f>IF(COUNT(E7:L7)=0,"",AVERAGE(E7:L7))</f>
        <v/>
      </c>
      <c r="N7" s="13" t="n"/>
      <c r="O7" s="22" t="inlineStr">
        <is>
          <t>No</t>
        </is>
      </c>
      <c r="P7" s="14" t="n"/>
    </row>
    <row r="8">
      <c r="A8" s="19" t="n">
        <v>3</v>
      </c>
      <c r="B8" s="12" t="inlineStr">
        <is>
          <t>18 Aug</t>
        </is>
      </c>
      <c r="C8" s="12" t="inlineStr">
        <is>
          <t>22 Aug</t>
        </is>
      </c>
      <c r="D8" s="20" t="inlineStr">
        <is>
          <t>Raise the clause 2 point, check contrast</t>
        </is>
      </c>
      <c r="E8" s="13" t="n"/>
      <c r="F8" s="13" t="n"/>
      <c r="G8" s="13" t="n"/>
      <c r="H8" s="13" t="n"/>
      <c r="I8" s="13" t="n"/>
      <c r="J8" s="13" t="n"/>
      <c r="K8" s="13" t="n"/>
      <c r="L8" s="13" t="n"/>
      <c r="M8" s="21">
        <f>IF(COUNT(E8:L8)=0,"",AVERAGE(E8:L8))</f>
        <v/>
      </c>
      <c r="N8" s="13" t="n"/>
      <c r="O8" s="22" t="inlineStr">
        <is>
          <t>No</t>
        </is>
      </c>
      <c r="P8" s="14" t="n"/>
    </row>
    <row r="9">
      <c r="A9" s="19" t="n">
        <v>4</v>
      </c>
      <c r="B9" s="12" t="inlineStr">
        <is>
          <t>25 Aug</t>
        </is>
      </c>
      <c r="C9" s="12" t="inlineStr">
        <is>
          <t>29 Aug</t>
        </is>
      </c>
      <c r="D9" s="20" t="inlineStr">
        <is>
          <t>Map 2.0 against 3.0</t>
        </is>
      </c>
      <c r="E9" s="13" t="n"/>
      <c r="F9" s="13" t="n"/>
      <c r="G9" s="13" t="n"/>
      <c r="H9" s="13" t="n"/>
      <c r="I9" s="13" t="n"/>
      <c r="J9" s="13" t="n"/>
      <c r="K9" s="13" t="n"/>
      <c r="L9" s="13" t="n"/>
      <c r="M9" s="21">
        <f>IF(COUNT(E9:L9)=0,"",AVERAGE(E9:L9))</f>
        <v/>
      </c>
      <c r="N9" s="13" t="n"/>
      <c r="O9" s="22" t="inlineStr">
        <is>
          <t>No</t>
        </is>
      </c>
      <c r="P9" s="14" t="n"/>
    </row>
    <row r="10">
      <c r="A10" s="19" t="n">
        <v>5</v>
      </c>
      <c r="B10" s="12" t="inlineStr">
        <is>
          <t>01 Sep</t>
        </is>
      </c>
      <c r="C10" s="12" t="inlineStr">
        <is>
          <t>05 Sep</t>
        </is>
      </c>
      <c r="D10" s="20" t="inlineStr">
        <is>
          <t>Upgrade the library in place</t>
        </is>
      </c>
      <c r="E10" s="13" t="n"/>
      <c r="F10" s="13" t="n"/>
      <c r="G10" s="13" t="n"/>
      <c r="H10" s="13" t="n"/>
      <c r="I10" s="13" t="n"/>
      <c r="J10" s="13" t="n"/>
      <c r="K10" s="13" t="n"/>
      <c r="L10" s="13" t="n"/>
      <c r="M10" s="21">
        <f>IF(COUNT(E10:L10)=0,"",AVERAGE(E10:L10))</f>
        <v/>
      </c>
      <c r="N10" s="13" t="n"/>
      <c r="O10" s="22" t="inlineStr">
        <is>
          <t>No</t>
        </is>
      </c>
      <c r="P10" s="14" t="n"/>
    </row>
    <row r="11">
      <c r="A11" s="19" t="n">
        <v>6</v>
      </c>
      <c r="B11" s="12" t="inlineStr">
        <is>
          <t>08 Sep</t>
        </is>
      </c>
      <c r="C11" s="12" t="inlineStr">
        <is>
          <t>12 Sep</t>
        </is>
      </c>
      <c r="D11" s="20" t="inlineStr">
        <is>
          <t>Build what UX4G does not cover</t>
        </is>
      </c>
      <c r="E11" s="13" t="n"/>
      <c r="F11" s="13" t="n"/>
      <c r="G11" s="13" t="n"/>
      <c r="H11" s="13" t="n"/>
      <c r="I11" s="13" t="n"/>
      <c r="J11" s="13" t="n"/>
      <c r="K11" s="13" t="n"/>
      <c r="L11" s="13" t="n"/>
      <c r="M11" s="21">
        <f>IF(COUNT(E11:L11)=0,"",AVERAGE(E11:L11))</f>
        <v/>
      </c>
      <c r="N11" s="13" t="n"/>
      <c r="O11" s="22" t="inlineStr">
        <is>
          <t>No</t>
        </is>
      </c>
      <c r="P11" s="14" t="n"/>
    </row>
    <row r="12">
      <c r="A12" s="19" t="n">
        <v>7</v>
      </c>
      <c r="B12" s="12" t="inlineStr">
        <is>
          <t>15 Sep</t>
        </is>
      </c>
      <c r="C12" s="12" t="inlineStr">
        <is>
          <t>19 Sep</t>
        </is>
      </c>
      <c r="D12" s="20" t="inlineStr">
        <is>
          <t>First portal, to prove the method</t>
        </is>
      </c>
      <c r="E12" s="13" t="n"/>
      <c r="F12" s="13" t="n"/>
      <c r="G12" s="13" t="n"/>
      <c r="H12" s="13" t="n"/>
      <c r="I12" s="13" t="n"/>
      <c r="J12" s="13" t="n"/>
      <c r="K12" s="13" t="n"/>
      <c r="L12" s="13" t="n"/>
      <c r="M12" s="21">
        <f>IF(COUNT(E12:L12)=0,"",AVERAGE(E12:L12))</f>
        <v/>
      </c>
      <c r="N12" s="13" t="n"/>
      <c r="O12" s="22" t="inlineStr">
        <is>
          <t>No</t>
        </is>
      </c>
      <c r="P12" s="14" t="n"/>
    </row>
    <row r="13">
      <c r="A13" s="19" t="n">
        <v>8</v>
      </c>
      <c r="B13" s="12" t="inlineStr">
        <is>
          <t>22 Sep</t>
        </is>
      </c>
      <c r="C13" s="12" t="inlineStr">
        <is>
          <t>26 Sep</t>
        </is>
      </c>
      <c r="D13" s="23" t="inlineStr">
        <is>
          <t>CHECKPOINT: is the deadline still reachable?</t>
        </is>
      </c>
      <c r="E13" s="13" t="n"/>
      <c r="F13" s="13" t="n"/>
      <c r="G13" s="13" t="n"/>
      <c r="H13" s="13" t="n"/>
      <c r="I13" s="13" t="n"/>
      <c r="J13" s="13" t="n"/>
      <c r="K13" s="13" t="n"/>
      <c r="L13" s="13" t="n"/>
      <c r="M13" s="21">
        <f>IF(COUNT(E13:L13)=0,"",AVERAGE(E13:L13))</f>
        <v/>
      </c>
      <c r="N13" s="13" t="n"/>
      <c r="O13" s="22" t="inlineStr">
        <is>
          <t>No</t>
        </is>
      </c>
      <c r="P13" s="14" t="n"/>
    </row>
    <row r="14">
      <c r="A14" s="19" t="n">
        <v>9</v>
      </c>
      <c r="B14" s="12" t="inlineStr">
        <is>
          <t>29 Sep</t>
        </is>
      </c>
      <c r="C14" s="12" t="inlineStr">
        <is>
          <t>03 Oct</t>
        </is>
      </c>
      <c r="D14" s="20" t="inlineStr">
        <is>
          <t>Website</t>
        </is>
      </c>
      <c r="E14" s="13" t="n"/>
      <c r="F14" s="13" t="n"/>
      <c r="G14" s="13" t="n"/>
      <c r="H14" s="13" t="n"/>
      <c r="I14" s="13" t="n"/>
      <c r="J14" s="13" t="n"/>
      <c r="K14" s="13" t="n"/>
      <c r="L14" s="13" t="n"/>
      <c r="M14" s="21">
        <f>IF(COUNT(E14:L14)=0,"",AVERAGE(E14:L14))</f>
        <v/>
      </c>
      <c r="N14" s="13" t="n"/>
      <c r="O14" s="22" t="inlineStr">
        <is>
          <t>No</t>
        </is>
      </c>
      <c r="P14" s="14" t="n"/>
    </row>
    <row r="15">
      <c r="A15" s="19" t="n">
        <v>10</v>
      </c>
      <c r="B15" s="12" t="inlineStr">
        <is>
          <t>06 Oct</t>
        </is>
      </c>
      <c r="C15" s="12" t="inlineStr">
        <is>
          <t>10 Oct</t>
        </is>
      </c>
      <c r="D15" s="20" t="inlineStr">
        <is>
          <t>Next portals</t>
        </is>
      </c>
      <c r="E15" s="13" t="n"/>
      <c r="F15" s="13" t="n"/>
      <c r="G15" s="13" t="n"/>
      <c r="H15" s="13" t="n"/>
      <c r="I15" s="13" t="n"/>
      <c r="J15" s="13" t="n"/>
      <c r="K15" s="13" t="n"/>
      <c r="L15" s="13" t="n"/>
      <c r="M15" s="21">
        <f>IF(COUNT(E15:L15)=0,"",AVERAGE(E15:L15))</f>
        <v/>
      </c>
      <c r="N15" s="13" t="n"/>
      <c r="O15" s="22" t="inlineStr">
        <is>
          <t>No</t>
        </is>
      </c>
      <c r="P15" s="14" t="n"/>
    </row>
    <row r="16">
      <c r="A16" s="19" t="n">
        <v>11</v>
      </c>
      <c r="B16" s="12" t="inlineStr">
        <is>
          <t>13 Oct</t>
        </is>
      </c>
      <c r="C16" s="12" t="inlineStr">
        <is>
          <t>17 Oct</t>
        </is>
      </c>
      <c r="D16" s="20" t="inlineStr">
        <is>
          <t>Remaining portals</t>
        </is>
      </c>
      <c r="E16" s="13" t="n"/>
      <c r="F16" s="13" t="n"/>
      <c r="G16" s="13" t="n"/>
      <c r="H16" s="13" t="n"/>
      <c r="I16" s="13" t="n"/>
      <c r="J16" s="13" t="n"/>
      <c r="K16" s="13" t="n"/>
      <c r="L16" s="13" t="n"/>
      <c r="M16" s="21">
        <f>IF(COUNT(E16:L16)=0,"",AVERAGE(E16:L16))</f>
        <v/>
      </c>
      <c r="N16" s="13" t="n"/>
      <c r="O16" s="22" t="inlineStr">
        <is>
          <t>No</t>
        </is>
      </c>
      <c r="P16" s="14" t="n"/>
    </row>
    <row r="17">
      <c r="A17" s="19" t="n">
        <v>12</v>
      </c>
      <c r="B17" s="12" t="inlineStr">
        <is>
          <t>20 Oct</t>
        </is>
      </c>
      <c r="C17" s="12" t="inlineStr">
        <is>
          <t>24 Oct</t>
        </is>
      </c>
      <c r="D17" s="20" t="inlineStr">
        <is>
          <t>Package the contribution</t>
        </is>
      </c>
      <c r="E17" s="13" t="n"/>
      <c r="F17" s="13" t="n"/>
      <c r="G17" s="13" t="n"/>
      <c r="H17" s="13" t="n"/>
      <c r="I17" s="13" t="n"/>
      <c r="J17" s="13" t="n"/>
      <c r="K17" s="13" t="n"/>
      <c r="L17" s="13" t="n"/>
      <c r="M17" s="21">
        <f>IF(COUNT(E17:L17)=0,"",AVERAGE(E17:L17))</f>
        <v/>
      </c>
      <c r="N17" s="13" t="n"/>
      <c r="O17" s="22" t="inlineStr">
        <is>
          <t>No</t>
        </is>
      </c>
      <c r="P17" s="14" t="n"/>
    </row>
    <row r="18">
      <c r="A18" s="19" t="n">
        <v>13</v>
      </c>
      <c r="B18" s="12" t="inlineStr">
        <is>
          <t>27 Oct</t>
        </is>
      </c>
      <c r="C18" s="12" t="inlineStr">
        <is>
          <t>31 Oct</t>
        </is>
      </c>
      <c r="D18" s="20" t="inlineStr">
        <is>
          <t>Publish the register, final report</t>
        </is>
      </c>
      <c r="E18" s="13" t="n"/>
      <c r="F18" s="13" t="n"/>
      <c r="G18" s="13" t="n"/>
      <c r="H18" s="13" t="n"/>
      <c r="I18" s="13" t="n"/>
      <c r="J18" s="13" t="n"/>
      <c r="K18" s="13" t="n"/>
      <c r="L18" s="13" t="n"/>
      <c r="M18" s="21">
        <f>IF(COUNT(E18:L18)=0,"",AVERAGE(E18:L18))</f>
        <v/>
      </c>
      <c r="N18" s="13" t="n"/>
      <c r="O18" s="22" t="inlineStr">
        <is>
          <t>No</t>
        </is>
      </c>
      <c r="P18" s="14" t="n"/>
    </row>
    <row r="20">
      <c r="A20" s="6" t="inlineStr">
        <is>
          <t>Enter each portal's design progress as a percentage. The DESIGN overall column averages them. BUILD overall is entered directly.</t>
        </is>
      </c>
    </row>
    <row r="21">
      <c r="A21" s="6" t="inlineStr">
        <is>
          <t>Both figures start modest and rise. The trend is the useful part.</t>
        </is>
      </c>
    </row>
  </sheetData>
  <mergeCells count="4">
    <mergeCell ref="A1:P1"/>
    <mergeCell ref="A21:P21"/>
    <mergeCell ref="A20:P20"/>
    <mergeCell ref="A2:P2"/>
  </mergeCells>
  <dataValidations count="1">
    <dataValidation sqref="O6:O18" showDropDown="0" showInputMessage="0" showErrorMessage="0" allowBlank="1" type="list">
      <formula1>"Yes,No,Late"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56" customWidth="1" min="3" max="3"/>
    <col width="48" customWidth="1" min="4" max="4"/>
    <col width="46" customWidth="1" min="5" max="5"/>
    <col width="10" customWidth="1" min="6" max="6"/>
    <col width="12" customWidth="1" min="7" max="7"/>
    <col width="40" customWidth="1" min="8" max="8"/>
    <col width="16" customWidth="1" min="9" max="9"/>
    <col width="12" customWidth="1" min="10" max="10"/>
  </cols>
  <sheetData>
    <row r="1" ht="30" customHeight="1">
      <c r="A1" s="1" t="inlineStr">
        <is>
          <t>Questions we have asked</t>
        </is>
      </c>
    </row>
    <row r="2" ht="18" customHeight="1">
      <c r="A2" s="2" t="inlineStr">
        <is>
          <t>Twelve items. Full wording in the questionnaire. Anything still open on 18 Aug moves to the Register.</t>
        </is>
      </c>
    </row>
    <row r="4" ht="32" customHeight="1">
      <c r="A4" s="10" t="inlineStr">
        <is>
          <t>#</t>
        </is>
      </c>
      <c r="B4" s="10" t="inlineStr">
        <is>
          <t>Section</t>
        </is>
      </c>
      <c r="C4" s="10" t="inlineStr">
        <is>
          <t>Question</t>
        </is>
      </c>
      <c r="D4" s="10" t="inlineStr">
        <is>
          <t>Why it matters</t>
        </is>
      </c>
      <c r="E4" s="10" t="inlineStr">
        <is>
          <t>If we do not hear back</t>
        </is>
      </c>
      <c r="F4" s="10" t="inlineStr">
        <is>
          <t>Priority</t>
        </is>
      </c>
      <c r="G4" s="10" t="inlineStr">
        <is>
          <t>Status</t>
        </is>
      </c>
      <c r="H4" s="10" t="inlineStr">
        <is>
          <t>Reply</t>
        </is>
      </c>
      <c r="I4" s="10" t="inlineStr">
        <is>
          <t>Who replied</t>
        </is>
      </c>
      <c r="J4" s="10" t="inlineStr">
        <is>
          <t>Date</t>
        </is>
      </c>
    </row>
    <row r="5">
      <c r="A5" s="19" t="inlineStr">
        <is>
          <t>Q1</t>
        </is>
      </c>
      <c r="B5" s="20" t="inlineStr">
        <is>
          <t>Moving 2.0 to 3.0</t>
        </is>
      </c>
      <c r="C5" s="24" t="inlineStr">
        <is>
          <t>Is there a mapping or upgrade guide from 2.0 to 3.0?</t>
        </is>
      </c>
      <c r="D5" s="25" t="inlineStr">
        <is>
          <t>Figma matches components by name when a library is replaced. If names changed between versions, replacing could unlink components across our files.</t>
        </is>
      </c>
      <c r="E5" s="25" t="inlineStr">
        <is>
          <t>Compare the versions ourselves, write the mapping, rebuild only what does not match</t>
        </is>
      </c>
      <c r="F5" s="12" t="inlineStr">
        <is>
          <t>High</t>
        </is>
      </c>
      <c r="G5" s="22" t="inlineStr">
        <is>
          <t>Open</t>
        </is>
      </c>
      <c r="H5" s="14" t="n"/>
      <c r="I5" s="14" t="n"/>
      <c r="J5" s="14" t="n"/>
    </row>
    <row r="6">
      <c r="A6" s="19" t="inlineStr">
        <is>
          <t>Q2</t>
        </is>
      </c>
      <c r="B6" s="20" t="inlineStr">
        <is>
          <t>Moving 2.0 to 3.0</t>
        </is>
      </c>
      <c r="C6" s="24" t="inlineStr">
        <is>
          <t>If a newer version arrives mid-way, should we adopt it or finish first?</t>
        </is>
      </c>
      <c r="D6" s="25" t="inlineStr">
        <is>
          <t>Adopting mid-way means revisiting completed work.</t>
        </is>
      </c>
      <c r="E6" s="25" t="inlineStr">
        <is>
          <t>Finish against 3.0; treat any later upgrade as separate work</t>
        </is>
      </c>
      <c r="F6" s="12" t="inlineStr">
        <is>
          <t>High</t>
        </is>
      </c>
      <c r="G6" s="22" t="inlineStr">
        <is>
          <t>Open</t>
        </is>
      </c>
      <c r="H6" s="14" t="n"/>
      <c r="I6" s="14" t="n"/>
      <c r="J6" s="14" t="n"/>
    </row>
    <row r="7">
      <c r="A7" s="19" t="inlineStr">
        <is>
          <t>Q3</t>
        </is>
      </c>
      <c r="B7" s="20" t="inlineStr">
        <is>
          <t>Confirming we did it right</t>
        </is>
      </c>
      <c r="C7" s="24" t="inlineStr">
        <is>
          <t>How will adoption be checked?</t>
        </is>
      </c>
      <c r="D7" s="25" t="inlineStr">
        <is>
          <t>Several checks are possible and each asks for different work: review by eye, our own declaration, components tracing to the published library, name and structure matching, or an accessibility review.</t>
        </is>
      </c>
      <c r="E7" s="25" t="inlineStr">
        <is>
          <t>Report on component and structure matching, method shared weekly</t>
        </is>
      </c>
      <c r="F7" s="12" t="inlineStr">
        <is>
          <t>High</t>
        </is>
      </c>
      <c r="G7" s="22" t="inlineStr">
        <is>
          <t>Open</t>
        </is>
      </c>
      <c r="H7" s="14" t="n"/>
      <c r="I7" s="14" t="n"/>
      <c r="J7" s="14" t="n"/>
    </row>
    <row r="8">
      <c r="A8" s="19" t="inlineStr">
        <is>
          <t>Q4</t>
        </is>
      </c>
      <c r="B8" s="20" t="inlineStr">
        <is>
          <t>Confirming we did it right</t>
        </is>
      </c>
      <c r="C8" s="24" t="inlineStr">
        <is>
          <t>Who confirms a design is compliant, and at what point?</t>
        </is>
      </c>
      <c r="D8" s="25" t="inlineStr">
        <is>
          <t>Gives us a clear definition of finished.</t>
        </is>
      </c>
      <c r="E8" s="25" t="inlineStr">
        <is>
          <t>Record every submission; treat no response within two weeks as accepted</t>
        </is>
      </c>
      <c r="F8" s="12" t="inlineStr">
        <is>
          <t>High</t>
        </is>
      </c>
      <c r="G8" s="22" t="inlineStr">
        <is>
          <t>Open</t>
        </is>
      </c>
      <c r="H8" s="14" t="n"/>
      <c r="I8" s="14" t="n"/>
      <c r="J8" s="14" t="n"/>
    </row>
    <row r="9">
      <c r="A9" s="19" t="inlineStr">
        <is>
          <t>Q5</t>
        </is>
      </c>
      <c r="B9" s="20" t="inlineStr">
        <is>
          <t>Confirming we did it right</t>
        </is>
      </c>
      <c r="C9" s="25" t="inlineStr">
        <is>
          <t>Is there a preferred format for recording a departure from the kit?</t>
        </is>
      </c>
      <c r="D9" s="25" t="inlineStr">
        <is>
          <t>We would rather use an existing format than invent one.</t>
        </is>
      </c>
      <c r="E9" s="25" t="inlineStr">
        <is>
          <t>Use our own register and share it weekly</t>
        </is>
      </c>
      <c r="F9" s="12" t="inlineStr">
        <is>
          <t>Medium</t>
        </is>
      </c>
      <c r="G9" s="22" t="inlineStr">
        <is>
          <t>Open</t>
        </is>
      </c>
      <c r="H9" s="14" t="n"/>
      <c r="I9" s="14" t="n"/>
      <c r="J9" s="14" t="n"/>
    </row>
    <row r="10">
      <c r="A10" s="19" t="inlineStr">
        <is>
          <t>Q6</t>
        </is>
      </c>
      <c r="B10" s="20" t="inlineStr">
        <is>
          <t>Brand alignment</t>
        </is>
      </c>
      <c r="C10" s="24" t="inlineStr">
        <is>
          <t>DBIM sets structural colour rules (footer uses the darkest shade of the key colour group; icons use the key colour or white). Do these apply inside UX4G components?</t>
        </is>
      </c>
      <c r="D10" s="25" t="inlineStr">
        <is>
          <t>The few places where DBIM and UX4G could point in different directions.</t>
        </is>
      </c>
      <c r="E10" s="25" t="inlineStr">
        <is>
          <t>Follow DBIM for footer, icons and identity marks; UX4G elsewhere</t>
        </is>
      </c>
      <c r="F10" s="12" t="inlineStr">
        <is>
          <t>High</t>
        </is>
      </c>
      <c r="G10" s="22" t="inlineStr">
        <is>
          <t>Open</t>
        </is>
      </c>
      <c r="H10" s="14" t="n"/>
      <c r="I10" s="14" t="n"/>
      <c r="J10" s="14" t="n"/>
    </row>
    <row r="11">
      <c r="A11" s="19" t="inlineStr">
        <is>
          <t>Q7</t>
        </is>
      </c>
      <c r="B11" s="20" t="inlineStr">
        <is>
          <t>Brand alignment</t>
        </is>
      </c>
      <c r="C11" s="24" t="inlineStr">
        <is>
          <t>DBIM defines a type scale and so does UX4G. Which should we follow?</t>
        </is>
      </c>
      <c r="D11" s="25" t="inlineStr">
        <is>
          <t>Both specify Noto Sans, so this is only sizes and spacing, but it affects every screen.</t>
        </is>
      </c>
      <c r="E11" s="25" t="inlineStr">
        <is>
          <t>UX4G's scale inside components, DBIM's for page-level content</t>
        </is>
      </c>
      <c r="F11" s="12" t="inlineStr">
        <is>
          <t>High</t>
        </is>
      </c>
      <c r="G11" s="22" t="inlineStr">
        <is>
          <t>Open</t>
        </is>
      </c>
      <c r="H11" s="14" t="n"/>
      <c r="I11" s="14" t="n"/>
      <c r="J11" s="14" t="n"/>
    </row>
    <row r="12">
      <c r="A12" s="19" t="inlineStr">
        <is>
          <t>Q8</t>
        </is>
      </c>
      <c r="B12" s="20" t="inlineStr">
        <is>
          <t>Components not yet covered</t>
        </is>
      </c>
      <c r="C12" s="24" t="inlineStr">
        <is>
          <t>Where 3.0 has no component, should we build on UX4G's foundations or wait?</t>
        </is>
      </c>
      <c r="D12" s="25" t="inlineStr">
        <is>
          <t>Dense tables, dashboards, approval chains, maps and monitoring screens sit outside citizen service journeys.</t>
        </is>
      </c>
      <c r="E12" s="25" t="inlineStr">
        <is>
          <t>Build on UX4G foundations, record each, offer back</t>
        </is>
      </c>
      <c r="F12" s="12" t="inlineStr">
        <is>
          <t>High</t>
        </is>
      </c>
      <c r="G12" s="22" t="inlineStr">
        <is>
          <t>Open</t>
        </is>
      </c>
      <c r="H12" s="14" t="n"/>
      <c r="I12" s="14" t="n"/>
      <c r="J12" s="14" t="n"/>
    </row>
    <row r="13">
      <c r="A13" s="19" t="inlineStr">
        <is>
          <t>Q9</t>
        </is>
      </c>
      <c r="B13" s="20" t="inlineStr">
        <is>
          <t>Components not yet covered</t>
        </is>
      </c>
      <c r="C13" s="24" t="inlineStr">
        <is>
          <t>Is anyone already building these, or are they planned for a later release?</t>
        </is>
      </c>
      <c r="D13" s="25" t="inlineStr">
        <is>
          <t>If the work exists or is coming, we would rather wait than duplicate it.</t>
        </is>
      </c>
      <c r="E13" s="25" t="inlineStr">
        <is>
          <t>Assume none exists yet and build our own</t>
        </is>
      </c>
      <c r="F13" s="12" t="inlineStr">
        <is>
          <t>High</t>
        </is>
      </c>
      <c r="G13" s="22" t="inlineStr">
        <is>
          <t>Open</t>
        </is>
      </c>
      <c r="H13" s="14" t="n"/>
      <c r="I13" s="14" t="n"/>
      <c r="J13" s="14" t="n"/>
    </row>
    <row r="14">
      <c r="A14" s="19" t="inlineStr">
        <is>
          <t>Q10</t>
        </is>
      </c>
      <c r="B14" s="20" t="inlineStr">
        <is>
          <t>Components not yet covered</t>
        </is>
      </c>
      <c r="C14" s="25" t="inlineStr">
        <is>
          <t>If we build them, how would you like them submitted?</t>
        </is>
      </c>
      <c r="D14" s="25" t="inlineStr">
        <is>
          <t>The directive asks us to contribute back and we would like to do it properly.</t>
        </is>
      </c>
      <c r="E14" s="25" t="inlineStr">
        <is>
          <t>Package as a Figma file with written specifications</t>
        </is>
      </c>
      <c r="F14" s="12" t="inlineStr">
        <is>
          <t>Medium</t>
        </is>
      </c>
      <c r="G14" s="22" t="inlineStr">
        <is>
          <t>Open</t>
        </is>
      </c>
      <c r="H14" s="14" t="n"/>
      <c r="I14" s="14" t="n"/>
      <c r="J14" s="14" t="n"/>
    </row>
    <row r="15">
      <c r="A15" s="19" t="inlineStr">
        <is>
          <t>Q11</t>
        </is>
      </c>
      <c r="B15" s="20" t="inlineStr">
        <is>
          <t>Scope</t>
        </is>
      </c>
      <c r="C15" s="24" t="inlineStr">
        <is>
          <t>Does this apply to portals already built and live, or new work only?</t>
        </is>
      </c>
      <c r="D15" s="25" t="inlineStr">
        <is>
          <t>Affects the size of the job more than anything else here.</t>
        </is>
      </c>
      <c r="E15" s="25" t="inlineStr">
        <is>
          <t>Upgrade existing portals alongside new work, report on both</t>
        </is>
      </c>
      <c r="F15" s="12" t="inlineStr">
        <is>
          <t>High</t>
        </is>
      </c>
      <c r="G15" s="22" t="inlineStr">
        <is>
          <t>Open</t>
        </is>
      </c>
      <c r="H15" s="14" t="n"/>
      <c r="I15" s="14" t="n"/>
      <c r="J15" s="14" t="n"/>
    </row>
    <row r="16">
      <c r="A16" s="19" t="inlineStr">
        <is>
          <t>Q12</t>
        </is>
      </c>
      <c r="B16" s="20" t="inlineStr">
        <is>
          <t>Scope</t>
        </is>
      </c>
      <c r="C16" s="25" t="inlineStr">
        <is>
          <t>Do already-approved designs need approving again once re-themed?</t>
        </is>
      </c>
      <c r="D16" s="25" t="inlineStr">
        <is>
          <t>Some screens are already signed off and re-theming changes how they look.</t>
        </is>
      </c>
      <c r="E16" s="25" t="inlineStr">
        <is>
          <t>Re-theme without seeking approval again unless layout or content changes</t>
        </is>
      </c>
      <c r="F16" s="12" t="inlineStr">
        <is>
          <t>Medium</t>
        </is>
      </c>
      <c r="G16" s="22" t="inlineStr">
        <is>
          <t>Open</t>
        </is>
      </c>
      <c r="H16" s="14" t="n"/>
      <c r="I16" s="14" t="n"/>
      <c r="J16" s="14" t="n"/>
    </row>
    <row r="18">
      <c r="A18" s="6" t="inlineStr">
        <is>
          <t>When a question closes as 'No reply - assumed', copy it into the Register with its assumption. That is what makes the reasoning easy to explain later.</t>
        </is>
      </c>
    </row>
  </sheetData>
  <mergeCells count="3">
    <mergeCell ref="A1:J1"/>
    <mergeCell ref="A18:J18"/>
    <mergeCell ref="A2:J2"/>
  </mergeCells>
  <dataValidations count="1">
    <dataValidation sqref="G5:G16" showDropDown="0" showInputMessage="0" showErrorMessage="0" allowBlank="1" type="list">
      <formula1>"Open,Answered,Partly answered,No reply - assumed"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56" customWidth="1" min="2" max="2"/>
    <col width="64" customWidth="1" min="3" max="3"/>
    <col width="13" customWidth="1" min="4" max="4"/>
    <col width="13" customWidth="1" min="5" max="5"/>
    <col width="20" customWidth="1" min="6" max="6"/>
    <col width="22" customWidth="1" min="7" max="7"/>
    <col width="26" customWidth="1" min="8" max="8"/>
  </cols>
  <sheetData>
    <row r="1" ht="30" customHeight="1">
      <c r="A1" s="1" t="inlineStr">
        <is>
          <t>Decision register</t>
        </is>
      </c>
    </row>
    <row r="2" ht="18" customHeight="1">
      <c r="A2" s="2" t="inlineStr">
        <is>
          <t>What we decided and why, recorded for transparency. Shared with each weekly report so nothing arrives as a surprise.</t>
        </is>
      </c>
    </row>
    <row r="4" ht="32" customHeight="1">
      <c r="A4" s="10" t="inlineStr">
        <is>
          <t>#</t>
        </is>
      </c>
      <c r="B4" s="10" t="inlineStr">
        <is>
          <t>Decision</t>
        </is>
      </c>
      <c r="C4" s="10" t="inlineStr">
        <is>
          <t>Reasoning</t>
        </is>
      </c>
      <c r="D4" s="10" t="inlineStr">
        <is>
          <t>Recorded</t>
        </is>
      </c>
      <c r="E4" s="10" t="inlineStr">
        <is>
          <t>Open until</t>
        </is>
      </c>
      <c r="F4" s="10" t="inlineStr">
        <is>
          <t>Status</t>
        </is>
      </c>
      <c r="G4" s="10" t="inlineStr">
        <is>
          <t>Comments received</t>
        </is>
      </c>
      <c r="H4" s="10" t="inlineStr">
        <is>
          <t>Notes</t>
        </is>
      </c>
    </row>
    <row r="5">
      <c r="A5" s="11" t="inlineStr">
        <is>
          <t>R1</t>
        </is>
      </c>
      <c r="B5" s="25" t="inlineStr">
        <is>
          <t>Duplicate the UX4G Community file, move it to our team project, publish it as one library used across every portal</t>
        </is>
      </c>
      <c r="C5" s="25" t="inlineStr">
        <is>
          <t>Follows the published UX4G guidance, and one library keeps all portals consistent.</t>
        </is>
      </c>
      <c r="D5" s="12" t="inlineStr">
        <is>
          <t>04 Aug 2026</t>
        </is>
      </c>
      <c r="E5" s="12" t="inlineStr">
        <is>
          <t>18 Aug 2026</t>
        </is>
      </c>
      <c r="F5" s="22" t="inlineStr">
        <is>
          <t>Open for comment</t>
        </is>
      </c>
      <c r="G5" s="14" t="n"/>
      <c r="H5" s="14" t="n"/>
    </row>
    <row r="6">
      <c r="A6" s="11" t="inlineStr">
        <is>
          <t>R2</t>
        </is>
      </c>
      <c r="B6" s="25" t="inlineStr">
        <is>
          <t>Apply the ministry's key colour group through Theme Craft, leaving component structure, spacing and states untouched</t>
        </is>
      </c>
      <c r="C6" s="25" t="inlineStr">
        <is>
          <t>DBIM sets the colour group and Theme Craft is UX4G's own way of applying it.</t>
        </is>
      </c>
      <c r="D6" s="12" t="inlineStr">
        <is>
          <t>04 Aug 2026</t>
        </is>
      </c>
      <c r="E6" s="12" t="inlineStr">
        <is>
          <t>18 Aug 2026</t>
        </is>
      </c>
      <c r="F6" s="22" t="inlineStr">
        <is>
          <t>Open for comment</t>
        </is>
      </c>
      <c r="G6" s="14" t="n"/>
      <c r="H6" s="14" t="n"/>
    </row>
    <row r="7">
      <c r="A7" s="11" t="inlineStr">
        <is>
          <t>R3</t>
        </is>
      </c>
      <c r="B7" s="25" t="inlineStr">
        <is>
          <t>Check the 2.0 to 3.0 component mapping before changing the library, rather than replacing it outright</t>
        </is>
      </c>
      <c r="C7" s="25" t="inlineStr">
        <is>
          <t>Component names may have changed between versions, and replacing a library matches by name. Checking first avoids unlinking existing work.</t>
        </is>
      </c>
      <c r="D7" s="12" t="inlineStr">
        <is>
          <t>04 Aug 2026</t>
        </is>
      </c>
      <c r="E7" s="12" t="inlineStr">
        <is>
          <t>18 Aug 2026</t>
        </is>
      </c>
      <c r="F7" s="22" t="inlineStr">
        <is>
          <t>Open for comment</t>
        </is>
      </c>
      <c r="G7" s="14" t="n"/>
      <c r="H7" s="14" t="n"/>
    </row>
    <row r="8">
      <c r="A8" s="11" t="inlineStr">
        <is>
          <t>R4</t>
        </is>
      </c>
      <c r="B8" s="25" t="inlineStr">
        <is>
          <t>Keep our existing Material Symbols icons at the size UX4G specifies</t>
        </is>
      </c>
      <c r="C8" s="25" t="inlineStr">
        <is>
          <t>It is the current version of the icon set UX4G uses by default, so the visual language matches.</t>
        </is>
      </c>
      <c r="D8" s="12" t="inlineStr">
        <is>
          <t>04 Aug 2026</t>
        </is>
      </c>
      <c r="E8" s="12" t="inlineStr">
        <is>
          <t>18 Aug 2026</t>
        </is>
      </c>
      <c r="F8" s="22" t="inlineStr">
        <is>
          <t>Open for comment</t>
        </is>
      </c>
      <c r="G8" s="14" t="n"/>
      <c r="H8" s="14" t="n"/>
    </row>
    <row r="9">
      <c r="A9" s="11" t="inlineStr">
        <is>
          <t>R5</t>
        </is>
      </c>
      <c r="B9" s="25" t="inlineStr">
        <is>
          <t>Where UX4G has no component, build on its foundations rather than bringing one in from elsewhere</t>
        </is>
      </c>
      <c r="C9" s="25" t="inlineStr">
        <is>
          <t>Keeps everything traceable to UX4G and makes the work useful to others.</t>
        </is>
      </c>
      <c r="D9" s="12" t="inlineStr">
        <is>
          <t>04 Aug 2026</t>
        </is>
      </c>
      <c r="E9" s="12" t="inlineStr">
        <is>
          <t>18 Aug 2026</t>
        </is>
      </c>
      <c r="F9" s="22" t="inlineStr">
        <is>
          <t>Open for comment</t>
        </is>
      </c>
      <c r="G9" s="14" t="n"/>
      <c r="H9" s="14" t="n"/>
    </row>
    <row r="10">
      <c r="A10" s="11" t="inlineStr">
        <is>
          <t>R6</t>
        </is>
      </c>
      <c r="B10" s="25" t="inlineStr">
        <is>
          <t>Only detach a component from the library when we write down the reason</t>
        </is>
      </c>
      <c r="C10" s="25" t="inlineStr">
        <is>
          <t>Keeps the file honest and gives us a record if anyone asks later.</t>
        </is>
      </c>
      <c r="D10" s="12" t="inlineStr">
        <is>
          <t>04 Aug 2026</t>
        </is>
      </c>
      <c r="E10" s="12" t="inlineStr">
        <is>
          <t>18 Aug 2026</t>
        </is>
      </c>
      <c r="F10" s="22" t="inlineStr">
        <is>
          <t>Open for comment</t>
        </is>
      </c>
      <c r="G10" s="14" t="n"/>
      <c r="H10" s="14" t="n"/>
    </row>
    <row r="11">
      <c r="A11" s="11" t="inlineStr">
        <is>
          <t>R7</t>
        </is>
      </c>
      <c r="B11" s="25" t="inlineStr">
        <is>
          <t>Treat new page layouts assembled from existing UX4G components as compliant without separate approval</t>
        </is>
      </c>
      <c r="C11" s="25" t="inlineStr">
        <is>
          <t>Otherwise every screen needs a sign-off, which would slow things considerably.</t>
        </is>
      </c>
      <c r="D11" s="12" t="inlineStr">
        <is>
          <t>04 Aug 2026</t>
        </is>
      </c>
      <c r="E11" s="12" t="inlineStr">
        <is>
          <t>18 Aug 2026</t>
        </is>
      </c>
      <c r="F11" s="22" t="inlineStr">
        <is>
          <t>Open for comment</t>
        </is>
      </c>
      <c r="G11" s="14" t="n"/>
      <c r="H11" s="14" t="n"/>
    </row>
    <row r="12">
      <c r="A12" s="11" t="inlineStr">
        <is>
          <t>R8</t>
        </is>
      </c>
      <c r="B12" s="25" t="inlineStr">
        <is>
          <t>Continue checking accessibility ourselves at page level</t>
        </is>
      </c>
      <c r="C12" s="25" t="inlineStr">
        <is>
          <t>Compliant components do not by themselves make a page accessible. Heading order, focus order and landmarks stay with us.</t>
        </is>
      </c>
      <c r="D12" s="12" t="inlineStr">
        <is>
          <t>04 Aug 2026</t>
        </is>
      </c>
      <c r="E12" s="12" t="inlineStr">
        <is>
          <t>18 Aug 2026</t>
        </is>
      </c>
      <c r="F12" s="22" t="inlineStr">
        <is>
          <t>Open for comment</t>
        </is>
      </c>
      <c r="G12" s="14" t="n"/>
      <c r="H12" s="14" t="n"/>
    </row>
    <row r="13">
      <c r="A13" s="11" t="inlineStr">
        <is>
          <t>R9</t>
        </is>
      </c>
      <c r="B13" s="25" t="inlineStr">
        <is>
          <t>Keep a dated copy of the UX4G kit and guidance as they stood on the day we copied them</t>
        </is>
      </c>
      <c r="C13" s="25" t="inlineStr">
        <is>
          <t>So a later question about why something looks a certain way can be answered against the guidance as it was at the time.</t>
        </is>
      </c>
      <c r="D13" s="12" t="inlineStr">
        <is>
          <t>04 Aug 2026</t>
        </is>
      </c>
      <c r="E13" s="12" t="inlineStr">
        <is>
          <t>18 Aug 2026</t>
        </is>
      </c>
      <c r="F13" s="22" t="inlineStr">
        <is>
          <t>Open for comment</t>
        </is>
      </c>
      <c r="G13" s="14" t="n"/>
      <c r="H13" s="14" t="n"/>
    </row>
    <row r="14">
      <c r="A14" s="14" t="n"/>
      <c r="B14" s="14" t="n"/>
      <c r="C14" s="14" t="n"/>
      <c r="D14" s="14" t="n"/>
      <c r="E14" s="14" t="n"/>
      <c r="F14" s="14" t="n"/>
      <c r="G14" s="14" t="n"/>
      <c r="H14" s="14" t="n"/>
    </row>
    <row r="15">
      <c r="A15" s="14" t="n"/>
      <c r="B15" s="14" t="n"/>
      <c r="C15" s="14" t="n"/>
      <c r="D15" s="14" t="n"/>
      <c r="E15" s="14" t="n"/>
      <c r="F15" s="14" t="n"/>
      <c r="G15" s="14" t="n"/>
      <c r="H15" s="14" t="n"/>
    </row>
    <row r="16">
      <c r="A16" s="14" t="n"/>
      <c r="B16" s="14" t="n"/>
      <c r="C16" s="14" t="n"/>
      <c r="D16" s="14" t="n"/>
      <c r="E16" s="14" t="n"/>
      <c r="F16" s="14" t="n"/>
      <c r="G16" s="14" t="n"/>
      <c r="H16" s="14" t="n"/>
    </row>
    <row r="17">
      <c r="A17" s="14" t="n"/>
      <c r="B17" s="14" t="n"/>
      <c r="C17" s="14" t="n"/>
      <c r="D17" s="14" t="n"/>
      <c r="E17" s="14" t="n"/>
      <c r="F17" s="14" t="n"/>
      <c r="G17" s="14" t="n"/>
      <c r="H17" s="14" t="n"/>
    </row>
    <row r="18">
      <c r="A18" s="14" t="n"/>
      <c r="B18" s="14" t="n"/>
      <c r="C18" s="14" t="n"/>
      <c r="D18" s="14" t="n"/>
      <c r="E18" s="14" t="n"/>
      <c r="F18" s="14" t="n"/>
      <c r="G18" s="14" t="n"/>
      <c r="H18" s="14" t="n"/>
    </row>
    <row r="19">
      <c r="A19" s="14" t="n"/>
      <c r="B19" s="14" t="n"/>
      <c r="C19" s="14" t="n"/>
      <c r="D19" s="14" t="n"/>
      <c r="E19" s="14" t="n"/>
      <c r="F19" s="14" t="n"/>
      <c r="G19" s="14" t="n"/>
      <c r="H19" s="14" t="n"/>
    </row>
    <row r="20">
      <c r="A20" s="14" t="n"/>
      <c r="B20" s="14" t="n"/>
      <c r="C20" s="14" t="n"/>
      <c r="D20" s="14" t="n"/>
      <c r="E20" s="14" t="n"/>
      <c r="F20" s="14" t="n"/>
      <c r="G20" s="14" t="n"/>
      <c r="H20" s="14" t="n"/>
    </row>
    <row r="21">
      <c r="A21" s="14" t="n"/>
      <c r="B21" s="14" t="n"/>
      <c r="C21" s="14" t="n"/>
      <c r="D21" s="14" t="n"/>
      <c r="E21" s="14" t="n"/>
      <c r="F21" s="14" t="n"/>
      <c r="G21" s="14" t="n"/>
      <c r="H21" s="14" t="n"/>
    </row>
    <row r="22">
      <c r="A22" s="14" t="n"/>
      <c r="B22" s="14" t="n"/>
      <c r="C22" s="14" t="n"/>
      <c r="D22" s="14" t="n"/>
      <c r="E22" s="14" t="n"/>
      <c r="F22" s="14" t="n"/>
      <c r="G22" s="14" t="n"/>
      <c r="H22" s="14" t="n"/>
    </row>
    <row r="23">
      <c r="A23" s="14" t="n"/>
      <c r="B23" s="14" t="n"/>
      <c r="C23" s="14" t="n"/>
      <c r="D23" s="14" t="n"/>
      <c r="E23" s="14" t="n"/>
      <c r="F23" s="14" t="n"/>
      <c r="G23" s="14" t="n"/>
      <c r="H23" s="14" t="n"/>
    </row>
    <row r="24">
      <c r="A24" s="14" t="n"/>
      <c r="B24" s="14" t="n"/>
      <c r="C24" s="14" t="n"/>
      <c r="D24" s="14" t="n"/>
      <c r="E24" s="14" t="n"/>
      <c r="F24" s="14" t="n"/>
      <c r="G24" s="14" t="n"/>
      <c r="H24" s="14" t="n"/>
    </row>
    <row r="25">
      <c r="A25" s="14" t="n"/>
      <c r="B25" s="14" t="n"/>
      <c r="C25" s="14" t="n"/>
      <c r="D25" s="14" t="n"/>
      <c r="E25" s="14" t="n"/>
      <c r="F25" s="14" t="n"/>
      <c r="G25" s="14" t="n"/>
      <c r="H25" s="14" t="n"/>
    </row>
    <row r="26">
      <c r="A26" s="14" t="n"/>
      <c r="B26" s="14" t="n"/>
      <c r="C26" s="14" t="n"/>
      <c r="D26" s="14" t="n"/>
      <c r="E26" s="14" t="n"/>
      <c r="F26" s="14" t="n"/>
      <c r="G26" s="14" t="n"/>
      <c r="H26" s="14" t="n"/>
    </row>
    <row r="27">
      <c r="A27" s="14" t="n"/>
      <c r="B27" s="14" t="n"/>
      <c r="C27" s="14" t="n"/>
      <c r="D27" s="14" t="n"/>
      <c r="E27" s="14" t="n"/>
      <c r="F27" s="14" t="n"/>
      <c r="G27" s="14" t="n"/>
      <c r="H27" s="14" t="n"/>
    </row>
    <row r="28">
      <c r="A28" s="14" t="n"/>
      <c r="B28" s="14" t="n"/>
      <c r="C28" s="14" t="n"/>
      <c r="D28" s="14" t="n"/>
      <c r="E28" s="14" t="n"/>
      <c r="F28" s="14" t="n"/>
      <c r="G28" s="14" t="n"/>
      <c r="H28" s="14" t="n"/>
    </row>
    <row r="29">
      <c r="A29" s="14" t="n"/>
      <c r="B29" s="14" t="n"/>
      <c r="C29" s="14" t="n"/>
      <c r="D29" s="14" t="n"/>
      <c r="E29" s="14" t="n"/>
      <c r="F29" s="14" t="n"/>
      <c r="G29" s="14" t="n"/>
      <c r="H29" s="14" t="n"/>
    </row>
    <row r="30">
      <c r="A30" s="14" t="n"/>
      <c r="B30" s="14" t="n"/>
      <c r="C30" s="14" t="n"/>
      <c r="D30" s="14" t="n"/>
      <c r="E30" s="14" t="n"/>
      <c r="F30" s="14" t="n"/>
      <c r="G30" s="14" t="n"/>
      <c r="H30" s="14" t="n"/>
    </row>
    <row r="31">
      <c r="A31" s="14" t="n"/>
      <c r="B31" s="14" t="n"/>
      <c r="C31" s="14" t="n"/>
      <c r="D31" s="14" t="n"/>
      <c r="E31" s="14" t="n"/>
      <c r="F31" s="14" t="n"/>
      <c r="G31" s="14" t="n"/>
      <c r="H31" s="14" t="n"/>
    </row>
    <row r="32">
      <c r="A32" s="14" t="n"/>
      <c r="B32" s="14" t="n"/>
      <c r="C32" s="14" t="n"/>
      <c r="D32" s="14" t="n"/>
      <c r="E32" s="14" t="n"/>
      <c r="F32" s="14" t="n"/>
      <c r="G32" s="14" t="n"/>
      <c r="H32" s="14" t="n"/>
    </row>
    <row r="33">
      <c r="A33" s="14" t="n"/>
      <c r="B33" s="14" t="n"/>
      <c r="C33" s="14" t="n"/>
      <c r="D33" s="14" t="n"/>
      <c r="E33" s="14" t="n"/>
      <c r="F33" s="14" t="n"/>
      <c r="G33" s="14" t="n"/>
      <c r="H33" s="14" t="n"/>
    </row>
    <row r="34">
      <c r="A34" s="14" t="n"/>
      <c r="B34" s="14" t="n"/>
      <c r="C34" s="14" t="n"/>
      <c r="D34" s="14" t="n"/>
      <c r="E34" s="14" t="n"/>
      <c r="F34" s="14" t="n"/>
      <c r="G34" s="14" t="n"/>
      <c r="H34" s="14" t="n"/>
    </row>
    <row r="35">
      <c r="A35" s="14" t="n"/>
      <c r="B35" s="14" t="n"/>
      <c r="C35" s="14" t="n"/>
      <c r="D35" s="14" t="n"/>
      <c r="E35" s="14" t="n"/>
      <c r="F35" s="14" t="n"/>
      <c r="G35" s="14" t="n"/>
      <c r="H35" s="14" t="n"/>
    </row>
    <row r="36">
      <c r="A36" s="14" t="n"/>
      <c r="B36" s="14" t="n"/>
      <c r="C36" s="14" t="n"/>
      <c r="D36" s="14" t="n"/>
      <c r="E36" s="14" t="n"/>
      <c r="F36" s="14" t="n"/>
      <c r="G36" s="14" t="n"/>
      <c r="H36" s="14" t="n"/>
    </row>
    <row r="37">
      <c r="A37" s="14" t="n"/>
      <c r="B37" s="14" t="n"/>
      <c r="C37" s="14" t="n"/>
      <c r="D37" s="14" t="n"/>
      <c r="E37" s="14" t="n"/>
      <c r="F37" s="14" t="n"/>
      <c r="G37" s="14" t="n"/>
      <c r="H37" s="14" t="n"/>
    </row>
    <row r="38">
      <c r="A38" s="14" t="n"/>
      <c r="B38" s="14" t="n"/>
      <c r="C38" s="14" t="n"/>
      <c r="D38" s="14" t="n"/>
      <c r="E38" s="14" t="n"/>
      <c r="F38" s="14" t="n"/>
      <c r="G38" s="14" t="n"/>
      <c r="H38" s="14" t="n"/>
    </row>
    <row r="39">
      <c r="A39" s="14" t="n"/>
      <c r="B39" s="14" t="n"/>
      <c r="C39" s="14" t="n"/>
      <c r="D39" s="14" t="n"/>
      <c r="E39" s="14" t="n"/>
      <c r="F39" s="14" t="n"/>
      <c r="G39" s="14" t="n"/>
      <c r="H39" s="14" t="n"/>
    </row>
    <row r="40">
      <c r="A40" s="14" t="n"/>
      <c r="B40" s="14" t="n"/>
      <c r="C40" s="14" t="n"/>
      <c r="D40" s="14" t="n"/>
      <c r="E40" s="14" t="n"/>
      <c r="F40" s="14" t="n"/>
      <c r="G40" s="14" t="n"/>
      <c r="H40" s="14" t="n"/>
    </row>
    <row r="42">
      <c r="A42" s="6" t="inlineStr">
        <is>
          <t>Add a row for every further decision, and for every question that gets no reply. Write the reasoning so it reads well to someone who was not there at the time.</t>
        </is>
      </c>
    </row>
  </sheetData>
  <mergeCells count="3">
    <mergeCell ref="A42:H42"/>
    <mergeCell ref="A2:H2"/>
    <mergeCell ref="A1:H1"/>
  </mergeCells>
  <dataValidations count="1">
    <dataValidation sqref="F5:F40" showDropDown="0" showInputMessage="0" showErrorMessage="0" allowBlank="1" type="list">
      <formula1>"Open for comment,Settled,Revised,Withdrawn"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62" customWidth="1" min="3" max="3"/>
    <col width="26" customWidth="1" min="4" max="4"/>
    <col width="16" customWidth="1" min="5" max="5"/>
    <col width="14" customWidth="1" min="6" max="6"/>
    <col width="32" customWidth="1" min="7" max="7"/>
  </cols>
  <sheetData>
    <row r="1" ht="30" customHeight="1">
      <c r="A1" s="1" t="inlineStr">
        <is>
          <t>Milestones</t>
        </is>
      </c>
    </row>
    <row r="2" ht="18" customHeight="1">
      <c r="A2" s="2" t="inlineStr">
        <is>
          <t>Thirteen weeks, 04 August to 31 October 2026.</t>
        </is>
      </c>
    </row>
    <row r="4" ht="32" customHeight="1">
      <c r="A4" s="10" t="inlineStr">
        <is>
          <t>Wk</t>
        </is>
      </c>
      <c r="B4" s="10" t="inlineStr">
        <is>
          <t>Dates</t>
        </is>
      </c>
      <c r="C4" s="10" t="inlineStr">
        <is>
          <t>What</t>
        </is>
      </c>
      <c r="D4" s="10" t="inlineStr">
        <is>
          <t>Done when</t>
        </is>
      </c>
      <c r="E4" s="10" t="inlineStr">
        <is>
          <t>Owner</t>
        </is>
      </c>
      <c r="F4" s="10" t="inlineStr">
        <is>
          <t>Status</t>
        </is>
      </c>
      <c r="G4" s="10" t="inlineStr">
        <is>
          <t>Notes</t>
        </is>
      </c>
    </row>
    <row r="5">
      <c r="A5" s="19" t="n">
        <v>1</v>
      </c>
      <c r="B5" s="12" t="inlineStr">
        <is>
          <t>04-08 Aug</t>
        </is>
      </c>
      <c r="C5" s="25" t="inlineStr">
        <is>
          <t>Measure how much of our Figma work uses library components</t>
        </is>
      </c>
      <c r="D5" s="20" t="inlineStr">
        <is>
          <t>Figure known</t>
        </is>
      </c>
      <c r="E5" s="14" t="inlineStr">
        <is>
          <t>Designer</t>
        </is>
      </c>
      <c r="F5" s="14" t="inlineStr">
        <is>
          <t>Not started</t>
        </is>
      </c>
      <c r="G5" s="14" t="n"/>
    </row>
    <row r="6">
      <c r="A6" s="19" t="n">
        <v>1</v>
      </c>
      <c r="B6" s="12" t="inlineStr">
        <is>
          <t>04-08 Aug</t>
        </is>
      </c>
      <c r="C6" s="25" t="inlineStr">
        <is>
          <t>Send the questions and decisions document</t>
        </is>
      </c>
      <c r="D6" s="20" t="inlineStr">
        <is>
          <t>Sent</t>
        </is>
      </c>
      <c r="E6" s="14" t="inlineStr">
        <is>
          <t>Designer</t>
        </is>
      </c>
      <c r="F6" s="14" t="inlineStr">
        <is>
          <t>Not started</t>
        </is>
      </c>
      <c r="G6" s="14" t="n"/>
    </row>
    <row r="7">
      <c r="A7" s="19" t="n">
        <v>1</v>
      </c>
      <c r="B7" s="12" t="inlineStr">
        <is>
          <t>04-08 Aug</t>
        </is>
      </c>
      <c r="C7" s="25" t="inlineStr">
        <is>
          <t>Raise Q1, Q3 and Q8 on the Thursday call</t>
        </is>
      </c>
      <c r="D7" s="20" t="inlineStr">
        <is>
          <t>Discussed</t>
        </is>
      </c>
      <c r="E7" s="14" t="inlineStr">
        <is>
          <t>Designer</t>
        </is>
      </c>
      <c r="F7" s="14" t="inlineStr">
        <is>
          <t>Not started</t>
        </is>
      </c>
      <c r="G7" s="14" t="n"/>
    </row>
    <row r="8">
      <c r="A8" s="19" t="n">
        <v>1</v>
      </c>
      <c r="B8" s="12" t="inlineStr">
        <is>
          <t>04-08 Aug</t>
        </is>
      </c>
      <c r="C8" s="25" t="inlineStr">
        <is>
          <t>File the first weekly report</t>
        </is>
      </c>
      <c r="D8" s="20" t="inlineStr">
        <is>
          <t>Filed</t>
        </is>
      </c>
      <c r="E8" s="14" t="inlineStr">
        <is>
          <t>Designer</t>
        </is>
      </c>
      <c r="F8" s="14" t="inlineStr">
        <is>
          <t>Not started</t>
        </is>
      </c>
      <c r="G8" s="14" t="n"/>
    </row>
    <row r="9">
      <c r="A9" s="19" t="n">
        <v>2</v>
      </c>
      <c r="B9" s="12" t="inlineStr">
        <is>
          <t>11-15 Aug</t>
        </is>
      </c>
      <c r="C9" s="25" t="inlineStr">
        <is>
          <t>Duplicate the UX4G 3.0 kit and publish it as our library</t>
        </is>
      </c>
      <c r="D9" s="20" t="inlineStr">
        <is>
          <t>Published</t>
        </is>
      </c>
      <c r="E9" s="14" t="inlineStr">
        <is>
          <t>Designer</t>
        </is>
      </c>
      <c r="F9" s="14" t="inlineStr">
        <is>
          <t>Not started</t>
        </is>
      </c>
      <c r="G9" s="14" t="n"/>
    </row>
    <row r="10">
      <c r="A10" s="19" t="n">
        <v>2</v>
      </c>
      <c r="B10" s="12" t="inlineStr">
        <is>
          <t>11-15 Aug</t>
        </is>
      </c>
      <c r="C10" s="25" t="inlineStr">
        <is>
          <t>Apply the ministry key colour group through Theme Craft</t>
        </is>
      </c>
      <c r="D10" s="20" t="inlineStr">
        <is>
          <t>Applied</t>
        </is>
      </c>
      <c r="E10" s="14" t="inlineStr">
        <is>
          <t>Designer</t>
        </is>
      </c>
      <c r="F10" s="14" t="inlineStr">
        <is>
          <t>Not started</t>
        </is>
      </c>
      <c r="G10" s="14" t="n"/>
    </row>
    <row r="11">
      <c r="A11" s="19" t="n">
        <v>2</v>
      </c>
      <c r="B11" s="12" t="inlineStr">
        <is>
          <t>11-15 Aug</t>
        </is>
      </c>
      <c r="C11" s="25" t="inlineStr">
        <is>
          <t>Check colour contrast across every combination</t>
        </is>
      </c>
      <c r="D11" s="20" t="inlineStr">
        <is>
          <t>Verified</t>
        </is>
      </c>
      <c r="E11" s="14" t="inlineStr">
        <is>
          <t>Designer</t>
        </is>
      </c>
      <c r="F11" s="14" t="inlineStr">
        <is>
          <t>Not started</t>
        </is>
      </c>
      <c r="G11" s="14" t="n"/>
    </row>
    <row r="12">
      <c r="A12" s="19" t="n">
        <v>3</v>
      </c>
      <c r="B12" s="12" t="inlineStr">
        <is>
          <t>18-22 Aug</t>
        </is>
      </c>
      <c r="C12" s="25" t="inlineStr">
        <is>
          <t>Raise the clause 2 point</t>
        </is>
      </c>
      <c r="D12" s="20" t="inlineStr">
        <is>
          <t>On record</t>
        </is>
      </c>
      <c r="E12" s="14" t="inlineStr">
        <is>
          <t>Designer</t>
        </is>
      </c>
      <c r="F12" s="14" t="inlineStr">
        <is>
          <t>Not started</t>
        </is>
      </c>
      <c r="G12" s="14" t="n"/>
    </row>
    <row r="13">
      <c r="A13" s="19" t="n">
        <v>4</v>
      </c>
      <c r="B13" s="12" t="inlineStr">
        <is>
          <t>25-29 Aug</t>
        </is>
      </c>
      <c r="C13" s="25" t="inlineStr">
        <is>
          <t>Compare our 2.0 components against 3.0 and write the mapping</t>
        </is>
      </c>
      <c r="D13" s="20" t="inlineStr">
        <is>
          <t>Mapping written</t>
        </is>
      </c>
      <c r="E13" s="14" t="inlineStr">
        <is>
          <t>Designer</t>
        </is>
      </c>
      <c r="F13" s="14" t="inlineStr">
        <is>
          <t>Not started</t>
        </is>
      </c>
      <c r="G13" s="14" t="n"/>
    </row>
    <row r="14">
      <c r="A14" s="19" t="n">
        <v>5</v>
      </c>
      <c r="B14" s="12" t="inlineStr">
        <is>
          <t>01-05 Sep</t>
        </is>
      </c>
      <c r="C14" s="25" t="inlineStr">
        <is>
          <t>Upgrade the library in place where names allow</t>
        </is>
      </c>
      <c r="D14" s="20" t="inlineStr">
        <is>
          <t>Upgraded</t>
        </is>
      </c>
      <c r="E14" s="14" t="inlineStr">
        <is>
          <t>Designer</t>
        </is>
      </c>
      <c r="F14" s="14" t="inlineStr">
        <is>
          <t>Not started</t>
        </is>
      </c>
      <c r="G14" s="14" t="n"/>
    </row>
    <row r="15">
      <c r="A15" s="19" t="n">
        <v>5</v>
      </c>
      <c r="B15" s="12" t="inlineStr">
        <is>
          <t>01-05 Sep</t>
        </is>
      </c>
      <c r="C15" s="25" t="inlineStr">
        <is>
          <t>Rebuild components where the mapping does not hold</t>
        </is>
      </c>
      <c r="D15" s="20" t="inlineStr">
        <is>
          <t>Rebuilt</t>
        </is>
      </c>
      <c r="E15" s="14" t="inlineStr">
        <is>
          <t>Designer</t>
        </is>
      </c>
      <c r="F15" s="14" t="inlineStr">
        <is>
          <t>Not started</t>
        </is>
      </c>
      <c r="G15" s="14" t="n"/>
    </row>
    <row r="16">
      <c r="A16" s="19" t="n">
        <v>5</v>
      </c>
      <c r="B16" s="12" t="inlineStr">
        <is>
          <t>01-05 Sep</t>
        </is>
      </c>
      <c r="C16" s="25" t="inlineStr">
        <is>
          <t>Check a sample of every portal for accidental unlinking</t>
        </is>
      </c>
      <c r="D16" s="20" t="inlineStr">
        <is>
          <t>Sample checked</t>
        </is>
      </c>
      <c r="E16" s="14" t="inlineStr">
        <is>
          <t>Designer</t>
        </is>
      </c>
      <c r="F16" s="14" t="inlineStr">
        <is>
          <t>Not started</t>
        </is>
      </c>
      <c r="G16" s="14" t="n"/>
    </row>
    <row r="17">
      <c r="A17" s="19" t="n">
        <v>6</v>
      </c>
      <c r="B17" s="12" t="inlineStr">
        <is>
          <t>08-12 Sep</t>
        </is>
      </c>
      <c r="C17" s="25" t="inlineStr">
        <is>
          <t>Build the components UX4G does not cover</t>
        </is>
      </c>
      <c r="D17" s="20" t="inlineStr">
        <is>
          <t>Built and recorded</t>
        </is>
      </c>
      <c r="E17" s="14" t="inlineStr">
        <is>
          <t>Designer</t>
        </is>
      </c>
      <c r="F17" s="14" t="inlineStr">
        <is>
          <t>Not started</t>
        </is>
      </c>
      <c r="G17" s="14" t="n"/>
    </row>
    <row r="18">
      <c r="A18" s="19" t="n">
        <v>7</v>
      </c>
      <c r="B18" s="12" t="inlineStr">
        <is>
          <t>15-19 Sep</t>
        </is>
      </c>
      <c r="C18" s="25" t="inlineStr">
        <is>
          <t>First portal, to prove the method</t>
        </is>
      </c>
      <c r="D18" s="20" t="inlineStr">
        <is>
          <t>Method proven</t>
        </is>
      </c>
      <c r="E18" s="14" t="inlineStr">
        <is>
          <t>Designer</t>
        </is>
      </c>
      <c r="F18" s="14" t="inlineStr">
        <is>
          <t>Not started</t>
        </is>
      </c>
      <c r="G18" s="14" t="n"/>
    </row>
    <row r="19">
      <c r="A19" s="19" t="n">
        <v>8</v>
      </c>
      <c r="B19" s="12" t="inlineStr">
        <is>
          <t>22-26 Sep</t>
        </is>
      </c>
      <c r="C19" s="26" t="inlineStr">
        <is>
          <t>CHECKPOINT: is the deadline still reachable?</t>
        </is>
      </c>
      <c r="D19" s="20" t="inlineStr">
        <is>
          <t>Continue or flag</t>
        </is>
      </c>
      <c r="E19" s="14" t="inlineStr">
        <is>
          <t>Designer</t>
        </is>
      </c>
      <c r="F19" s="14" t="inlineStr">
        <is>
          <t>Not started</t>
        </is>
      </c>
      <c r="G19" s="14" t="n"/>
    </row>
    <row r="20">
      <c r="A20" s="19" t="n">
        <v>9</v>
      </c>
      <c r="B20" s="12" t="inlineStr">
        <is>
          <t>29 Sep-03 Oct</t>
        </is>
      </c>
      <c r="C20" s="25" t="inlineStr">
        <is>
          <t>Website</t>
        </is>
      </c>
      <c r="D20" s="20" t="inlineStr">
        <is>
          <t>Done</t>
        </is>
      </c>
      <c r="E20" s="14" t="inlineStr">
        <is>
          <t>Designer</t>
        </is>
      </c>
      <c r="F20" s="14" t="inlineStr">
        <is>
          <t>Not started</t>
        </is>
      </c>
      <c r="G20" s="14" t="n"/>
    </row>
    <row r="21">
      <c r="A21" s="19" t="n">
        <v>10</v>
      </c>
      <c r="B21" s="12" t="inlineStr">
        <is>
          <t>06-10 Oct</t>
        </is>
      </c>
      <c r="C21" s="25" t="inlineStr">
        <is>
          <t>Next portals</t>
        </is>
      </c>
      <c r="D21" s="20" t="inlineStr">
        <is>
          <t>Done</t>
        </is>
      </c>
      <c r="E21" s="14" t="inlineStr">
        <is>
          <t>Designer</t>
        </is>
      </c>
      <c r="F21" s="14" t="inlineStr">
        <is>
          <t>Not started</t>
        </is>
      </c>
      <c r="G21" s="14" t="n"/>
    </row>
    <row r="22">
      <c r="A22" s="19" t="n">
        <v>11</v>
      </c>
      <c r="B22" s="12" t="inlineStr">
        <is>
          <t>13-17 Oct</t>
        </is>
      </c>
      <c r="C22" s="25" t="inlineStr">
        <is>
          <t>Remaining portals</t>
        </is>
      </c>
      <c r="D22" s="20" t="inlineStr">
        <is>
          <t>Done</t>
        </is>
      </c>
      <c r="E22" s="14" t="inlineStr">
        <is>
          <t>Designer</t>
        </is>
      </c>
      <c r="F22" s="14" t="inlineStr">
        <is>
          <t>Not started</t>
        </is>
      </c>
      <c r="G22" s="14" t="n"/>
    </row>
    <row r="23">
      <c r="A23" s="19" t="n">
        <v>12</v>
      </c>
      <c r="B23" s="12" t="inlineStr">
        <is>
          <t>20-24 Oct</t>
        </is>
      </c>
      <c r="C23" s="25" t="inlineStr">
        <is>
          <t>Package the components we built and submit them</t>
        </is>
      </c>
      <c r="D23" s="20" t="inlineStr">
        <is>
          <t>Submitted</t>
        </is>
      </c>
      <c r="E23" s="14" t="inlineStr">
        <is>
          <t>Designer</t>
        </is>
      </c>
      <c r="F23" s="14" t="inlineStr">
        <is>
          <t>Not started</t>
        </is>
      </c>
      <c r="G23" s="14" t="n"/>
    </row>
    <row r="24">
      <c r="A24" s="19" t="n">
        <v>13</v>
      </c>
      <c r="B24" s="12" t="inlineStr">
        <is>
          <t>27-31 Oct</t>
        </is>
      </c>
      <c r="C24" s="25" t="inlineStr">
        <is>
          <t>Publish the decision register and final report</t>
        </is>
      </c>
      <c r="D24" s="20" t="inlineStr">
        <is>
          <t>Complete</t>
        </is>
      </c>
      <c r="E24" s="14" t="inlineStr">
        <is>
          <t>Designer</t>
        </is>
      </c>
      <c r="F24" s="14" t="inlineStr">
        <is>
          <t>Not started</t>
        </is>
      </c>
      <c r="G24" s="14" t="n"/>
    </row>
    <row r="26">
      <c r="A26" s="6" t="inlineStr">
        <is>
          <t>Three external dates: reporting format (07 Aug), clause 2 point (16 Aug), replies to our questions (18 Aug). Week 8 is the internal checkpoint.</t>
        </is>
      </c>
    </row>
  </sheetData>
  <mergeCells count="3">
    <mergeCell ref="A26:G26"/>
    <mergeCell ref="A2:G2"/>
    <mergeCell ref="A1:G1"/>
  </mergeCells>
  <dataValidations count="1">
    <dataValidation sqref="F5:F24" showDropDown="0" showInputMessage="0" showErrorMessage="0" allowBlank="1" type="list">
      <formula1>"Not started,In progress,Complete,Blocked,Slipped"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52" customWidth="1" min="2" max="2"/>
    <col width="12" customWidth="1" min="3" max="3"/>
    <col width="11" customWidth="1" min="4" max="4"/>
    <col width="64" customWidth="1" min="5" max="5"/>
    <col width="14" customWidth="1" min="6" max="6"/>
    <col width="12" customWidth="1" min="7" max="7"/>
    <col width="28" customWidth="1" min="8" max="8"/>
  </cols>
  <sheetData>
    <row r="1" ht="30" customHeight="1">
      <c r="A1" s="1" t="inlineStr">
        <is>
          <t>Risks</t>
        </is>
      </c>
    </row>
    <row r="2" ht="18" customHeight="1">
      <c r="A2" s="2" t="inlineStr">
        <is>
          <t>Reviewed weekly alongside the report.</t>
        </is>
      </c>
    </row>
    <row r="4" ht="32" customHeight="1">
      <c r="A4" s="10" t="inlineStr">
        <is>
          <t>#</t>
        </is>
      </c>
      <c r="B4" s="10" t="inlineStr">
        <is>
          <t>Risk</t>
        </is>
      </c>
      <c r="C4" s="10" t="inlineStr">
        <is>
          <t>Likelihood</t>
        </is>
      </c>
      <c r="D4" s="10" t="inlineStr">
        <is>
          <t>Impact</t>
        </is>
      </c>
      <c r="E4" s="10" t="inlineStr">
        <is>
          <t>What we do about it</t>
        </is>
      </c>
      <c r="F4" s="10" t="inlineStr">
        <is>
          <t>Owner</t>
        </is>
      </c>
      <c r="G4" s="10" t="inlineStr">
        <is>
          <t>Status</t>
        </is>
      </c>
      <c r="H4" s="10" t="inlineStr">
        <is>
          <t>Notes</t>
        </is>
      </c>
    </row>
    <row r="5">
      <c r="A5" s="19" t="inlineStr">
        <is>
          <t>K1</t>
        </is>
      </c>
      <c r="B5" s="25" t="inlineStr">
        <is>
          <t>Replacing the library unlinks components across our files, because 2.0 and 3.0 names differ</t>
        </is>
      </c>
      <c r="C5" s="12" t="inlineStr">
        <is>
          <t>Medium</t>
        </is>
      </c>
      <c r="D5" s="27" t="inlineStr">
        <is>
          <t>Very high</t>
        </is>
      </c>
      <c r="E5" s="25" t="inlineStr">
        <is>
          <t>Map the versions first, upgrade in place, test on one portal before going wider.</t>
        </is>
      </c>
      <c r="F5" s="14" t="inlineStr">
        <is>
          <t>Designer</t>
        </is>
      </c>
      <c r="G5" s="22" t="inlineStr">
        <is>
          <t>Open</t>
        </is>
      </c>
      <c r="H5" s="14" t="n"/>
    </row>
    <row r="6">
      <c r="A6" s="19" t="inlineStr">
        <is>
          <t>K2</t>
        </is>
      </c>
      <c r="B6" s="25" t="inlineStr">
        <is>
          <t>Fewer of our Figma screens use library components than hoped</t>
        </is>
      </c>
      <c r="C6" s="12" t="inlineStr">
        <is>
          <t>High</t>
        </is>
      </c>
      <c r="D6" s="12" t="inlineStr">
        <is>
          <t>High</t>
        </is>
      </c>
      <c r="E6" s="25" t="inlineStr">
        <is>
          <t>Measured in week 1, before we commit to a rate.</t>
        </is>
      </c>
      <c r="F6" s="14" t="inlineStr">
        <is>
          <t>Designer</t>
        </is>
      </c>
      <c r="G6" s="22" t="inlineStr">
        <is>
          <t>Open</t>
        </is>
      </c>
      <c r="H6" s="14" t="n"/>
    </row>
    <row r="7">
      <c r="A7" s="19" t="inlineStr">
        <is>
          <t>K3</t>
        </is>
      </c>
      <c r="B7" s="25" t="inlineStr">
        <is>
          <t>What counts as compliant is defined late</t>
        </is>
      </c>
      <c r="C7" s="12" t="inlineStr">
        <is>
          <t>Medium</t>
        </is>
      </c>
      <c r="D7" s="12" t="inlineStr">
        <is>
          <t>High</t>
        </is>
      </c>
      <c r="E7" s="25" t="inlineStr">
        <is>
          <t>Report the most objective measure available and keep the register, so any definition can be evidenced afterwards.</t>
        </is>
      </c>
      <c r="F7" s="14" t="inlineStr">
        <is>
          <t>Designer</t>
        </is>
      </c>
      <c r="G7" s="22" t="inlineStr">
        <is>
          <t>Open</t>
        </is>
      </c>
      <c r="H7" s="14" t="n"/>
    </row>
    <row r="8">
      <c r="A8" s="19" t="inlineStr">
        <is>
          <t>K4</t>
        </is>
      </c>
      <c r="B8" s="25" t="inlineStr">
        <is>
          <t>UX4G has nothing yet for tables, dashboards, charts or maps</t>
        </is>
      </c>
      <c r="C8" s="12" t="inlineStr">
        <is>
          <t>High</t>
        </is>
      </c>
      <c r="D8" s="12" t="inlineStr">
        <is>
          <t>High</t>
        </is>
      </c>
      <c r="E8" s="25" t="inlineStr">
        <is>
          <t>Build on its foundations, record each, offer back.</t>
        </is>
      </c>
      <c r="F8" s="14" t="inlineStr">
        <is>
          <t>Designer</t>
        </is>
      </c>
      <c r="G8" s="22" t="inlineStr">
        <is>
          <t>Open</t>
        </is>
      </c>
      <c r="H8" s="14" t="n"/>
    </row>
    <row r="9">
      <c r="A9" s="19" t="inlineStr">
        <is>
          <t>K5</t>
        </is>
      </c>
      <c r="B9" s="25" t="inlineStr">
        <is>
          <t>A newer UX4G version lands mid-project</t>
        </is>
      </c>
      <c r="C9" s="12" t="inlineStr">
        <is>
          <t>Medium</t>
        </is>
      </c>
      <c r="D9" s="12" t="inlineStr">
        <is>
          <t>High</t>
        </is>
      </c>
      <c r="E9" s="25" t="inlineStr">
        <is>
          <t>Finish against 3.0 and treat the upgrade as separate work.</t>
        </is>
      </c>
      <c r="F9" s="14" t="inlineStr">
        <is>
          <t>Designer</t>
        </is>
      </c>
      <c r="G9" s="22" t="inlineStr">
        <is>
          <t>Open</t>
        </is>
      </c>
      <c r="H9" s="14" t="n"/>
    </row>
    <row r="10">
      <c r="A10" s="19" t="inlineStr">
        <is>
          <t>K6</t>
        </is>
      </c>
      <c r="B10" s="25" t="inlineStr">
        <is>
          <t>Structural DBIM colour rules conflict with UX4G component styling</t>
        </is>
      </c>
      <c r="C10" s="12" t="inlineStr">
        <is>
          <t>Low</t>
        </is>
      </c>
      <c r="D10" s="12" t="inlineStr">
        <is>
          <t>Medium</t>
        </is>
      </c>
      <c r="E10" s="25" t="inlineStr">
        <is>
          <t>Asked in the questionnaire; following DBIM for identity in the meantime.</t>
        </is>
      </c>
      <c r="F10" s="14" t="inlineStr">
        <is>
          <t>Designer</t>
        </is>
      </c>
      <c r="G10" s="22" t="inlineStr">
        <is>
          <t>Open</t>
        </is>
      </c>
      <c r="H10" s="14" t="n"/>
    </row>
    <row r="11">
      <c r="A11" s="19" t="inlineStr">
        <is>
          <t>K7</t>
        </is>
      </c>
      <c r="B11" s="25" t="inlineStr">
        <is>
          <t>Already-approved designs need approving again</t>
        </is>
      </c>
      <c r="C11" s="12" t="inlineStr">
        <is>
          <t>Medium</t>
        </is>
      </c>
      <c r="D11" s="12" t="inlineStr">
        <is>
          <t>High</t>
        </is>
      </c>
      <c r="E11" s="25" t="inlineStr">
        <is>
          <t>Settle it before week 7.</t>
        </is>
      </c>
      <c r="F11" s="14" t="inlineStr">
        <is>
          <t>Designer</t>
        </is>
      </c>
      <c r="G11" s="22" t="inlineStr">
        <is>
          <t>Open</t>
        </is>
      </c>
      <c r="H11" s="14" t="n"/>
    </row>
    <row r="12">
      <c r="A12" s="19" t="inlineStr">
        <is>
          <t>K8</t>
        </is>
      </c>
      <c r="B12" s="25" t="inlineStr">
        <is>
          <t>The report format differs from what is expected</t>
        </is>
      </c>
      <c r="C12" s="12" t="inlineStr">
        <is>
          <t>Medium</t>
        </is>
      </c>
      <c r="D12" s="12" t="inlineStr">
        <is>
          <t>High</t>
        </is>
      </c>
      <c r="E12" s="25" t="inlineStr">
        <is>
          <t>Ask for the format before 07 August.</t>
        </is>
      </c>
      <c r="F12" s="14" t="inlineStr">
        <is>
          <t>Designer</t>
        </is>
      </c>
      <c r="G12" s="22" t="inlineStr">
        <is>
          <t>Open</t>
        </is>
      </c>
      <c r="H12" s="14" t="n"/>
    </row>
    <row r="14">
      <c r="A14" s="6" t="inlineStr">
        <is>
          <t>K1 is the one that could undo existing work rather than delay it. Figma matches components by name when a library is replaced, and 2.0 and 3.0 names may differ.</t>
        </is>
      </c>
    </row>
  </sheetData>
  <mergeCells count="3">
    <mergeCell ref="A14:H14"/>
    <mergeCell ref="A2:H2"/>
    <mergeCell ref="A1:H1"/>
  </mergeCells>
  <dataValidations count="1">
    <dataValidation sqref="G5:G12" showDropDown="0" showInputMessage="0" showErrorMessage="0" allowBlank="1" type="list">
      <formula1>"Open,Managed,Closed,Happened"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2026-08-05T10:01:52Z</dcterms:created>
  <dcterms:modified xmlns:dcterms="http://purl.org/dc/terms/" xmlns:xsi="http://www.w3.org/2001/XMLSchema-instance" xsi:type="dcterms:W3CDTF">2026-08-05T10:01:52Z</dcterms:modified>
</cp:coreProperties>
</file>