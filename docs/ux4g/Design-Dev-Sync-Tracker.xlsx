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ule Register" sheetId="2" state="visible" r:id="rId2"/>
    <sheet xmlns:r="http://schemas.openxmlformats.org/officeDocument/2006/relationships" name="Screen Triage" sheetId="3" state="visible" r:id="rId3"/>
    <sheet xmlns:r="http://schemas.openxmlformats.org/officeDocument/2006/relationships" name="Week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373D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pivotButton="0" quotePrefix="0" xfId="0"/>
    <xf numFmtId="1" fontId="5" fillId="0" borderId="0" applyAlignment="1" pivotButton="0" quotePrefix="0" xfId="0">
      <alignment horizontal="left"/>
    </xf>
    <xf numFmtId="0" fontId="6" fillId="0" borderId="0" pivotButton="0" quotePrefix="0" xfId="0"/>
    <xf numFmtId="9" fontId="5" fillId="0" borderId="0" applyAlignment="1" pivotButton="0" quotePrefix="0" xfId="0">
      <alignment horizontal="left"/>
    </xf>
    <xf numFmtId="0" fontId="5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8" fillId="4" borderId="1" pivotButton="0" quotePrefix="0" xfId="0"/>
    <xf numFmtId="0" fontId="6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9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54" customWidth="1" min="5" max="5"/>
  </cols>
  <sheetData>
    <row r="1" ht="30" customHeight="1">
      <c r="A1" s="1" t="inlineStr">
        <is>
          <t>Design and build sync</t>
        </is>
      </c>
    </row>
    <row r="2" ht="18" customHeight="1">
      <c r="A2" s="2" t="inlineStr">
        <is>
          <t>Akash Kumar, Designer  |  Runs in the same pass as the UX4G move</t>
        </is>
      </c>
    </row>
    <row r="4">
      <c r="A4" s="3" t="inlineStr">
        <is>
          <t>Stage 1 - what we found</t>
        </is>
      </c>
    </row>
    <row r="5">
      <c r="A5" s="4" t="inlineStr">
        <is>
          <t>Modules recorded</t>
        </is>
      </c>
      <c r="B5" s="5">
        <f>COUNTA('Module Register'!B6:B125)</f>
        <v/>
      </c>
    </row>
    <row r="6">
      <c r="A6" s="4" t="inlineStr">
        <is>
          <t>Design-team led</t>
        </is>
      </c>
      <c r="B6" s="5">
        <f>COUNTIF('Module Register'!C6:C125,"Design-team led")</f>
        <v/>
      </c>
    </row>
    <row r="7">
      <c r="A7" s="4" t="inlineStr">
        <is>
          <t>BA led</t>
        </is>
      </c>
      <c r="B7" s="5">
        <f>COUNTIF('Module Register'!C6:C125,"BA led")</f>
        <v/>
      </c>
    </row>
    <row r="8">
      <c r="A8" s="4" t="inlineStr">
        <is>
          <t>Mixed</t>
        </is>
      </c>
      <c r="B8" s="5">
        <f>COUNTIF('Module Register'!C6:C125,"Mixed")</f>
        <v/>
      </c>
    </row>
    <row r="9">
      <c r="A9" s="4" t="inlineStr">
        <is>
          <t>Still unknown</t>
        </is>
      </c>
      <c r="B9" s="5">
        <f>COUNTIF('Module Register'!C6:C125,"Unknown")</f>
        <v/>
      </c>
    </row>
    <row r="10">
      <c r="A10" s="4" t="inlineStr">
        <is>
          <t>Captured (stage 2)</t>
        </is>
      </c>
      <c r="B10" s="5">
        <f>COUNTIF('Module Register'!F6:F125,"Yes")</f>
        <v/>
      </c>
    </row>
    <row r="12">
      <c r="A12" s="3" t="inlineStr">
        <is>
          <t>Stage 3 - triage mix</t>
        </is>
      </c>
    </row>
    <row r="13">
      <c r="A13" s="4" t="inlineStr">
        <is>
          <t>Screens triaged</t>
        </is>
      </c>
      <c r="B13" s="5">
        <f>COUNTA('Screen Triage'!D6:D255)</f>
        <v/>
      </c>
    </row>
    <row r="14">
      <c r="A14" s="4" t="inlineStr">
        <is>
          <t>Tier 1 - UX4G only</t>
        </is>
      </c>
      <c r="B14" s="5">
        <f>COUNTIF('Screen Triage'!D6:D255,"T1 - UX4G only")</f>
        <v/>
      </c>
      <c r="E14" s="6" t="inlineStr">
        <is>
          <t>Expect most screens here.</t>
        </is>
      </c>
    </row>
    <row r="15">
      <c r="A15" s="4" t="inlineStr">
        <is>
          <t>Tier 2 - targeted fix</t>
        </is>
      </c>
      <c r="B15" s="5">
        <f>COUNTIF('Screen Triage'!D6:D255,"T2 - targeted fix")</f>
        <v/>
      </c>
    </row>
    <row r="16">
      <c r="A16" s="4" t="inlineStr">
        <is>
          <t>Tier 3 - full redesign</t>
        </is>
      </c>
      <c r="B16" s="5">
        <f>COUNTIF('Screen Triage'!D6:D255,"T3 - full redesign")</f>
        <v/>
      </c>
      <c r="E16" s="6" t="inlineStr">
        <is>
          <t>The expensive tier. Watch this share.</t>
        </is>
      </c>
    </row>
    <row r="17">
      <c r="A17" s="4" t="inlineStr">
        <is>
          <t>Tier 3 share</t>
        </is>
      </c>
      <c r="B17" s="7">
        <f>IFERROR(B16/B13,"")</f>
        <v/>
      </c>
      <c r="E17" s="6" t="inlineStr">
        <is>
          <t>If this climbs well above a quarter, scope has grown. Raise it early.</t>
        </is>
      </c>
    </row>
    <row r="18">
      <c r="A18" s="4" t="inlineStr">
        <is>
          <t>Redesign complete</t>
        </is>
      </c>
      <c r="B18" s="5">
        <f>COUNTIF('Screen Triage'!H6:H255,"Complete")</f>
        <v/>
      </c>
    </row>
    <row r="20">
      <c r="A20" s="3" t="inlineStr">
        <is>
          <t>Follow-on work created</t>
        </is>
      </c>
    </row>
    <row r="21">
      <c r="A21" s="4" t="inlineStr">
        <is>
          <t>Needs stakeholder sign-off again</t>
        </is>
      </c>
      <c r="B21" s="5">
        <f>COUNTIF('Screen Triage'!F6:F255,"Yes")</f>
        <v/>
      </c>
      <c r="E21" s="6" t="inlineStr">
        <is>
          <t>Tier 3 screens, by our proposed rule.</t>
        </is>
      </c>
    </row>
    <row r="22">
      <c r="A22" s="4" t="inlineStr">
        <is>
          <t>Build work flagged to dev</t>
        </is>
      </c>
      <c r="B22" s="5">
        <f>COUNTIF('Screen Triage'!G6:G255,"Yes")</f>
        <v/>
      </c>
      <c r="E22" s="6" t="inlineStr">
        <is>
          <t>Flag when the tier is set, not when the design is done.</t>
        </is>
      </c>
    </row>
    <row r="25">
      <c r="A25" s="3" t="inlineStr">
        <is>
          <t>How to use this</t>
        </is>
      </c>
    </row>
    <row r="26">
      <c r="A26" s="8" t="inlineStr">
        <is>
          <t>- Blue on yellow means fill it in. The grey italic row under each header is an example - overwrite it.</t>
        </is>
      </c>
    </row>
    <row r="27">
      <c r="A27" s="8" t="inlineStr">
        <is>
          <t>- Stage 1: fill the Module Register. Classify each module, then note what the BAs left behind.</t>
        </is>
      </c>
    </row>
    <row r="28">
      <c r="A28" s="8" t="inlineStr">
        <is>
          <t>- Stage 2: capture the built screens, tick Captured, then list each screen on the Screen Triage sheet.</t>
        </is>
      </c>
    </row>
    <row r="29">
      <c r="A29" s="8" t="inlineStr">
        <is>
          <t>- Stage 3: give every screen a tier and a written reason. The reason is what you show when asked why a module took the time it did.</t>
        </is>
      </c>
    </row>
    <row r="30">
      <c r="A30" s="8" t="inlineStr">
        <is>
          <t>- Sequence modules to match the UX4G portal order so no portal gets opened twice.</t>
        </is>
      </c>
    </row>
  </sheetData>
  <mergeCells count="7">
    <mergeCell ref="A30:E30"/>
    <mergeCell ref="A29:E29"/>
    <mergeCell ref="A26:E26"/>
    <mergeCell ref="A2:E2"/>
    <mergeCell ref="A28:E28"/>
    <mergeCell ref="A1:E1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30" customWidth="1" min="4" max="4"/>
    <col width="34" customWidth="1" min="5" max="5"/>
    <col width="12" customWidth="1" min="6" max="6"/>
    <col width="18" customWidth="1" min="7" max="7"/>
    <col width="34" customWidth="1" min="8" max="8"/>
  </cols>
  <sheetData>
    <row r="1" ht="30" customHeight="1">
      <c r="A1" s="1" t="inlineStr">
        <is>
          <t>Module register (stage 1)</t>
        </is>
      </c>
    </row>
    <row r="2" ht="18" customHeight="1">
      <c r="A2" s="2" t="inlineStr">
        <is>
          <t>Every module, and whether the design team was involved. Classify by: our Figma frame exists, a handoff doc exists, or ask whoever built it.</t>
        </is>
      </c>
    </row>
    <row r="5" ht="32" customHeight="1">
      <c r="A5" s="9" t="inlineStr">
        <is>
          <t>Portal</t>
        </is>
      </c>
      <c r="B5" s="9" t="inlineStr">
        <is>
          <t>Module</t>
        </is>
      </c>
      <c r="C5" s="9" t="inlineStr">
        <is>
          <t>Origin</t>
        </is>
      </c>
      <c r="D5" s="9" t="inlineStr">
        <is>
          <t>What the BAs left behind</t>
        </is>
      </c>
      <c r="E5" s="9" t="inlineStr">
        <is>
          <t>Where it is</t>
        </is>
      </c>
      <c r="F5" s="9" t="inlineStr">
        <is>
          <t>Captured</t>
        </is>
      </c>
      <c r="G5" s="9" t="inlineStr">
        <is>
          <t>Sequenced with</t>
        </is>
      </c>
      <c r="H5" s="9" t="inlineStr">
        <is>
          <t>Notes</t>
        </is>
      </c>
    </row>
    <row r="6">
      <c r="A6" s="10" t="inlineStr">
        <is>
          <t>NMBA</t>
        </is>
      </c>
      <c r="B6" s="10" t="inlineStr">
        <is>
          <t>Mass pledge reporting</t>
        </is>
      </c>
      <c r="C6" s="10" t="inlineStr">
        <is>
          <t>BA led</t>
        </is>
      </c>
      <c r="D6" s="10" t="inlineStr">
        <is>
          <t>HTML prototype, AI-assisted</t>
        </is>
      </c>
      <c r="E6" s="10" t="inlineStr">
        <is>
          <t>link or path</t>
        </is>
      </c>
      <c r="F6" s="10" t="inlineStr">
        <is>
          <t>No</t>
        </is>
      </c>
      <c r="G6" s="10" t="inlineStr">
        <is>
          <t>Week 7 with NMBA</t>
        </is>
      </c>
      <c r="H6" s="10" t="inlineStr">
        <is>
          <t>No Figma source exists</t>
        </is>
      </c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</row>
    <row r="127">
      <c r="A127" s="6" t="inlineStr">
        <is>
          <t>Row 6 is an example - overwrite it. Where nothing survives, the running application is the record and stage 2 covers it.</t>
        </is>
      </c>
    </row>
  </sheetData>
  <mergeCells count="3">
    <mergeCell ref="A127:H127"/>
    <mergeCell ref="A2:H2"/>
    <mergeCell ref="A1:H1"/>
  </mergeCells>
  <dataValidations count="3">
    <dataValidation sqref="C6:C125" showDropDown="0" showInputMessage="0" showErrorMessage="0" allowBlank="1" type="list">
      <formula1>"Design-team led,BA led,Mixed,Unknown"</formula1>
    </dataValidation>
    <dataValidation sqref="D6:D125" showDropDown="0" showInputMessage="0" showErrorMessage="0" allowBlank="1" type="list">
      <formula1>"Figma file,HTML prototype,Document or slides,Spreadsheet,Written spec only,Nothing survives"</formula1>
    </dataValidation>
    <dataValidation sqref="F6:F125" showDropDown="0" showInputMessage="0" showErrorMessage="0" allowBlank="1" type="list">
      <formula1>"Yes,No,Partly"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20" customWidth="1" min="4" max="4"/>
    <col width="52" customWidth="1" min="5" max="5"/>
    <col width="14" customWidth="1" min="6" max="6"/>
    <col width="15" customWidth="1" min="7" max="7"/>
    <col width="15" customWidth="1" min="8" max="8"/>
    <col width="30" customWidth="1" min="9" max="9"/>
  </cols>
  <sheetData>
    <row r="1" ht="30" customHeight="1">
      <c r="A1" s="1" t="inlineStr">
        <is>
          <t>Screen triage (stage 3)</t>
        </is>
      </c>
    </row>
    <row r="2" ht="18" customHeight="1">
      <c r="A2" s="2" t="inlineStr">
        <is>
          <t>One row per screen or state. The tier decides how much work it gets, and the reason is the record of why.</t>
        </is>
      </c>
    </row>
    <row r="5" ht="32" customHeight="1">
      <c r="A5" s="9" t="inlineStr">
        <is>
          <t>Portal</t>
        </is>
      </c>
      <c r="B5" s="9" t="inlineStr">
        <is>
          <t>Module</t>
        </is>
      </c>
      <c r="C5" s="9" t="inlineStr">
        <is>
          <t>Screen or state</t>
        </is>
      </c>
      <c r="D5" s="9" t="inlineStr">
        <is>
          <t>Tier</t>
        </is>
      </c>
      <c r="E5" s="9" t="inlineStr">
        <is>
          <t>Reason for the tier</t>
        </is>
      </c>
      <c r="F5" s="9" t="inlineStr">
        <is>
          <t>Sign-off again</t>
        </is>
      </c>
      <c r="G5" s="9" t="inlineStr">
        <is>
          <t>Dev work flagged</t>
        </is>
      </c>
      <c r="H5" s="9" t="inlineStr">
        <is>
          <t>Status</t>
        </is>
      </c>
      <c r="I5" s="9" t="inlineStr">
        <is>
          <t>Notes</t>
        </is>
      </c>
    </row>
    <row r="6">
      <c r="A6" s="12" t="inlineStr">
        <is>
          <t>NMBA</t>
        </is>
      </c>
      <c r="B6" s="12" t="inlineStr">
        <is>
          <t>Mass pledge reporting</t>
        </is>
      </c>
      <c r="C6" s="12" t="inlineStr">
        <is>
          <t>Submission form - validation errors</t>
        </is>
      </c>
      <c r="D6" s="12" t="inlineStr">
        <is>
          <t>T2 - targeted fix</t>
        </is>
      </c>
      <c r="E6" s="12" t="inlineStr">
        <is>
          <t>Errors appear only at the top, so the user cannot see which field failed</t>
        </is>
      </c>
      <c r="F6" s="12" t="inlineStr">
        <is>
          <t>No</t>
        </is>
      </c>
      <c r="G6" s="12" t="inlineStr">
        <is>
          <t>Yes</t>
        </is>
      </c>
      <c r="H6" s="12" t="inlineStr">
        <is>
          <t>Not started</t>
        </is>
      </c>
      <c r="I6" s="12" t="inlineStr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</row>
    <row r="257">
      <c r="A257" s="6" t="inlineStr">
        <is>
          <t>Judge each screen on: can the user finish the task, is the important thing prominent, does it meet our accessibility standard, does it behave like the rest of the estate, does UX4G already have a pattern for it.</t>
        </is>
      </c>
    </row>
    <row r="258">
      <c r="A258" s="6" t="inlineStr">
        <is>
          <t>Include interactive states, not just pages. Validation, empty, loading, error, modals and multi-step flows are what BA-led modules most often leave undefined.</t>
        </is>
      </c>
    </row>
  </sheetData>
  <mergeCells count="4">
    <mergeCell ref="A1:I1"/>
    <mergeCell ref="A257:I257"/>
    <mergeCell ref="A2:I2"/>
    <mergeCell ref="A258:I258"/>
  </mergeCells>
  <dataValidations count="4">
    <dataValidation sqref="D6:D255" showDropDown="0" showInputMessage="0" showErrorMessage="0" allowBlank="1" type="list">
      <formula1>"T1 - UX4G only,T2 - targeted fix,T3 - full redesign"</formula1>
    </dataValidation>
    <dataValidation sqref="F6:F255" showDropDown="0" showInputMessage="0" showErrorMessage="0" allowBlank="1" type="list">
      <formula1>"Yes,No"</formula1>
    </dataValidation>
    <dataValidation sqref="G6:G255" showDropDown="0" showInputMessage="0" showErrorMessage="0" allowBlank="1" type="list">
      <formula1>"Yes,No"</formula1>
    </dataValidation>
    <dataValidation sqref="H6:H255" showDropDown="0" showInputMessage="0" showErrorMessage="0" allowBlank="1" type="list">
      <formula1>"Not started,In progress,Complete,Blocked"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30" customWidth="1" min="4" max="4"/>
    <col width="14" customWidth="1" min="5" max="5"/>
    <col width="52" customWidth="1" min="6" max="6"/>
  </cols>
  <sheetData>
    <row r="1" ht="30" customHeight="1">
      <c r="A1" s="1" t="inlineStr">
        <is>
          <t>Weekly figures</t>
        </is>
      </c>
    </row>
    <row r="2" ht="18" customHeight="1">
      <c r="A2" s="2" t="inlineStr">
        <is>
          <t>Kept separate so neither number hides the other.</t>
        </is>
      </c>
    </row>
    <row r="5" ht="32" customHeight="1">
      <c r="A5" s="9" t="inlineStr">
        <is>
          <t>Week</t>
        </is>
      </c>
      <c r="B5" s="9" t="inlineStr">
        <is>
          <t>Ending</t>
        </is>
      </c>
      <c r="C5" s="9" t="inlineStr">
        <is>
          <t>On UX4G</t>
        </is>
      </c>
      <c r="D5" s="9" t="inlineStr">
        <is>
          <t>BA work brought up to standard</t>
        </is>
      </c>
      <c r="E5" s="9" t="inlineStr">
        <is>
          <t>Tier 3 share</t>
        </is>
      </c>
      <c r="F5" s="9" t="inlineStr">
        <is>
          <t>Notes</t>
        </is>
      </c>
    </row>
    <row r="6">
      <c r="A6" s="13" t="n">
        <v>1</v>
      </c>
      <c r="B6" s="14" t="inlineStr">
        <is>
          <t>08 Aug</t>
        </is>
      </c>
      <c r="C6" s="15" t="n"/>
      <c r="D6" s="15" t="n"/>
      <c r="E6" s="15" t="n"/>
      <c r="F6" s="11" t="n"/>
    </row>
    <row r="7">
      <c r="A7" s="13" t="n">
        <v>2</v>
      </c>
      <c r="B7" s="14" t="inlineStr">
        <is>
          <t>15 Aug</t>
        </is>
      </c>
      <c r="C7" s="15" t="n"/>
      <c r="D7" s="15" t="n"/>
      <c r="E7" s="15" t="n"/>
      <c r="F7" s="11" t="n"/>
    </row>
    <row r="8">
      <c r="A8" s="13" t="n">
        <v>3</v>
      </c>
      <c r="B8" s="14" t="inlineStr">
        <is>
          <t>22 Aug</t>
        </is>
      </c>
      <c r="C8" s="15" t="n"/>
      <c r="D8" s="15" t="n"/>
      <c r="E8" s="15" t="n"/>
      <c r="F8" s="11" t="n"/>
    </row>
    <row r="9">
      <c r="A9" s="13" t="n">
        <v>4</v>
      </c>
      <c r="B9" s="14" t="inlineStr">
        <is>
          <t>29 Aug</t>
        </is>
      </c>
      <c r="C9" s="15" t="n"/>
      <c r="D9" s="15" t="n"/>
      <c r="E9" s="15" t="n"/>
      <c r="F9" s="11" t="n"/>
    </row>
    <row r="10">
      <c r="A10" s="13" t="n">
        <v>5</v>
      </c>
      <c r="B10" s="14" t="inlineStr">
        <is>
          <t>05 Sep</t>
        </is>
      </c>
      <c r="C10" s="15" t="n"/>
      <c r="D10" s="15" t="n"/>
      <c r="E10" s="15" t="n"/>
      <c r="F10" s="11" t="n"/>
    </row>
    <row r="11">
      <c r="A11" s="13" t="n">
        <v>6</v>
      </c>
      <c r="B11" s="14" t="inlineStr">
        <is>
          <t>12 Sep</t>
        </is>
      </c>
      <c r="C11" s="15" t="n"/>
      <c r="D11" s="15" t="n"/>
      <c r="E11" s="15" t="n"/>
      <c r="F11" s="11" t="n"/>
    </row>
    <row r="12">
      <c r="A12" s="13" t="n">
        <v>7</v>
      </c>
      <c r="B12" s="14" t="inlineStr">
        <is>
          <t>19 Sep</t>
        </is>
      </c>
      <c r="C12" s="15" t="n"/>
      <c r="D12" s="15" t="n"/>
      <c r="E12" s="15" t="n"/>
      <c r="F12" s="11" t="n"/>
    </row>
    <row r="13">
      <c r="A13" s="13" t="n">
        <v>8</v>
      </c>
      <c r="B13" s="14" t="inlineStr">
        <is>
          <t>26 Sep</t>
        </is>
      </c>
      <c r="C13" s="15" t="n"/>
      <c r="D13" s="15" t="n"/>
      <c r="E13" s="15" t="n"/>
      <c r="F13" s="11" t="n"/>
    </row>
    <row r="14">
      <c r="A14" s="13" t="n">
        <v>9</v>
      </c>
      <c r="B14" s="14" t="inlineStr">
        <is>
          <t>03 Oct</t>
        </is>
      </c>
      <c r="C14" s="15" t="n"/>
      <c r="D14" s="15" t="n"/>
      <c r="E14" s="15" t="n"/>
      <c r="F14" s="11" t="n"/>
    </row>
    <row r="15">
      <c r="A15" s="13" t="n">
        <v>10</v>
      </c>
      <c r="B15" s="14" t="inlineStr">
        <is>
          <t>10 Oct</t>
        </is>
      </c>
      <c r="C15" s="15" t="n"/>
      <c r="D15" s="15" t="n"/>
      <c r="E15" s="15" t="n"/>
      <c r="F15" s="11" t="n"/>
    </row>
    <row r="16">
      <c r="A16" s="13" t="n">
        <v>11</v>
      </c>
      <c r="B16" s="14" t="inlineStr">
        <is>
          <t>17 Oct</t>
        </is>
      </c>
      <c r="C16" s="15" t="n"/>
      <c r="D16" s="15" t="n"/>
      <c r="E16" s="15" t="n"/>
      <c r="F16" s="11" t="n"/>
    </row>
    <row r="17">
      <c r="A17" s="13" t="n">
        <v>12</v>
      </c>
      <c r="B17" s="14" t="inlineStr">
        <is>
          <t>24 Oct</t>
        </is>
      </c>
      <c r="C17" s="15" t="n"/>
      <c r="D17" s="15" t="n"/>
      <c r="E17" s="15" t="n"/>
      <c r="F17" s="11" t="n"/>
    </row>
    <row r="18">
      <c r="A18" s="13" t="n">
        <v>13</v>
      </c>
      <c r="B18" s="14" t="inlineStr">
        <is>
          <t>31 Oct</t>
        </is>
      </c>
      <c r="C18" s="15" t="n"/>
      <c r="D18" s="15" t="n"/>
      <c r="E18" s="15" t="n"/>
      <c r="F18" s="11" t="n"/>
    </row>
    <row r="20">
      <c r="A20" s="6" t="inlineStr">
        <is>
          <t>If the tier 3 share climbs well above a quarter, the scope has grown beyond what was planned. Better raised in week 4 than in October.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2026-08-06T04:21:13Z</dcterms:created>
  <dcterms:modified xmlns:dcterms="http://purl.org/dc/terms/" xmlns:xsi="http://www.w3.org/2001/XMLSchema-instance" xsi:type="dcterms:W3CDTF">2026-08-06T04:21:13Z</dcterms:modified>
</cp:coreProperties>
</file>